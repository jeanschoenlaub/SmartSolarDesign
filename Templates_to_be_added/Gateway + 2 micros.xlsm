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.shortcut-targets-by-id/0B48f_ri5yfeAcVBIT3M3bTZBTW8/Shared Docs/PROJECTS/Customers - Domestic Jobs/26305 | Wood, Ben - Barnsley/2. Design Documents/"/>
    </mc:Choice>
  </mc:AlternateContent>
  <xr:revisionPtr revIDLastSave="0" documentId="13_ncr:1_{D78801F5-54DD-C141-8473-E7FAA2DAA4B5}" xr6:coauthVersionLast="46" xr6:coauthVersionMax="46" xr10:uidLastSave="{00000000-0000-0000-0000-000000000000}"/>
  <bookViews>
    <workbookView xWindow="1040" yWindow="460" windowWidth="28920" windowHeight="17340" activeTab="2" xr2:uid="{5C310A73-3E33-5C44-B32F-CABC6D95981F}"/>
  </bookViews>
  <sheets>
    <sheet name="Param" sheetId="3" r:id="rId1"/>
    <sheet name="Vrise" sheetId="1" r:id="rId2"/>
    <sheet name="PW2-ENP-Partial" sheetId="19" r:id="rId3"/>
    <sheet name="PW2-1Mppt-Partial" sheetId="20" r:id="rId4"/>
    <sheet name="PW2-2Mppt-Partial" sheetId="17" r:id="rId5"/>
  </sheets>
  <functionGroups builtInGroupCount="19"/>
  <externalReferences>
    <externalReference r:id="rId6"/>
  </externalReferences>
  <definedNames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W28" i="19" l="1"/>
  <c r="CB69" i="19"/>
  <c r="AX30" i="19"/>
  <c r="BW48" i="19"/>
  <c r="BW47" i="19"/>
  <c r="BV48" i="19"/>
  <c r="BV47" i="19"/>
  <c r="BY38" i="19"/>
  <c r="CA38" i="19"/>
  <c r="BW38" i="19"/>
  <c r="BV24" i="19"/>
  <c r="BW27" i="19"/>
  <c r="BX9" i="19"/>
  <c r="BW8" i="19"/>
  <c r="BV12" i="19"/>
  <c r="BW18" i="19"/>
  <c r="C40" i="1"/>
  <c r="BX11" i="19"/>
  <c r="BX10" i="19"/>
  <c r="BV7" i="19"/>
  <c r="BV6" i="19"/>
  <c r="CB69" i="20"/>
  <c r="BW48" i="20"/>
  <c r="BV7" i="20"/>
  <c r="BX9" i="20"/>
  <c r="BW47" i="20"/>
  <c r="BY33" i="20"/>
  <c r="CA35" i="20" a="1"/>
  <c r="CA35" i="20"/>
  <c r="CA33" i="20"/>
  <c r="BW33" i="20"/>
  <c r="BW8" i="20"/>
  <c r="BV12" i="20"/>
  <c r="BX11" i="20"/>
  <c r="BX10" i="20"/>
  <c r="BV6" i="20"/>
  <c r="AC21" i="19"/>
  <c r="AC20" i="19"/>
  <c r="AB18" i="19"/>
  <c r="AU53" i="19"/>
  <c r="CA35" i="17"/>
  <c r="CA33" i="17"/>
  <c r="BW35" i="17"/>
  <c r="BY35" i="17"/>
  <c r="BY33" i="17"/>
  <c r="BY34" i="17"/>
  <c r="CA34" i="17"/>
  <c r="BW34" i="17"/>
  <c r="AX45" i="17"/>
  <c r="AW45" i="17"/>
  <c r="AW57" i="17"/>
  <c r="AW51" i="17"/>
  <c r="BY35" i="20" a="1"/>
  <c r="BY35" i="20"/>
  <c r="BB73" i="20"/>
  <c r="BX72" i="20"/>
  <c r="BB71" i="20"/>
  <c r="BW27" i="20"/>
  <c r="BW18" i="20"/>
  <c r="BV26" i="20"/>
  <c r="BN69" i="20"/>
  <c r="BB69" i="20"/>
  <c r="AX57" i="20"/>
  <c r="AA54" i="20"/>
  <c r="BK50" i="20"/>
  <c r="AY50" i="20"/>
  <c r="AX50" i="20"/>
  <c r="BV47" i="20"/>
  <c r="BW35" i="20"/>
  <c r="AG35" i="20"/>
  <c r="AB35" i="20"/>
  <c r="AB34" i="20"/>
  <c r="AB30" i="20"/>
  <c r="AB29" i="20"/>
  <c r="BV25" i="20"/>
  <c r="AA19" i="20"/>
  <c r="AA18" i="20"/>
  <c r="BX25" i="17"/>
  <c r="BW16" i="17"/>
  <c r="CB69" i="17"/>
  <c r="AA51" i="17"/>
  <c r="BV24" i="17"/>
  <c r="BN69" i="17"/>
  <c r="BW33" i="17"/>
  <c r="BX8" i="17"/>
  <c r="AY50" i="17"/>
  <c r="BV23" i="17"/>
  <c r="BW48" i="17"/>
  <c r="BV47" i="17"/>
  <c r="BB73" i="19"/>
  <c r="BX72" i="19"/>
  <c r="BB71" i="19"/>
  <c r="BB69" i="19"/>
  <c r="BN56" i="19"/>
  <c r="BN50" i="19"/>
  <c r="BN43" i="19"/>
  <c r="BV26" i="19"/>
  <c r="BV25" i="19"/>
  <c r="BK50" i="17"/>
  <c r="AA19" i="17"/>
  <c r="AA18" i="17"/>
  <c r="AB29" i="17"/>
  <c r="AB30" i="17"/>
  <c r="AG35" i="17"/>
  <c r="AB35" i="17"/>
  <c r="AB34" i="17"/>
  <c r="BV6" i="17"/>
  <c r="BV7" i="17"/>
  <c r="BX9" i="17"/>
  <c r="BX10" i="17"/>
  <c r="BB73" i="17"/>
  <c r="BB71" i="17"/>
  <c r="BB69" i="17"/>
  <c r="BX72" i="17"/>
  <c r="BW47" i="17"/>
  <c r="G34" i="1"/>
  <c r="G35" i="1"/>
  <c r="G36" i="1"/>
  <c r="G32" i="1"/>
  <c r="G38" i="1" a="1"/>
  <c r="G38" i="1"/>
  <c r="E36" i="1"/>
  <c r="C36" i="1"/>
  <c r="E32" i="1"/>
  <c r="C32" i="1"/>
  <c r="E35" i="1"/>
  <c r="C35" i="1"/>
  <c r="E30" i="1"/>
  <c r="C30" i="1"/>
  <c r="B31" i="1"/>
  <c r="G37" i="1" a="1"/>
  <c r="C38" i="1" a="1"/>
  <c r="C37" i="1" a="1"/>
  <c r="C37" i="1"/>
  <c r="C38" i="1"/>
  <c r="G37" i="1"/>
  <c r="G39" i="1"/>
  <c r="E37" i="1" a="1"/>
  <c r="E38" i="1" a="1"/>
  <c r="E38" i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<sst xmlns="http://schemas.openxmlformats.org/spreadsheetml/2006/main" count="400" uniqueCount="175">
  <si>
    <t xml:space="preserve">23 Sep 2019 </t>
  </si>
  <si>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</si>
  <si>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</si>
  <si>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</si>
  <si>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</si>
  <si>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</si>
  <si>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</si>
  <si>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</si>
  <si>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</si>
  <si>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</si>
  <si>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</si>
  <si>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</si>
  <si>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</si>
  <si>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</si>
  <si>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</si>
  <si>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</si>
  <si>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</si>
  <si>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</si>
  <si>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</si>
  <si>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</si>
  <si>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</si>
  <si>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</si>
  <si>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</si>
  <si>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</si>
  <si>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</si>
  <si>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</si>
  <si>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</si>
  <si>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</si>
  <si>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</si>
  <si>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</si>
  <si>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</si>
  <si>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</si>
  <si>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</si>
  <si>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PANELS</t>
  </si>
  <si>
    <t>Description</t>
  </si>
  <si>
    <t>Qty</t>
  </si>
  <si>
    <t>ID</t>
  </si>
  <si>
    <t>Bill of Quantities</t>
  </si>
  <si>
    <t>Total kWac</t>
  </si>
  <si>
    <t>Model</t>
  </si>
  <si>
    <t>Make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</si>
  <si>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</si>
  <si>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</si>
  <si>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</si>
  <si>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</si>
  <si>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</si>
  <si>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</si>
  <si>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</si>
  <si>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Consumer Mains</t>
  </si>
  <si>
    <t>Main Switchboard to Inverter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</si>
  <si>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</si>
  <si>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</si>
  <si>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</si>
  <si>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</si>
  <si>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</si>
  <si>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</si>
  <si>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</si>
  <si>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</si>
  <si>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</si>
  <si>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</si>
  <si>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Main Switch</t>
  </si>
  <si>
    <t>MSB</t>
  </si>
  <si>
    <t>JS</t>
  </si>
  <si>
    <t>LG NeON 2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</si>
  <si>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</si>
  <si>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</si>
  <si>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</si>
  <si>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</si>
  <si>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</si>
  <si>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</si>
  <si>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</si>
  <si>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</si>
  <si>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</si>
  <si>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</si>
  <si>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</si>
  <si>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</si>
  <si>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</si>
  <si>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Inverter Information</t>
  </si>
  <si>
    <t>SMA</t>
  </si>
  <si>
    <t>SB4.0-1AV-40</t>
  </si>
  <si>
    <t>Vrise Info</t>
  </si>
  <si>
    <t>Service Main</t>
  </si>
  <si>
    <t>Consumer Main</t>
  </si>
  <si>
    <t xml:space="preserve">MSB </t>
  </si>
  <si>
    <t>Chosen Cable size</t>
  </si>
  <si>
    <t>Monitoring</t>
  </si>
  <si>
    <t>Arrays:</t>
  </si>
  <si>
    <t>Model:</t>
  </si>
  <si>
    <t>L1</t>
  </si>
  <si>
    <t>L2</t>
  </si>
  <si>
    <t>L3</t>
  </si>
  <si>
    <t>ENP 01</t>
  </si>
  <si>
    <t>Max current</t>
  </si>
  <si>
    <t>String1L1</t>
  </si>
  <si>
    <t>String1L2</t>
  </si>
  <si>
    <t>String1L3</t>
  </si>
  <si>
    <t>Extra Info</t>
  </si>
  <si>
    <t>Existing array (kWac)</t>
  </si>
  <si>
    <t>Block diag (0/1)</t>
  </si>
  <si>
    <t xml:space="preserve">Phases </t>
  </si>
  <si>
    <t>Battery Parameters</t>
  </si>
  <si>
    <t>No. Of batteries</t>
  </si>
  <si>
    <t>Tesla</t>
  </si>
  <si>
    <t>Powerwall 2</t>
  </si>
  <si>
    <t>Rated output power</t>
  </si>
  <si>
    <t>kW</t>
  </si>
  <si>
    <t>Rated capacity</t>
  </si>
  <si>
    <t>kWh</t>
  </si>
  <si>
    <t>A</t>
  </si>
  <si>
    <t>Battery system</t>
  </si>
  <si>
    <t>Max DC Volts</t>
  </si>
  <si>
    <t>V</t>
  </si>
  <si>
    <t xml:space="preserve">Main Switch </t>
  </si>
  <si>
    <t>Inverter supply</t>
  </si>
  <si>
    <t>No. of Inverters:</t>
  </si>
  <si>
    <t>Total Rated AC Power</t>
  </si>
  <si>
    <t xml:space="preserve">Battery system </t>
  </si>
  <si>
    <t>Isolator</t>
  </si>
  <si>
    <t>IQ7+</t>
  </si>
  <si>
    <t>BATT 01</t>
  </si>
  <si>
    <t>PW2</t>
  </si>
  <si>
    <t>Total (kW)</t>
  </si>
  <si>
    <t>INVERTER</t>
  </si>
  <si>
    <t>ENCLOSURE</t>
  </si>
  <si>
    <t xml:space="preserve">Enphase Outdoor 3P </t>
  </si>
  <si>
    <t>Q RELAY</t>
  </si>
  <si>
    <t>Solar Supply AC Isolator</t>
  </si>
  <si>
    <t>AC ISOLATOR</t>
  </si>
  <si>
    <t>1 Pole, 240V AC (if requred)</t>
  </si>
  <si>
    <t>ENVOY</t>
  </si>
  <si>
    <t>Enphase Envoy Metered (3P)</t>
  </si>
  <si>
    <t>Backup Bus</t>
  </si>
  <si>
    <t>Non-Backup Bus</t>
  </si>
  <si>
    <t>Tesla Powerwall 2, 5kW</t>
  </si>
  <si>
    <t>Note: In back up mode, only one phase is energized</t>
  </si>
  <si>
    <t>Max output fault current</t>
  </si>
  <si>
    <t>Inverter 1</t>
  </si>
  <si>
    <t>A.C Isolator</t>
  </si>
  <si>
    <t xml:space="preserve">    Inverter supply</t>
  </si>
  <si>
    <t>Inv</t>
  </si>
  <si>
    <t>N.Panels</t>
  </si>
  <si>
    <t>Voc</t>
  </si>
  <si>
    <t>Isc</t>
  </si>
  <si>
    <t>Inverter Phases</t>
  </si>
  <si>
    <t>Iout Max</t>
  </si>
  <si>
    <t>MpptA1</t>
  </si>
  <si>
    <t>MpptA2</t>
  </si>
  <si>
    <t>MpptB1</t>
  </si>
  <si>
    <t>MpptB2</t>
  </si>
  <si>
    <t>Panels</t>
  </si>
  <si>
    <t>String</t>
  </si>
  <si>
    <t>P.V. Array</t>
  </si>
  <si>
    <t>D.C. Isolator</t>
  </si>
  <si>
    <t>Grid Connect</t>
  </si>
  <si>
    <t>Inverter No. 1</t>
  </si>
  <si>
    <t>B</t>
  </si>
  <si>
    <t>Mppt</t>
  </si>
  <si>
    <t>No. Of Panels</t>
  </si>
  <si>
    <t>Total kWdc</t>
  </si>
  <si>
    <t>Rated AC Power</t>
  </si>
  <si>
    <t>Notes</t>
  </si>
  <si>
    <t xml:space="preserve">Wood, Ben
</t>
  </si>
  <si>
    <t>54 CHARLTON ST Barnsley</t>
  </si>
  <si>
    <t>Enphase</t>
  </si>
  <si>
    <t>IQ7A</t>
  </si>
  <si>
    <t>19.4 = (13 * 0.29 + 2* 0.35)/ 0.2319.4 = (13 * 0.29 + 2* 0.35)/ 0.2319.4 = (13 * 0.29 + 2* 0.35)/ 0.2319.4 = (13 * 0.29 + 2* 0.35)/ 0.2319.4 = (13 * 0.29 + 2* 0.35)/ 0.2319.4 = (13 * 0.29 + 2* 0.35)/ 0.2319.4 = (13 * 0.29 + 2* 0.35)/ 0.2319.4 = (13 * 0.29 + 2* 0.35)/ 0.23</t>
  </si>
  <si>
    <t>ENP 02</t>
  </si>
  <si>
    <t xml:space="preserve">Battery </t>
  </si>
  <si>
    <t>system</t>
  </si>
  <si>
    <t xml:space="preserve">20 Jan 2021 </t>
  </si>
  <si>
    <t>ENP 02 - New</t>
  </si>
  <si>
    <t xml:space="preserve"> 3 Phase IQ A </t>
  </si>
  <si>
    <t xml:space="preserve"> 3 Phase IQ 7+  </t>
  </si>
  <si>
    <t>(Total 11.6 kWac)</t>
  </si>
  <si>
    <t>(Total 1.75 kWac)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</si>
</sst>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/mm/yy;@"/>
    <numFmt numFmtId="165" formatCode="#.0\ \k\W\a\c"/>
    <numFmt numFmtId="166" formatCode="#.##\ \A"/>
    <numFmt numFmtId="167" formatCode="#.#\ \V"/>
    <numFmt numFmtId="168" formatCode="#\ \W"/>
    <numFmt numFmtId="169" formatCode="#.0\ \k\W"/>
    <numFmt numFmtId="170" formatCode="0\ &quot;Phase&quot;"/>
    <numFmt numFmtId="171" formatCode="0\ &quot;mm2&quot;"/>
    <numFmt numFmtId="172" formatCode="0.00000"/>
    <numFmt numFmtId="173" formatCode="#.##\ \k\W\d\c"/>
    <numFmt numFmtId="174" formatCode="0.0\ \k\W\a\c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 (Body)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46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4" xfId="0" applyBorder="1"/>
    <xf numFmtId="0" fontId="0" fillId="0" borderId="7" xfId="0" applyBorder="1"/>
    <xf numFmtId="0" fontId="1" fillId="0" borderId="3" xfId="0" applyFont="1" applyBorder="1"/>
    <xf numFmtId="0" fontId="2" fillId="0" borderId="0" xfId="0" applyFont="1"/>
    <xf numFmtId="166" fontId="0" fillId="0" borderId="0" xfId="0" applyNumberFormat="1"/>
    <xf numFmtId="0" fontId="0" fillId="0" borderId="0" xfId="0"/>
    <xf numFmtId="0" fontId="0" fillId="0" borderId="0" xfId="0" applyAlignment="1">
      <alignment vertical="center"/>
    </xf>
    <xf numFmtId="0" fontId="4" fillId="0" borderId="6" xfId="0" applyFont="1" applyBorder="1"/>
    <xf numFmtId="0" fontId="3" fillId="0" borderId="12" xfId="0" applyFont="1" applyBorder="1"/>
    <xf numFmtId="0" fontId="3" fillId="0" borderId="13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0" fontId="0" fillId="2" borderId="0" xfId="0" applyFill="1"/>
    <xf numFmtId="0" fontId="0" fillId="2" borderId="2" xfId="0" applyFill="1" applyBorder="1"/>
    <xf numFmtId="0" fontId="5" fillId="2" borderId="3" xfId="0" applyFont="1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0" fontId="0" fillId="2" borderId="0" xfId="0" quotePrefix="1" applyFill="1"/>
    <xf numFmtId="0" fontId="0" fillId="0" borderId="0" xfId="0" applyAlignment="1">
      <alignment horizontal="center"/>
    </xf>
    <xf numFmtId="0" fontId="6" fillId="0" borderId="14" xfId="1" applyFont="1" applyBorder="1" applyAlignment="1">
      <alignment horizontal="right"/>
    </xf>
    <xf numFmtId="0" fontId="3" fillId="0" borderId="15" xfId="1" applyBorder="1" applyProtection="1">
      <protection locked="0"/>
    </xf>
    <xf numFmtId="0" fontId="3" fillId="0" borderId="19" xfId="1" applyBorder="1"/>
    <xf numFmtId="170" fontId="3" fillId="0" borderId="3" xfId="1" applyNumberFormat="1" applyBorder="1" applyProtection="1">
      <protection locked="0"/>
    </xf>
    <xf numFmtId="0" fontId="3" fillId="0" borderId="20" xfId="1" applyBorder="1"/>
    <xf numFmtId="170" fontId="3" fillId="0" borderId="21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2" xfId="1" applyBorder="1" applyProtection="1">
      <protection locked="0"/>
    </xf>
    <xf numFmtId="0" fontId="3" fillId="0" borderId="1" xfId="1" applyBorder="1"/>
    <xf numFmtId="0" fontId="3" fillId="0" borderId="23" xfId="1" applyBorder="1" applyProtection="1">
      <protection locked="0"/>
    </xf>
    <xf numFmtId="0" fontId="3" fillId="0" borderId="24" xfId="1" applyBorder="1"/>
    <xf numFmtId="171" fontId="3" fillId="0" borderId="0" xfId="1" applyNumberFormat="1"/>
    <xf numFmtId="171" fontId="3" fillId="0" borderId="25" xfId="1" applyNumberFormat="1" applyBorder="1"/>
    <xf numFmtId="0" fontId="3" fillId="0" borderId="26" xfId="1" applyBorder="1"/>
    <xf numFmtId="2" fontId="3" fillId="0" borderId="6" xfId="1" applyNumberFormat="1" applyBorder="1" applyProtection="1">
      <protection locked="0"/>
    </xf>
    <xf numFmtId="2" fontId="3" fillId="0" borderId="27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0" fontId="3" fillId="0" borderId="29" xfId="1" applyBorder="1" applyAlignment="1">
      <alignment horizontal="left"/>
    </xf>
    <xf numFmtId="0" fontId="3" fillId="0" borderId="30" xfId="1" applyBorder="1"/>
    <xf numFmtId="0" fontId="3" fillId="0" borderId="31" xfId="1" applyBorder="1" applyAlignment="1">
      <alignment horizontal="left"/>
    </xf>
    <xf numFmtId="0" fontId="3" fillId="0" borderId="28" xfId="1" applyBorder="1"/>
    <xf numFmtId="0" fontId="3" fillId="0" borderId="14" xfId="1" applyBorder="1"/>
    <xf numFmtId="10" fontId="3" fillId="0" borderId="32" xfId="1" applyNumberFormat="1" applyBorder="1"/>
    <xf numFmtId="0" fontId="3" fillId="0" borderId="33" xfId="1" applyBorder="1"/>
    <xf numFmtId="172" fontId="3" fillId="0" borderId="34" xfId="1" applyNumberFormat="1" applyBorder="1"/>
    <xf numFmtId="10" fontId="3" fillId="0" borderId="35" xfId="1" applyNumberFormat="1" applyBorder="1" applyAlignment="1" applyProtection="1">
      <alignment horizontal="left"/>
      <protection locked="0"/>
    </xf>
    <xf numFmtId="0" fontId="3" fillId="0" borderId="32" xfId="1" applyBorder="1" applyAlignment="1" applyProtection="1">
      <alignment horizontal="left"/>
      <protection locked="0"/>
    </xf>
    <xf numFmtId="0" fontId="3" fillId="0" borderId="39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172" fontId="3" fillId="0" borderId="42" xfId="1" applyNumberFormat="1" applyBorder="1"/>
    <xf numFmtId="10" fontId="3" fillId="0" borderId="43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0" fillId="0" borderId="45" xfId="0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0" fillId="0" borderId="45" xfId="0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5" xfId="0" applyFont="1" applyBorder="1"/>
    <xf numFmtId="0" fontId="3" fillId="0" borderId="8" xfId="0" applyFont="1" applyBorder="1"/>
    <xf numFmtId="0" fontId="3" fillId="0" borderId="7" xfId="0" applyFont="1" applyBorder="1"/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69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1" xfId="0" applyFont="1" applyBorder="1"/>
    <xf numFmtId="0" fontId="3" fillId="0" borderId="3" xfId="0" applyFont="1" applyBorder="1"/>
    <xf numFmtId="0" fontId="3" fillId="0" borderId="2" xfId="0" applyFont="1" applyBorder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8" fillId="0" borderId="0" xfId="0" applyFont="1" applyBorder="1" applyAlignment="1"/>
    <xf numFmtId="0" fontId="8" fillId="0" borderId="0" xfId="0" applyFont="1" applyFill="1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10" fillId="0" borderId="0" xfId="0" applyFont="1"/>
    <xf numFmtId="0" fontId="5" fillId="0" borderId="0" xfId="0" applyFont="1"/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1" fillId="0" borderId="2" xfId="0" applyFont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12" xfId="0" applyBorder="1"/>
    <xf numFmtId="0" fontId="0" fillId="0" borderId="10" xfId="0" applyBorder="1"/>
    <xf numFmtId="0" fontId="0" fillId="0" borderId="10" xfId="0" applyBorder="1"/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0" xfId="0"/>
    <xf numFmtId="0" fontId="1" fillId="0" borderId="0" xfId="0" applyFont="1"/>
    <xf numFmtId="0" fontId="0" fillId="2" borderId="7" xfId="0" quotePrefix="1" applyFill="1" applyBorder="1" applyAlignment="1"/>
    <xf numFmtId="0" fontId="0" fillId="2" borderId="2" xfId="0" applyFill="1" applyBorder="1" applyAlignment="1"/>
    <xf numFmtId="0" fontId="0" fillId="2" borderId="1" xfId="0" applyFill="1" applyBorder="1" applyAlignment="1"/>
    <xf numFmtId="0" fontId="0" fillId="2" borderId="0" xfId="0" applyFill="1" applyAlignment="1"/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1" fillId="0" borderId="0" xfId="0" applyFont="1"/>
    <xf numFmtId="0" fontId="0" fillId="0" borderId="0" xfId="0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1" fillId="0" borderId="0" xfId="0" applyFont="1"/>
    <xf numFmtId="0" fontId="1" fillId="0" borderId="0" xfId="0" applyFont="1"/>
    <xf numFmtId="0" fontId="0" fillId="0" borderId="0" xfId="0"/>
    <xf numFmtId="167" fontId="0" fillId="2" borderId="0" xfId="0" quotePrefix="1" applyNumberFormat="1" applyFill="1" applyAlignment="1">
      <alignment horizontal="center"/>
    </xf>
    <xf numFmtId="167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/>
    <xf numFmtId="0" fontId="0" fillId="0" borderId="0" xfId="0"/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3" fillId="0" borderId="0" xfId="0" applyFont="1" applyBorder="1"/>
    <xf numFmtId="0" fontId="0" fillId="0" borderId="0" xfId="0" applyBorder="1"/>
    <xf numFmtId="0" fontId="0" fillId="2" borderId="0" xfId="0" applyFill="1" applyBorder="1"/>
    <xf numFmtId="0" fontId="0" fillId="0" borderId="0" xfId="0"/>
    <xf numFmtId="0" fontId="0" fillId="3" borderId="4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3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3" fillId="0" borderId="44" xfId="1" applyBorder="1" applyAlignment="1" applyProtection="1">
      <alignment horizontal="left"/>
      <protection locked="0"/>
    </xf>
    <xf numFmtId="0" fontId="3" fillId="0" borderId="1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6" fillId="0" borderId="17" xfId="1" applyFont="1" applyBorder="1" applyAlignment="1">
      <alignment horizontal="center"/>
    </xf>
    <xf numFmtId="0" fontId="6" fillId="0" borderId="16" xfId="1" applyFont="1" applyBorder="1" applyAlignment="1">
      <alignment horizontal="center"/>
    </xf>
    <xf numFmtId="0" fontId="7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3" fillId="0" borderId="34" xfId="1" applyBorder="1" applyAlignment="1">
      <alignment horizontal="right" vertical="top"/>
    </xf>
    <xf numFmtId="0" fontId="3" fillId="0" borderId="38" xfId="1" applyBorder="1" applyAlignment="1">
      <alignment horizontal="right" vertical="top"/>
    </xf>
    <xf numFmtId="10" fontId="0" fillId="3" borderId="36" xfId="2" applyNumberFormat="1" applyFont="1" applyFill="1" applyBorder="1" applyAlignment="1">
      <alignment horizontal="center"/>
    </xf>
    <xf numFmtId="10" fontId="0" fillId="3" borderId="41" xfId="2" applyNumberFormat="1" applyFont="1" applyFill="1" applyBorder="1" applyAlignment="1">
      <alignment horizontal="center"/>
    </xf>
    <xf numFmtId="2" fontId="3" fillId="3" borderId="37" xfId="1" applyNumberFormat="1" applyFill="1" applyBorder="1" applyAlignment="1">
      <alignment horizontal="center"/>
    </xf>
    <xf numFmtId="2" fontId="3" fillId="3" borderId="30" xfId="1" applyNumberFormat="1" applyFill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Alignment="1">
      <alignment horizontal="left" indent="4"/>
    </xf>
    <xf numFmtId="0" fontId="0" fillId="2" borderId="7" xfId="0" applyFill="1" applyBorder="1" applyAlignment="1">
      <alignment horizontal="left" indent="4"/>
    </xf>
    <xf numFmtId="0" fontId="0" fillId="2" borderId="0" xfId="0" applyFill="1" applyAlignment="1">
      <alignment horizontal="right" indent="1"/>
    </xf>
    <xf numFmtId="0" fontId="0" fillId="2" borderId="7" xfId="0" applyFill="1" applyBorder="1" applyAlignment="1">
      <alignment horizontal="right" indent="1"/>
    </xf>
    <xf numFmtId="0" fontId="0" fillId="2" borderId="0" xfId="0" quotePrefix="1" applyFill="1" applyAlignment="1">
      <alignment horizontal="left" indent="4"/>
    </xf>
    <xf numFmtId="0" fontId="0" fillId="2" borderId="7" xfId="0" quotePrefix="1" applyFill="1" applyBorder="1" applyAlignment="1">
      <alignment horizontal="left" indent="4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166" fontId="0" fillId="2" borderId="0" xfId="0" quotePrefix="1" applyNumberFormat="1" applyFill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3" fontId="0" fillId="2" borderId="2" xfId="0" quotePrefix="1" applyNumberFormat="1" applyFill="1" applyBorder="1" applyAlignment="1">
      <alignment horizontal="left" indent="3"/>
    </xf>
    <xf numFmtId="173" fontId="0" fillId="2" borderId="1" xfId="0" quotePrefix="1" applyNumberFormat="1" applyFill="1" applyBorder="1" applyAlignment="1">
      <alignment horizontal="left" indent="3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165" fontId="0" fillId="0" borderId="5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0" xfId="0" applyFont="1"/>
    <xf numFmtId="0" fontId="0" fillId="0" borderId="0" xfId="0"/>
    <xf numFmtId="168" fontId="0" fillId="2" borderId="0" xfId="0" applyNumberFormat="1" applyFill="1" applyAlignment="1">
      <alignment horizontal="center"/>
    </xf>
    <xf numFmtId="167" fontId="0" fillId="2" borderId="0" xfId="0" quotePrefix="1" applyNumberFormat="1" applyFill="1" applyAlignment="1">
      <alignment horizontal="center"/>
    </xf>
    <xf numFmtId="168" fontId="0" fillId="2" borderId="7" xfId="0" applyNumberFormat="1" applyFill="1" applyBorder="1" applyAlignment="1">
      <alignment horizontal="center"/>
    </xf>
    <xf numFmtId="167" fontId="0" fillId="2" borderId="7" xfId="0" quotePrefix="1" applyNumberFormat="1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0" fontId="0" fillId="2" borderId="0" xfId="0" quotePrefix="1" applyFill="1" applyAlignment="1">
      <alignment horizontal="left" indent="1"/>
    </xf>
    <xf numFmtId="174" fontId="0" fillId="2" borderId="0" xfId="0" applyNumberFormat="1" applyFill="1" applyAlignment="1">
      <alignment horizontal="center"/>
    </xf>
    <xf numFmtId="174" fontId="0" fillId="2" borderId="7" xfId="0" applyNumberFormat="1" applyFill="1" applyBorder="1" applyAlignment="1">
      <alignment horizontal="center"/>
    </xf>
    <xf numFmtId="165" fontId="0" fillId="2" borderId="2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73" fontId="0" fillId="2" borderId="2" xfId="0" quotePrefix="1" applyNumberFormat="1" applyFill="1" applyBorder="1" applyAlignment="1">
      <alignment horizontal="left" indent="5"/>
    </xf>
    <xf numFmtId="173" fontId="0" fillId="2" borderId="1" xfId="0" quotePrefix="1" applyNumberFormat="1" applyFill="1" applyBorder="1" applyAlignment="1">
      <alignment horizontal="left" indent="5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left" indent="6"/>
    </xf>
    <xf numFmtId="0" fontId="0" fillId="2" borderId="7" xfId="0" applyFill="1" applyBorder="1" applyAlignment="1">
      <alignment horizontal="left" indent="6"/>
    </xf>
    <xf numFmtId="0" fontId="0" fillId="2" borderId="0" xfId="0" applyFill="1" applyAlignment="1">
      <alignment horizontal="left" indent="7"/>
    </xf>
    <xf numFmtId="0" fontId="0" fillId="2" borderId="7" xfId="0" applyFill="1" applyBorder="1" applyAlignment="1">
      <alignment horizontal="left" indent="7"/>
    </xf>
    <xf numFmtId="169" fontId="0" fillId="2" borderId="2" xfId="0" applyNumberFormat="1" applyFill="1" applyBorder="1" applyAlignment="1">
      <alignment horizontal="center"/>
    </xf>
    <xf numFmtId="169" fontId="0" fillId="2" borderId="1" xfId="0" applyNumberForma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0" fillId="2" borderId="2" xfId="0" quotePrefix="1" applyNumberFormat="1" applyFill="1" applyBorder="1" applyAlignment="1">
      <alignment horizontal="center"/>
    </xf>
    <xf numFmtId="166" fontId="0" fillId="2" borderId="1" xfId="0" quotePrefix="1" applyNumberFormat="1" applyFill="1" applyBorder="1" applyAlignment="1">
      <alignment horizontal="center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21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4000" y="221606"/>
          <a:ext cx="206411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3066070" y="476439"/>
          <a:ext cx="611429" cy="3812421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2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2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2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2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2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2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2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2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2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2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2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118663" y="476439"/>
          <a:ext cx="608726" cy="3812420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2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2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2016229" y="479709"/>
          <a:ext cx="609476" cy="3818825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2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2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2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:ma14="http://schemas.microsoft.com/office/mac/drawingml/2011/main" xmlns="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2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2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2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2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2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2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2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2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8209</xdr:colOff>
      <xdr:row>3</xdr:row>
      <xdr:rowOff>162219</xdr:rowOff>
    </xdr:from>
    <xdr:to>
      <xdr:col>60</xdr:col>
      <xdr:colOff>97694</xdr:colOff>
      <xdr:row>26</xdr:row>
      <xdr:rowOff>153517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521613" y="770198"/>
          <a:ext cx="14964698" cy="4652468"/>
          <a:chOff x="497840" y="771821"/>
          <a:chExt cx="4673317" cy="469567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7840" y="771821"/>
            <a:ext cx="4673317" cy="469567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54</xdr:col>
      <xdr:colOff>158472</xdr:colOff>
      <xdr:row>19</xdr:row>
      <xdr:rowOff>9081</xdr:rowOff>
    </xdr:from>
    <xdr:to>
      <xdr:col>58</xdr:col>
      <xdr:colOff>72011</xdr:colOff>
      <xdr:row>24</xdr:row>
      <xdr:rowOff>44779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14006876" y="3859613"/>
          <a:ext cx="940348" cy="1048996"/>
          <a:chOff x="9818385" y="4413061"/>
          <a:chExt cx="928544" cy="1054240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 flipH="1">
            <a:off x="10475279" y="4413061"/>
            <a:ext cx="0" cy="55561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9818385" y="479352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46</xdr:row>
      <xdr:rowOff>161825</xdr:rowOff>
    </xdr:from>
    <xdr:to>
      <xdr:col>38</xdr:col>
      <xdr:colOff>118533</xdr:colOff>
      <xdr:row>46</xdr:row>
      <xdr:rowOff>161825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>
          <a:off x="3320802" y="9509025"/>
          <a:ext cx="6449731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4" name="Shape 27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5" name="Shape 27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endCxn id="64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69" name="Shape 2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 flipH="1">
          <a:off x="3199437" y="4588862"/>
          <a:ext cx="218640" cy="223377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1" name="Shape 27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46</xdr:row>
      <xdr:rowOff>177810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CxnSpPr/>
      </xdr:nvCxnSpPr>
      <xdr:spPr>
        <a:xfrm>
          <a:off x="3319230" y="9096581"/>
          <a:ext cx="0" cy="4284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183299</xdr:colOff>
      <xdr:row>14</xdr:row>
      <xdr:rowOff>113497</xdr:rowOff>
    </xdr:from>
    <xdr:to>
      <xdr:col>43</xdr:col>
      <xdr:colOff>29630</xdr:colOff>
      <xdr:row>27</xdr:row>
      <xdr:rowOff>73375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GrpSpPr/>
      </xdr:nvGrpSpPr>
      <xdr:grpSpPr>
        <a:xfrm>
          <a:off x="10694576" y="2950731"/>
          <a:ext cx="359735" cy="2594453"/>
          <a:chOff x="9530059" y="4384205"/>
          <a:chExt cx="369906" cy="2596634"/>
        </a:xfrm>
      </xdr:grpSpPr>
      <xdr:sp macro="" textlink="">
        <xdr:nvSpPr>
          <xdr:cNvPr id="81" name="Shape 27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/>
        </xdr:nvSpPr>
        <xdr:spPr>
          <a:xfrm>
            <a:off x="9593489" y="5106729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2" name="Shape 27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SpPr/>
        </xdr:nvSpPr>
        <xdr:spPr>
          <a:xfrm>
            <a:off x="9589750" y="4879436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3" name="Shape 26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/>
        </xdr:nvSpPr>
        <xdr:spPr>
          <a:xfrm flipH="1">
            <a:off x="9684192" y="4965561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4" name="Shape 26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/>
        </xdr:nvSpPr>
        <xdr:spPr>
          <a:xfrm flipH="1">
            <a:off x="9530059" y="4436963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CxnSpPr/>
        </xdr:nvCxnSpPr>
        <xdr:spPr>
          <a:xfrm>
            <a:off x="9634878" y="4384205"/>
            <a:ext cx="0" cy="51332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Connector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CxnSpPr/>
        </xdr:nvCxnSpPr>
        <xdr:spPr>
          <a:xfrm>
            <a:off x="9651134" y="5215228"/>
            <a:ext cx="0" cy="176561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121474</xdr:colOff>
      <xdr:row>14</xdr:row>
      <xdr:rowOff>118535</xdr:rowOff>
    </xdr:from>
    <xdr:to>
      <xdr:col>38</xdr:col>
      <xdr:colOff>121474</xdr:colOff>
      <xdr:row>46</xdr:row>
      <xdr:rowOff>186267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CxnSpPr/>
      </xdr:nvCxnSpPr>
      <xdr:spPr>
        <a:xfrm>
          <a:off x="9773474" y="2963335"/>
          <a:ext cx="0" cy="65701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16933</xdr:colOff>
      <xdr:row>14</xdr:row>
      <xdr:rowOff>104072</xdr:rowOff>
    </xdr:from>
    <xdr:to>
      <xdr:col>59</xdr:col>
      <xdr:colOff>13956</xdr:colOff>
      <xdr:row>14</xdr:row>
      <xdr:rowOff>104072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9297702" y="3034841"/>
          <a:ext cx="5523617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38975</xdr:colOff>
      <xdr:row>27</xdr:row>
      <xdr:rowOff>71780</xdr:rowOff>
    </xdr:from>
    <xdr:to>
      <xdr:col>44</xdr:col>
      <xdr:colOff>23478</xdr:colOff>
      <xdr:row>37</xdr:row>
      <xdr:rowOff>164806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GrpSpPr/>
      </xdr:nvGrpSpPr>
      <xdr:grpSpPr>
        <a:xfrm>
          <a:off x="10293549" y="5543589"/>
          <a:ext cx="1011312" cy="2119621"/>
          <a:chOff x="9331439" y="5595260"/>
          <a:chExt cx="1009223" cy="2113883"/>
        </a:xfrm>
      </xdr:grpSpPr>
      <xdr:grpSp>
        <xdr:nvGrpSpPr>
          <xdr:cNvPr id="91" name="Group 90" descr="Inverter">
            <a:extLst>
              <a:ext uri="{FF2B5EF4-FFF2-40B4-BE49-F238E27FC236}">
                <a16:creationId xmlns:a16="http://schemas.microsoft.com/office/drawing/2014/main" id="{00000000-0008-0000-0200-00005B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200-00006A00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112" name="Shape 5">
                <a:extLst>
                  <a:ext uri="{FF2B5EF4-FFF2-40B4-BE49-F238E27FC236}">
                    <a16:creationId xmlns:a16="http://schemas.microsoft.com/office/drawing/2014/main" id="{00000000-0008-0000-0200-00007000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3" name="Shape 6">
                <a:extLst>
                  <a:ext uri="{FF2B5EF4-FFF2-40B4-BE49-F238E27FC236}">
                    <a16:creationId xmlns:a16="http://schemas.microsoft.com/office/drawing/2014/main" id="{00000000-0008-0000-0200-00007100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4" name="Shape 7">
                <a:extLst>
                  <a:ext uri="{FF2B5EF4-FFF2-40B4-BE49-F238E27FC236}">
                    <a16:creationId xmlns:a16="http://schemas.microsoft.com/office/drawing/2014/main" id="{00000000-0008-0000-0200-00007200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5" name="Shape 8">
                <a:extLst>
                  <a:ext uri="{FF2B5EF4-FFF2-40B4-BE49-F238E27FC236}">
                    <a16:creationId xmlns:a16="http://schemas.microsoft.com/office/drawing/2014/main" id="{00000000-0008-0000-0200-00007300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200-00006B00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8" name="Rectangle 107">
              <a:extLst>
                <a:ext uri="{FF2B5EF4-FFF2-40B4-BE49-F238E27FC236}">
                  <a16:creationId xmlns:a16="http://schemas.microsoft.com/office/drawing/2014/main" id="{00000000-0008-0000-0200-00006C00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9" name="Rectangle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0" name="Rectangle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1" name="Rectangle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92" name="Group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98" name="Shape 9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9" name="Shape 3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0" name="Shape 39">
              <a:extLst>
                <a:ext uri="{FF2B5EF4-FFF2-40B4-BE49-F238E27FC236}">
                  <a16:creationId xmlns:a16="http://schemas.microsoft.com/office/drawing/2014/main" id="{00000000-0008-0000-0200-00006400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1" name="Shape 13">
              <a:extLst>
                <a:ext uri="{FF2B5EF4-FFF2-40B4-BE49-F238E27FC236}">
                  <a16:creationId xmlns:a16="http://schemas.microsoft.com/office/drawing/2014/main" id="{00000000-0008-0000-0200-00006500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2" name="Shape 37">
              <a:extLst>
                <a:ext uri="{FF2B5EF4-FFF2-40B4-BE49-F238E27FC236}">
                  <a16:creationId xmlns:a16="http://schemas.microsoft.com/office/drawing/2014/main" id="{00000000-0008-0000-0200-000066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3" name="Shape 9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4" name="Shape 9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5" name="Shape 9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93" name="Rectangle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94" name="Shape 18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5" name="Shape 18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6" name="Shape 18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7" name="Shape 18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32</xdr:col>
      <xdr:colOff>114224</xdr:colOff>
      <xdr:row>19</xdr:row>
      <xdr:rowOff>180370</xdr:rowOff>
    </xdr:from>
    <xdr:to>
      <xdr:col>32</xdr:col>
      <xdr:colOff>114224</xdr:colOff>
      <xdr:row>20</xdr:row>
      <xdr:rowOff>17546</xdr:rowOff>
    </xdr:to>
    <xdr:sp macro="" textlink="">
      <xdr:nvSpPr>
        <xdr:cNvPr id="116" name="Shape 18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 flipH="1">
          <a:off x="8345352" y="3990370"/>
          <a:ext cx="0" cy="37702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32</xdr:col>
      <xdr:colOff>106325</xdr:colOff>
      <xdr:row>20</xdr:row>
      <xdr:rowOff>15543</xdr:rowOff>
    </xdr:from>
    <xdr:to>
      <xdr:col>34</xdr:col>
      <xdr:colOff>250680</xdr:colOff>
      <xdr:row>22</xdr:row>
      <xdr:rowOff>127597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337453" y="4026069"/>
          <a:ext cx="659994" cy="5131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Normal</a:t>
          </a:r>
        </a:p>
        <a:p>
          <a:r>
            <a:rPr lang="en-GB" sz="1100"/>
            <a:t>Loads</a:t>
          </a:r>
        </a:p>
        <a:p>
          <a:endParaRPr lang="en-GB" sz="1100"/>
        </a:p>
        <a:p>
          <a:endParaRPr lang="en-GB" sz="1800"/>
        </a:p>
      </xdr:txBody>
    </xdr:sp>
    <xdr:clientData/>
  </xdr:twoCellAnchor>
  <xdr:twoCellAnchor>
    <xdr:from>
      <xdr:col>32</xdr:col>
      <xdr:colOff>53993</xdr:colOff>
      <xdr:row>14</xdr:row>
      <xdr:rowOff>85939</xdr:rowOff>
    </xdr:from>
    <xdr:to>
      <xdr:col>33</xdr:col>
      <xdr:colOff>107913</xdr:colOff>
      <xdr:row>19</xdr:row>
      <xdr:rowOff>148931</xdr:rowOff>
    </xdr:to>
    <xdr:grpSp>
      <xdr:nvGrpSpPr>
        <xdr:cNvPr id="118" name="Group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/>
      </xdr:nvGrpSpPr>
      <xdr:grpSpPr>
        <a:xfrm>
          <a:off x="8254950" y="2923173"/>
          <a:ext cx="310623" cy="1076290"/>
          <a:chOff x="9589750" y="4213796"/>
          <a:chExt cx="310215" cy="1085789"/>
        </a:xfrm>
      </xdr:grpSpPr>
      <xdr:sp macro="" textlink="">
        <xdr:nvSpPr>
          <xdr:cNvPr id="119" name="Shape 27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SpPr/>
        </xdr:nvSpPr>
        <xdr:spPr>
          <a:xfrm>
            <a:off x="9593489" y="4963526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0" name="Shape 27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/>
        </xdr:nvSpPr>
        <xdr:spPr>
          <a:xfrm>
            <a:off x="9589750" y="4736233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1" name="Shape 26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/>
        </xdr:nvSpPr>
        <xdr:spPr>
          <a:xfrm flipH="1">
            <a:off x="9684192" y="4822358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CxnSpPr/>
        </xdr:nvCxnSpPr>
        <xdr:spPr>
          <a:xfrm>
            <a:off x="9642667" y="4213796"/>
            <a:ext cx="0" cy="53152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CxnSpPr/>
        </xdr:nvCxnSpPr>
        <xdr:spPr>
          <a:xfrm>
            <a:off x="9647492" y="5069129"/>
            <a:ext cx="0" cy="230456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124" name="Shape 27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>
          <a:off x="3259903" y="5269729"/>
          <a:ext cx="91257" cy="102628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125" name="Shape 27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/>
      </xdr:nvSpPr>
      <xdr:spPr>
        <a:xfrm>
          <a:off x="3256077" y="5042686"/>
          <a:ext cx="91257" cy="102626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126" name="Shape 26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/>
      </xdr:nvSpPr>
      <xdr:spPr>
        <a:xfrm flipH="1">
          <a:off x="3346585" y="5131377"/>
          <a:ext cx="214645" cy="17957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127" name="3PCables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GrpSpPr/>
      </xdr:nvGrpSpPr>
      <xdr:grpSpPr>
        <a:xfrm>
          <a:off x="3219794" y="4509200"/>
          <a:ext cx="229304" cy="373569"/>
          <a:chOff x="3201903" y="4462268"/>
          <a:chExt cx="227837" cy="369303"/>
        </a:xfrm>
      </xdr:grpSpPr>
      <xdr:sp macro="" textlink="">
        <xdr:nvSpPr>
          <xdr:cNvPr id="128" name="Shape 26">
            <a:extLst>
              <a:ext uri="{FF2B5EF4-FFF2-40B4-BE49-F238E27FC236}">
                <a16:creationId xmlns:a16="http://schemas.microsoft.com/office/drawing/2014/main" id="{00000000-0008-0000-0200-00008000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9" name="Shape 26">
            <a:extLst>
              <a:ext uri="{FF2B5EF4-FFF2-40B4-BE49-F238E27FC236}">
                <a16:creationId xmlns:a16="http://schemas.microsoft.com/office/drawing/2014/main" id="{00000000-0008-0000-0200-00008100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CxnSpPr/>
      </xdr:nvCxnSpPr>
      <xdr:spPr>
        <a:xfrm>
          <a:off x="3312762" y="5353356"/>
          <a:ext cx="0" cy="7024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37545</xdr:colOff>
      <xdr:row>15</xdr:row>
      <xdr:rowOff>61356</xdr:rowOff>
    </xdr:from>
    <xdr:to>
      <xdr:col>27</xdr:col>
      <xdr:colOff>37301</xdr:colOff>
      <xdr:row>16</xdr:row>
      <xdr:rowOff>141542</xdr:rowOff>
    </xdr:to>
    <xdr:grpSp>
      <xdr:nvGrpSpPr>
        <xdr:cNvPr id="131" name="3PEnvoy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GrpSpPr/>
      </xdr:nvGrpSpPr>
      <xdr:grpSpPr>
        <a:xfrm>
          <a:off x="6698290" y="3101250"/>
          <a:ext cx="256458" cy="282845"/>
          <a:chOff x="7844688" y="3097141"/>
          <a:chExt cx="256533" cy="281443"/>
        </a:xfrm>
      </xdr:grpSpPr>
      <xdr:cxnSp macro="">
        <xdr:nvCxnSpPr>
          <xdr:cNvPr id="132" name="Straight Connector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CxnSpPr/>
        </xdr:nvCxnSpPr>
        <xdr:spPr>
          <a:xfrm flipH="1">
            <a:off x="7844688" y="309714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Straight Connector 132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CxnSpPr/>
        </xdr:nvCxnSpPr>
        <xdr:spPr>
          <a:xfrm flipH="1">
            <a:off x="7844688" y="319723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56</xdr:col>
      <xdr:colOff>187687</xdr:colOff>
      <xdr:row>14</xdr:row>
      <xdr:rowOff>90836</xdr:rowOff>
    </xdr:from>
    <xdr:to>
      <xdr:col>58</xdr:col>
      <xdr:colOff>45911</xdr:colOff>
      <xdr:row>19</xdr:row>
      <xdr:rowOff>49461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GrpSpPr/>
      </xdr:nvGrpSpPr>
      <xdr:grpSpPr>
        <a:xfrm>
          <a:off x="14549496" y="2928070"/>
          <a:ext cx="371628" cy="971923"/>
          <a:chOff x="9530059" y="4275667"/>
          <a:chExt cx="369906" cy="974625"/>
        </a:xfrm>
      </xdr:grpSpPr>
      <xdr:sp macro="" textlink="">
        <xdr:nvSpPr>
          <xdr:cNvPr id="135" name="Shape 27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6" name="Shape 27">
            <a:extLst>
              <a:ext uri="{FF2B5EF4-FFF2-40B4-BE49-F238E27FC236}">
                <a16:creationId xmlns:a16="http://schemas.microsoft.com/office/drawing/2014/main" id="{00000000-0008-0000-0200-000088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7" name="Shape 26">
            <a:extLst>
              <a:ext uri="{FF2B5EF4-FFF2-40B4-BE49-F238E27FC236}">
                <a16:creationId xmlns:a16="http://schemas.microsoft.com/office/drawing/2014/main" id="{00000000-0008-0000-0200-000089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8" name="Shape 26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39" name="Straight Connector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/>
        </xdr:nvCxnSpPr>
        <xdr:spPr>
          <a:xfrm>
            <a:off x="9642667" y="4275667"/>
            <a:ext cx="0" cy="4696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" name="Straight Connector 139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59755</xdr:colOff>
      <xdr:row>14</xdr:row>
      <xdr:rowOff>108146</xdr:rowOff>
    </xdr:from>
    <xdr:to>
      <xdr:col>28</xdr:col>
      <xdr:colOff>65082</xdr:colOff>
      <xdr:row>23</xdr:row>
      <xdr:rowOff>165685</xdr:rowOff>
    </xdr:to>
    <xdr:grpSp>
      <xdr:nvGrpSpPr>
        <xdr:cNvPr id="141" name="1PEnvoy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GrpSpPr/>
      </xdr:nvGrpSpPr>
      <xdr:grpSpPr>
        <a:xfrm>
          <a:off x="6463798" y="2945380"/>
          <a:ext cx="775433" cy="1881475"/>
          <a:chOff x="7163288" y="2923783"/>
          <a:chExt cx="781187" cy="1856705"/>
        </a:xfrm>
      </xdr:grpSpPr>
      <xdr:grpSp>
        <xdr:nvGrpSpPr>
          <xdr:cNvPr id="142" name="Envoy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GrpSpPr/>
        </xdr:nvGrpSpPr>
        <xdr:grpSpPr>
          <a:xfrm>
            <a:off x="7163288" y="2923783"/>
            <a:ext cx="781187" cy="1856705"/>
            <a:chOff x="7504618" y="2998008"/>
            <a:chExt cx="761464" cy="1906625"/>
          </a:xfrm>
        </xdr:grpSpPr>
        <xdr:cxnSp macro="">
          <xdr:nvCxnSpPr>
            <xdr:cNvPr id="144" name="Straight Connector 143">
              <a:extLst>
                <a:ext uri="{FF2B5EF4-FFF2-40B4-BE49-F238E27FC236}">
                  <a16:creationId xmlns:a16="http://schemas.microsoft.com/office/drawing/2014/main" id="{00000000-0008-0000-0200-000090000000}"/>
                </a:ext>
              </a:extLst>
            </xdr:cNvPr>
            <xdr:cNvCxnSpPr/>
          </xdr:nvCxnSpPr>
          <xdr:spPr>
            <a:xfrm>
              <a:off x="7844992" y="2998008"/>
              <a:ext cx="0" cy="98306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45" name="eheh">
              <a:extLst>
                <a:ext uri="{FF2B5EF4-FFF2-40B4-BE49-F238E27FC236}">
                  <a16:creationId xmlns:a16="http://schemas.microsoft.com/office/drawing/2014/main" id="{00000000-0008-0000-0200-000091000000}"/>
                </a:ext>
              </a:extLst>
            </xdr:cNvPr>
            <xdr:cNvGrpSpPr/>
          </xdr:nvGrpSpPr>
          <xdr:grpSpPr>
            <a:xfrm>
              <a:off x="7504618" y="3064121"/>
              <a:ext cx="761464" cy="1840512"/>
              <a:chOff x="7504618" y="3064121"/>
              <a:chExt cx="761464" cy="1840512"/>
            </a:xfrm>
          </xdr:grpSpPr>
          <xdr:grpSp>
            <xdr:nvGrpSpPr>
              <xdr:cNvPr id="146" name="Group 145">
                <a:extLst>
                  <a:ext uri="{FF2B5EF4-FFF2-40B4-BE49-F238E27FC236}">
                    <a16:creationId xmlns:a16="http://schemas.microsoft.com/office/drawing/2014/main" id="{00000000-0008-0000-0200-000092000000}"/>
                  </a:ext>
                </a:extLst>
              </xdr:cNvPr>
              <xdr:cNvGrpSpPr/>
            </xdr:nvGrpSpPr>
            <xdr:grpSpPr>
              <a:xfrm>
                <a:off x="7797244" y="3986264"/>
                <a:ext cx="270603" cy="518147"/>
                <a:chOff x="3031404" y="7080878"/>
                <a:chExt cx="274934" cy="526076"/>
              </a:xfrm>
            </xdr:grpSpPr>
            <xdr:sp macro="" textlink="">
              <xdr:nvSpPr>
                <xdr:cNvPr id="150" name="Shape 27">
                  <a:extLst>
                    <a:ext uri="{FF2B5EF4-FFF2-40B4-BE49-F238E27FC236}">
                      <a16:creationId xmlns:a16="http://schemas.microsoft.com/office/drawing/2014/main" id="{00000000-0008-0000-0200-000096000000}"/>
                    </a:ext>
                  </a:extLst>
                </xdr:cNvPr>
                <xdr:cNvSpPr/>
              </xdr:nvSpPr>
              <xdr:spPr>
                <a:xfrm>
                  <a:off x="3031404" y="7288624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grpSp>
              <xdr:nvGrpSpPr>
                <xdr:cNvPr id="151" name="Group 150">
                  <a:extLst>
                    <a:ext uri="{FF2B5EF4-FFF2-40B4-BE49-F238E27FC236}">
                      <a16:creationId xmlns:a16="http://schemas.microsoft.com/office/drawing/2014/main" id="{00000000-0008-0000-0200-000097000000}"/>
                    </a:ext>
                  </a:extLst>
                </xdr:cNvPr>
                <xdr:cNvGrpSpPr/>
              </xdr:nvGrpSpPr>
              <xdr:grpSpPr>
                <a:xfrm>
                  <a:off x="3037139" y="7080878"/>
                  <a:ext cx="269199" cy="526076"/>
                  <a:chOff x="3037139" y="7080878"/>
                  <a:chExt cx="269199" cy="526076"/>
                </a:xfrm>
              </xdr:grpSpPr>
              <xdr:sp macro="" textlink="">
                <xdr:nvSpPr>
                  <xdr:cNvPr id="152" name="Shape 27">
                    <a:extLst>
                      <a:ext uri="{FF2B5EF4-FFF2-40B4-BE49-F238E27FC236}">
                        <a16:creationId xmlns:a16="http://schemas.microsoft.com/office/drawing/2014/main" id="{00000000-0008-0000-0200-000098000000}"/>
                      </a:ext>
                    </a:extLst>
                  </xdr:cNvPr>
                  <xdr:cNvSpPr/>
                </xdr:nvSpPr>
                <xdr:spPr>
                  <a:xfrm>
                    <a:off x="3037139" y="7080878"/>
                    <a:ext cx="100174" cy="9968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12700" cap="flat">
                    <a:solidFill>
                      <a:srgbClr val="53585F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53" name="Shape 26">
                    <a:extLst>
                      <a:ext uri="{FF2B5EF4-FFF2-40B4-BE49-F238E27FC236}">
                        <a16:creationId xmlns:a16="http://schemas.microsoft.com/office/drawing/2014/main" id="{00000000-0008-0000-0200-000099000000}"/>
                      </a:ext>
                    </a:extLst>
                  </xdr:cNvPr>
                  <xdr:cNvSpPr/>
                </xdr:nvSpPr>
                <xdr:spPr>
                  <a:xfrm flipH="1">
                    <a:off x="3093639" y="7113371"/>
                    <a:ext cx="212699" cy="1888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cxnSp macro="">
                <xdr:nvCxnSpPr>
                  <xdr:cNvPr id="154" name="Straight Connector 153">
                    <a:extLst>
                      <a:ext uri="{FF2B5EF4-FFF2-40B4-BE49-F238E27FC236}">
                        <a16:creationId xmlns:a16="http://schemas.microsoft.com/office/drawing/2014/main" id="{00000000-0008-0000-0200-00009A000000}"/>
                      </a:ext>
                    </a:extLst>
                  </xdr:cNvPr>
                  <xdr:cNvCxnSpPr/>
                </xdr:nvCxnSpPr>
                <xdr:spPr>
                  <a:xfrm>
                    <a:off x="3080266" y="7383937"/>
                    <a:ext cx="0" cy="223017"/>
                  </a:xfrm>
                  <a:prstGeom prst="line">
                    <a:avLst/>
                  </a:prstGeom>
                  <a:ln w="635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147" name="Straight Connector 146">
                <a:extLst>
                  <a:ext uri="{FF2B5EF4-FFF2-40B4-BE49-F238E27FC236}">
                    <a16:creationId xmlns:a16="http://schemas.microsoft.com/office/drawing/2014/main" id="{00000000-0008-0000-0200-000093000000}"/>
                  </a:ext>
                </a:extLst>
              </xdr:cNvPr>
              <xdr:cNvCxnSpPr/>
            </xdr:nvCxnSpPr>
            <xdr:spPr>
              <a:xfrm flipH="1">
                <a:off x="7726131" y="3064121"/>
                <a:ext cx="252581" cy="186025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48" name="Rectangle 147">
                <a:extLst>
                  <a:ext uri="{FF2B5EF4-FFF2-40B4-BE49-F238E27FC236}">
                    <a16:creationId xmlns:a16="http://schemas.microsoft.com/office/drawing/2014/main" id="{00000000-0008-0000-0200-000094000000}"/>
                  </a:ext>
                </a:extLst>
              </xdr:cNvPr>
              <xdr:cNvSpPr/>
            </xdr:nvSpPr>
            <xdr:spPr>
              <a:xfrm>
                <a:off x="7504618" y="4504408"/>
                <a:ext cx="718997" cy="40022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149" name="TextBox 148">
                <a:extLst>
                  <a:ext uri="{FF2B5EF4-FFF2-40B4-BE49-F238E27FC236}">
                    <a16:creationId xmlns:a16="http://schemas.microsoft.com/office/drawing/2014/main" id="{00000000-0008-0000-0200-000095000000}"/>
                  </a:ext>
                </a:extLst>
              </xdr:cNvPr>
              <xdr:cNvSpPr txBox="1"/>
            </xdr:nvSpPr>
            <xdr:spPr>
              <a:xfrm>
                <a:off x="7504618" y="4504408"/>
                <a:ext cx="761464" cy="3899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Envoy</a:t>
                </a:r>
              </a:p>
              <a:p>
                <a:pPr algn="ctr"/>
                <a:r>
                  <a:rPr lang="en-GB" sz="800"/>
                  <a:t>(Existing</a:t>
                </a:r>
                <a:r>
                  <a:rPr lang="en-GB" sz="800" baseline="0"/>
                  <a:t> 3P)</a:t>
                </a:r>
                <a:endParaRPr lang="en-GB" sz="800"/>
              </a:p>
            </xdr:txBody>
          </xdr:sp>
        </xdr:grpSp>
      </xdr:grpSp>
      <xdr:sp macro="" textlink="">
        <xdr:nvSpPr>
          <xdr:cNvPr id="143" name="Rectangle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7425494" y="3451249"/>
            <a:ext cx="186810" cy="276491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45</xdr:col>
      <xdr:colOff>22153</xdr:colOff>
      <xdr:row>15</xdr:row>
      <xdr:rowOff>44600</xdr:rowOff>
    </xdr:from>
    <xdr:to>
      <xdr:col>67</xdr:col>
      <xdr:colOff>76278</xdr:colOff>
      <xdr:row>56</xdr:row>
      <xdr:rowOff>129166</xdr:rowOff>
    </xdr:to>
    <xdr:grpSp>
      <xdr:nvGrpSpPr>
        <xdr:cNvPr id="155" name="Group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GrpSpPr/>
      </xdr:nvGrpSpPr>
      <xdr:grpSpPr>
        <a:xfrm>
          <a:off x="11560238" y="3084494"/>
          <a:ext cx="5701572" cy="8393608"/>
          <a:chOff x="10825987" y="3090001"/>
          <a:chExt cx="5641756" cy="8418368"/>
        </a:xfrm>
      </xdr:grpSpPr>
      <xdr:grpSp>
        <xdr:nvGrpSpPr>
          <xdr:cNvPr id="156" name="Group 155"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GrpSpPr/>
        </xdr:nvGrpSpPr>
        <xdr:grpSpPr>
          <a:xfrm>
            <a:off x="10825987" y="3090001"/>
            <a:ext cx="5641756" cy="8418368"/>
            <a:chOff x="10651865" y="3163475"/>
            <a:chExt cx="5549387" cy="8624711"/>
          </a:xfrm>
        </xdr:grpSpPr>
        <xdr:grpSp>
          <xdr:nvGrpSpPr>
            <xdr:cNvPr id="158" name="Group 157">
              <a:extLst>
                <a:ext uri="{FF2B5EF4-FFF2-40B4-BE49-F238E27FC236}">
                  <a16:creationId xmlns:a16="http://schemas.microsoft.com/office/drawing/2014/main" id="{00000000-0008-0000-0200-00009E000000}"/>
                </a:ext>
              </a:extLst>
            </xdr:cNvPr>
            <xdr:cNvGrpSpPr/>
          </xdr:nvGrpSpPr>
          <xdr:grpSpPr>
            <a:xfrm>
              <a:off x="10651865" y="3163475"/>
              <a:ext cx="264757" cy="7878243"/>
              <a:chOff x="12120600" y="4805052"/>
              <a:chExt cx="256704" cy="7435558"/>
            </a:xfrm>
          </xdr:grpSpPr>
          <xdr:cxnSp macro="">
            <xdr:nvCxnSpPr>
              <xdr:cNvPr id="230" name="Straight Connector 229">
                <a:extLst>
                  <a:ext uri="{FF2B5EF4-FFF2-40B4-BE49-F238E27FC236}">
                    <a16:creationId xmlns:a16="http://schemas.microsoft.com/office/drawing/2014/main" id="{00000000-0008-0000-0200-0000E6000000}"/>
                  </a:ext>
                </a:extLst>
              </xdr:cNvPr>
              <xdr:cNvCxnSpPr/>
            </xdr:nvCxnSpPr>
            <xdr:spPr>
              <a:xfrm flipH="1">
                <a:off x="12120600" y="4805052"/>
                <a:ext cx="256704" cy="188123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25" name="Straight Connector 224">
                <a:extLst>
                  <a:ext uri="{FF2B5EF4-FFF2-40B4-BE49-F238E27FC236}">
                    <a16:creationId xmlns:a16="http://schemas.microsoft.com/office/drawing/2014/main" id="{00000000-0008-0000-0200-0000E1000000}"/>
                  </a:ext>
                </a:extLst>
              </xdr:cNvPr>
              <xdr:cNvCxnSpPr/>
            </xdr:nvCxnSpPr>
            <xdr:spPr>
              <a:xfrm>
                <a:off x="12285708" y="6426391"/>
                <a:ext cx="0" cy="5814219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59" name="Group 158">
              <a:extLst>
                <a:ext uri="{FF2B5EF4-FFF2-40B4-BE49-F238E27FC236}">
                  <a16:creationId xmlns:a16="http://schemas.microsoft.com/office/drawing/2014/main" id="{00000000-0008-0000-0200-00009F000000}"/>
                </a:ext>
              </a:extLst>
            </xdr:cNvPr>
            <xdr:cNvGrpSpPr/>
          </xdr:nvGrpSpPr>
          <xdr:grpSpPr>
            <a:xfrm>
              <a:off x="12477102" y="9810250"/>
              <a:ext cx="3724150" cy="1316966"/>
              <a:chOff x="13365392" y="9716978"/>
              <a:chExt cx="3530877" cy="1332888"/>
            </a:xfrm>
          </xdr:grpSpPr>
          <xdr:grpSp>
            <xdr:nvGrpSpPr>
              <xdr:cNvPr id="169" name="Group 168">
                <a:extLst>
                  <a:ext uri="{FF2B5EF4-FFF2-40B4-BE49-F238E27FC236}">
                    <a16:creationId xmlns:a16="http://schemas.microsoft.com/office/drawing/2014/main" id="{00000000-0008-0000-0200-0000A9000000}"/>
                  </a:ext>
                </a:extLst>
              </xdr:cNvPr>
              <xdr:cNvGrpSpPr/>
            </xdr:nvGrpSpPr>
            <xdr:grpSpPr>
              <a:xfrm>
                <a:off x="13365392" y="9716978"/>
                <a:ext cx="3436001" cy="1287783"/>
                <a:chOff x="8581601" y="3850532"/>
                <a:chExt cx="3525984" cy="1262101"/>
              </a:xfrm>
            </xdr:grpSpPr>
            <xdr:sp macro="" textlink="">
              <xdr:nvSpPr>
                <xdr:cNvPr id="172" name="Rectangle 171">
                  <a:extLst>
                    <a:ext uri="{FF2B5EF4-FFF2-40B4-BE49-F238E27FC236}">
                      <a16:creationId xmlns:a16="http://schemas.microsoft.com/office/drawing/2014/main" id="{00000000-0008-0000-0200-0000AC000000}"/>
                    </a:ext>
                  </a:extLst>
                </xdr:cNvPr>
                <xdr:cNvSpPr/>
              </xdr:nvSpPr>
              <xdr:spPr>
                <a:xfrm>
                  <a:off x="12016984" y="5025958"/>
                  <a:ext cx="90601" cy="86675"/>
                </a:xfrm>
                <a:prstGeom prst="rect">
                  <a:avLst/>
                </a:prstGeom>
                <a:solidFill>
                  <a:schemeClr val="tx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73" name="Group 172">
                  <a:extLst>
                    <a:ext uri="{FF2B5EF4-FFF2-40B4-BE49-F238E27FC236}">
                      <a16:creationId xmlns:a16="http://schemas.microsoft.com/office/drawing/2014/main" id="{00000000-0008-0000-0200-0000AD000000}"/>
                    </a:ext>
                  </a:extLst>
                </xdr:cNvPr>
                <xdr:cNvGrpSpPr/>
              </xdr:nvGrpSpPr>
              <xdr:grpSpPr>
                <a:xfrm>
                  <a:off x="8581601" y="3850532"/>
                  <a:ext cx="3480683" cy="1227296"/>
                  <a:chOff x="8581601" y="3850532"/>
                  <a:chExt cx="3480683" cy="1227296"/>
                </a:xfrm>
              </xdr:grpSpPr>
              <xdr:grpSp>
                <xdr:nvGrpSpPr>
                  <xdr:cNvPr id="174" name="Group 173">
                    <a:extLst>
                      <a:ext uri="{FF2B5EF4-FFF2-40B4-BE49-F238E27FC236}">
                        <a16:creationId xmlns:a16="http://schemas.microsoft.com/office/drawing/2014/main" id="{00000000-0008-0000-0200-0000AE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1629570" cy="969122"/>
                    <a:chOff x="9773409" y="3850532"/>
                    <a:chExt cx="1629570" cy="969122"/>
                  </a:xfrm>
                </xdr:grpSpPr>
                <xdr:grpSp>
                  <xdr:nvGrpSpPr>
                    <xdr:cNvPr id="179" name="Group 178">
                      <a:extLst>
                        <a:ext uri="{FF2B5EF4-FFF2-40B4-BE49-F238E27FC236}">
                          <a16:creationId xmlns:a16="http://schemas.microsoft.com/office/drawing/2014/main" id="{00000000-0008-0000-0200-0000B3000000}"/>
                        </a:ext>
                      </a:extLst>
                    </xdr:cNvPr>
                    <xdr:cNvGrpSpPr/>
                  </xdr:nvGrpSpPr>
                  <xdr:grpSpPr>
                    <a:xfrm>
                      <a:off x="11043409" y="3855114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211" name="Shape 5">
                        <a:extLst>
                          <a:ext uri="{FF2B5EF4-FFF2-40B4-BE49-F238E27FC236}">
                            <a16:creationId xmlns:a16="http://schemas.microsoft.com/office/drawing/2014/main" id="{00000000-0008-0000-0200-0000D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212" name="Shape 8">
                        <a:extLst>
                          <a:ext uri="{FF2B5EF4-FFF2-40B4-BE49-F238E27FC236}">
                            <a16:creationId xmlns:a16="http://schemas.microsoft.com/office/drawing/2014/main" id="{00000000-0008-0000-0200-0000D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13" name="Group 212">
                        <a:extLst>
                          <a:ext uri="{FF2B5EF4-FFF2-40B4-BE49-F238E27FC236}">
                            <a16:creationId xmlns:a16="http://schemas.microsoft.com/office/drawing/2014/main" id="{00000000-0008-0000-0200-0000D5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14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D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215" name="Group 214">
                          <a:extLst>
                            <a:ext uri="{FF2B5EF4-FFF2-40B4-BE49-F238E27FC236}">
                              <a16:creationId xmlns:a16="http://schemas.microsoft.com/office/drawing/2014/main" id="{00000000-0008-0000-0200-0000D7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217" name="Rectangle 216">
                            <a:extLst>
                              <a:ext uri="{FF2B5EF4-FFF2-40B4-BE49-F238E27FC236}">
                                <a16:creationId xmlns:a16="http://schemas.microsoft.com/office/drawing/2014/main" id="{00000000-0008-0000-0200-0000D9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218" name="Group 217">
                            <a:extLst>
                              <a:ext uri="{FF2B5EF4-FFF2-40B4-BE49-F238E27FC236}">
                                <a16:creationId xmlns:a16="http://schemas.microsoft.com/office/drawing/2014/main" id="{00000000-0008-0000-0200-0000D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219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B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220" name="Rectangle 219">
                              <a:extLst>
                                <a:ext uri="{FF2B5EF4-FFF2-40B4-BE49-F238E27FC236}">
                                  <a16:creationId xmlns:a16="http://schemas.microsoft.com/office/drawing/2014/main" id="{00000000-0008-0000-0200-0000DC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221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D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222" name="Straight Connector 221">
                              <a:extLst>
                                <a:ext uri="{FF2B5EF4-FFF2-40B4-BE49-F238E27FC236}">
                                  <a16:creationId xmlns:a16="http://schemas.microsoft.com/office/drawing/2014/main" id="{00000000-0008-0000-0200-0000DE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23" name="Straight Connector 222">
                              <a:extLst>
                                <a:ext uri="{FF2B5EF4-FFF2-40B4-BE49-F238E27FC236}">
                                  <a16:creationId xmlns:a16="http://schemas.microsoft.com/office/drawing/2014/main" id="{00000000-0008-0000-0200-0000DF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216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D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grpSp>
                  <xdr:nvGrpSpPr>
                    <xdr:cNvPr id="180" name="Group 179">
                      <a:extLst>
                        <a:ext uri="{FF2B5EF4-FFF2-40B4-BE49-F238E27FC236}">
                          <a16:creationId xmlns:a16="http://schemas.microsoft.com/office/drawing/2014/main" id="{00000000-0008-0000-0200-0000B4000000}"/>
                        </a:ext>
                      </a:extLst>
                    </xdr:cNvPr>
                    <xdr:cNvGrpSpPr/>
                  </xdr:nvGrpSpPr>
                  <xdr:grpSpPr>
                    <a:xfrm>
                      <a:off x="9773409" y="3850532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198" name="Shape 5">
                        <a:extLst>
                          <a:ext uri="{FF2B5EF4-FFF2-40B4-BE49-F238E27FC236}">
                            <a16:creationId xmlns:a16="http://schemas.microsoft.com/office/drawing/2014/main" id="{00000000-0008-0000-0200-0000C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199" name="Shape 8">
                        <a:extLst>
                          <a:ext uri="{FF2B5EF4-FFF2-40B4-BE49-F238E27FC236}">
                            <a16:creationId xmlns:a16="http://schemas.microsoft.com/office/drawing/2014/main" id="{00000000-0008-0000-0200-0000C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00" name="Group 199">
                        <a:extLst>
                          <a:ext uri="{FF2B5EF4-FFF2-40B4-BE49-F238E27FC236}">
                            <a16:creationId xmlns:a16="http://schemas.microsoft.com/office/drawing/2014/main" id="{00000000-0008-0000-0200-0000C8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01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C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202" name="Group 201">
                          <a:extLst>
                            <a:ext uri="{FF2B5EF4-FFF2-40B4-BE49-F238E27FC236}">
                              <a16:creationId xmlns:a16="http://schemas.microsoft.com/office/drawing/2014/main" id="{00000000-0008-0000-0200-0000CA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204" name="Rectangle 203">
                            <a:extLst>
                              <a:ext uri="{FF2B5EF4-FFF2-40B4-BE49-F238E27FC236}">
                                <a16:creationId xmlns:a16="http://schemas.microsoft.com/office/drawing/2014/main" id="{00000000-0008-0000-0200-0000CC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205" name="Group 204">
                            <a:extLst>
                              <a:ext uri="{FF2B5EF4-FFF2-40B4-BE49-F238E27FC236}">
                                <a16:creationId xmlns:a16="http://schemas.microsoft.com/office/drawing/2014/main" id="{00000000-0008-0000-0200-0000C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206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207" name="Rectangle 20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208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209" name="Straight Connector 208">
                              <a:extLst>
                                <a:ext uri="{FF2B5EF4-FFF2-40B4-BE49-F238E27FC236}">
                                  <a16:creationId xmlns:a16="http://schemas.microsoft.com/office/drawing/2014/main" id="{00000000-0008-0000-0200-0000D1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10" name="Straight Connector 209">
                              <a:extLst>
                                <a:ext uri="{FF2B5EF4-FFF2-40B4-BE49-F238E27FC236}">
                                  <a16:creationId xmlns:a16="http://schemas.microsoft.com/office/drawing/2014/main" id="{00000000-0008-0000-0200-0000D2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203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C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grpSp>
                  <xdr:nvGrpSpPr>
                    <xdr:cNvPr id="181" name="Group 180">
                      <a:extLst>
                        <a:ext uri="{FF2B5EF4-FFF2-40B4-BE49-F238E27FC236}">
                          <a16:creationId xmlns:a16="http://schemas.microsoft.com/office/drawing/2014/main" id="{00000000-0008-0000-0200-0000B5000000}"/>
                        </a:ext>
                      </a:extLst>
                    </xdr:cNvPr>
                    <xdr:cNvGrpSpPr/>
                  </xdr:nvGrpSpPr>
                  <xdr:grpSpPr>
                    <a:xfrm>
                      <a:off x="10268085" y="3850532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185" name="Shape 5">
                        <a:extLst>
                          <a:ext uri="{FF2B5EF4-FFF2-40B4-BE49-F238E27FC236}">
                            <a16:creationId xmlns:a16="http://schemas.microsoft.com/office/drawing/2014/main" id="{00000000-0008-0000-0200-0000B9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186" name="Shape 8">
                        <a:extLst>
                          <a:ext uri="{FF2B5EF4-FFF2-40B4-BE49-F238E27FC236}">
                            <a16:creationId xmlns:a16="http://schemas.microsoft.com/office/drawing/2014/main" id="{00000000-0008-0000-0200-0000BA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87" name="Group 186">
                        <a:extLst>
                          <a:ext uri="{FF2B5EF4-FFF2-40B4-BE49-F238E27FC236}">
                            <a16:creationId xmlns:a16="http://schemas.microsoft.com/office/drawing/2014/main" id="{00000000-0008-0000-0200-0000BB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88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B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189" name="Group 188">
                          <a:extLst>
                            <a:ext uri="{FF2B5EF4-FFF2-40B4-BE49-F238E27FC236}">
                              <a16:creationId xmlns:a16="http://schemas.microsoft.com/office/drawing/2014/main" id="{00000000-0008-0000-0200-0000BD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191" name="Rectangle 190">
                            <a:extLst>
                              <a:ext uri="{FF2B5EF4-FFF2-40B4-BE49-F238E27FC236}">
                                <a16:creationId xmlns:a16="http://schemas.microsoft.com/office/drawing/2014/main" id="{00000000-0008-0000-0200-0000BF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192" name="Group 191">
                            <a:extLst>
                              <a:ext uri="{FF2B5EF4-FFF2-40B4-BE49-F238E27FC236}">
                                <a16:creationId xmlns:a16="http://schemas.microsoft.com/office/drawing/2014/main" id="{00000000-0008-0000-0200-0000C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193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194" name="Rectangle 193">
                              <a:extLst>
                                <a:ext uri="{FF2B5EF4-FFF2-40B4-BE49-F238E27FC236}">
                                  <a16:creationId xmlns:a16="http://schemas.microsoft.com/office/drawing/2014/main" id="{00000000-0008-0000-0200-0000C2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195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196" name="Straight Connector 195">
                              <a:extLst>
                                <a:ext uri="{FF2B5EF4-FFF2-40B4-BE49-F238E27FC236}">
                                  <a16:creationId xmlns:a16="http://schemas.microsoft.com/office/drawing/2014/main" id="{00000000-0008-0000-0200-0000C4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197" name="Straight Connector 19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5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190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BE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sp macro="" textlink="">
                  <xdr:nvSpPr>
                    <xdr:cNvPr id="182" name="Shape 27">
                      <a:extLst>
                        <a:ext uri="{FF2B5EF4-FFF2-40B4-BE49-F238E27FC236}">
                          <a16:creationId xmlns:a16="http://schemas.microsoft.com/office/drawing/2014/main" id="{00000000-0008-0000-0200-0000B6000000}"/>
                        </a:ext>
                      </a:extLst>
                    </xdr:cNvPr>
                    <xdr:cNvSpPr/>
                  </xdr:nvSpPr>
                  <xdr:spPr>
                    <a:xfrm>
                      <a:off x="10638097" y="4212580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83" name="Shape 27">
                      <a:extLst>
                        <a:ext uri="{FF2B5EF4-FFF2-40B4-BE49-F238E27FC236}">
                          <a16:creationId xmlns:a16="http://schemas.microsoft.com/office/drawing/2014/main" id="{00000000-0008-0000-0200-0000B7000000}"/>
                        </a:ext>
                      </a:extLst>
                    </xdr:cNvPr>
                    <xdr:cNvSpPr/>
                  </xdr:nvSpPr>
                  <xdr:spPr>
                    <a:xfrm>
                      <a:off x="10763475" y="4216361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84" name="Shape 27">
                      <a:extLst>
                        <a:ext uri="{FF2B5EF4-FFF2-40B4-BE49-F238E27FC236}">
                          <a16:creationId xmlns:a16="http://schemas.microsoft.com/office/drawing/2014/main" id="{00000000-0008-0000-0200-0000B8000000}"/>
                        </a:ext>
                      </a:extLst>
                    </xdr:cNvPr>
                    <xdr:cNvSpPr/>
                  </xdr:nvSpPr>
                  <xdr:spPr>
                    <a:xfrm>
                      <a:off x="10902364" y="4220140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cxnSp macro="">
                <xdr:nvCxnSpPr>
                  <xdr:cNvPr id="175" name="Straight Connector 174">
                    <a:extLst>
                      <a:ext uri="{FF2B5EF4-FFF2-40B4-BE49-F238E27FC236}">
                        <a16:creationId xmlns:a16="http://schemas.microsoft.com/office/drawing/2014/main" id="{00000000-0008-0000-0200-0000AF000000}"/>
                      </a:ext>
                    </a:extLst>
                  </xdr:cNvPr>
                  <xdr:cNvCxnSpPr/>
                </xdr:nvCxnSpPr>
                <xdr:spPr>
                  <a:xfrm>
                    <a:off x="8581601" y="5075080"/>
                    <a:ext cx="3480683" cy="0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6" name="Straight Connector 175">
                    <a:extLst>
                      <a:ext uri="{FF2B5EF4-FFF2-40B4-BE49-F238E27FC236}">
                        <a16:creationId xmlns:a16="http://schemas.microsoft.com/office/drawing/2014/main" id="{00000000-0008-0000-0200-0000B0000000}"/>
                      </a:ext>
                    </a:extLst>
                  </xdr:cNvPr>
                  <xdr:cNvCxnSpPr/>
                </xdr:nvCxnSpPr>
                <xdr:spPr>
                  <a:xfrm>
                    <a:off x="9939320" y="4810832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7" name="Straight Connector 176">
                    <a:extLst>
                      <a:ext uri="{FF2B5EF4-FFF2-40B4-BE49-F238E27FC236}">
                        <a16:creationId xmlns:a16="http://schemas.microsoft.com/office/drawing/2014/main" id="{00000000-0008-0000-0200-0000B1000000}"/>
                      </a:ext>
                    </a:extLst>
                  </xdr:cNvPr>
                  <xdr:cNvCxnSpPr/>
                </xdr:nvCxnSpPr>
                <xdr:spPr>
                  <a:xfrm>
                    <a:off x="10442999" y="4814611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8" name="Straight Connector 177">
                    <a:extLst>
                      <a:ext uri="{FF2B5EF4-FFF2-40B4-BE49-F238E27FC236}">
                        <a16:creationId xmlns:a16="http://schemas.microsoft.com/office/drawing/2014/main" id="{00000000-0008-0000-0200-0000B2000000}"/>
                      </a:ext>
                    </a:extLst>
                  </xdr:cNvPr>
                  <xdr:cNvCxnSpPr/>
                </xdr:nvCxnSpPr>
                <xdr:spPr>
                  <a:xfrm>
                    <a:off x="11230405" y="4818392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sp macro="" textlink="">
            <xdr:nvSpPr>
              <xdr:cNvPr id="170" name="TextBox 169">
                <a:extLst>
                  <a:ext uri="{FF2B5EF4-FFF2-40B4-BE49-F238E27FC236}">
                    <a16:creationId xmlns:a16="http://schemas.microsoft.com/office/drawing/2014/main" id="{00000000-0008-0000-0200-0000AA000000}"/>
                  </a:ext>
                </a:extLst>
              </xdr:cNvPr>
              <xdr:cNvSpPr txBox="1"/>
            </xdr:nvSpPr>
            <xdr:spPr>
              <a:xfrm>
                <a:off x="13494491" y="10664180"/>
                <a:ext cx="712400" cy="385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Q-Cable</a:t>
                </a:r>
              </a:p>
            </xdr:txBody>
          </xdr:sp>
          <xdr:sp macro="" textlink="">
            <xdr:nvSpPr>
              <xdr:cNvPr id="171" name="TboxL2">
                <a:extLst>
                  <a:ext uri="{FF2B5EF4-FFF2-40B4-BE49-F238E27FC236}">
                    <a16:creationId xmlns:a16="http://schemas.microsoft.com/office/drawing/2014/main" id="{00000000-0008-0000-0200-0000AB000000}"/>
                  </a:ext>
                </a:extLst>
              </xdr:cNvPr>
              <xdr:cNvSpPr txBox="1"/>
            </xdr:nvSpPr>
            <xdr:spPr>
              <a:xfrm>
                <a:off x="16183869" y="10637749"/>
                <a:ext cx="712400" cy="385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L2</a:t>
                </a:r>
              </a:p>
            </xdr:txBody>
          </xdr:sp>
        </xdr:grpSp>
        <xdr:grpSp>
          <xdr:nvGrpSpPr>
            <xdr:cNvPr id="160" name="Group 159">
              <a:extLst>
                <a:ext uri="{FF2B5EF4-FFF2-40B4-BE49-F238E27FC236}">
                  <a16:creationId xmlns:a16="http://schemas.microsoft.com/office/drawing/2014/main" id="{00000000-0008-0000-0200-0000A0000000}"/>
                </a:ext>
              </a:extLst>
            </xdr:cNvPr>
            <xdr:cNvGrpSpPr/>
          </xdr:nvGrpSpPr>
          <xdr:grpSpPr>
            <a:xfrm>
              <a:off x="11686232" y="10822972"/>
              <a:ext cx="960038" cy="965214"/>
              <a:chOff x="11849447" y="11412343"/>
              <a:chExt cx="925593" cy="940997"/>
            </a:xfrm>
          </xdr:grpSpPr>
          <xdr:sp macro="" textlink="">
            <xdr:nvSpPr>
              <xdr:cNvPr id="161" name="Rectangle 160">
                <a:extLst>
                  <a:ext uri="{FF2B5EF4-FFF2-40B4-BE49-F238E27FC236}">
                    <a16:creationId xmlns:a16="http://schemas.microsoft.com/office/drawing/2014/main" id="{00000000-0008-0000-0200-0000A1000000}"/>
                  </a:ext>
                </a:extLst>
              </xdr:cNvPr>
              <xdr:cNvSpPr/>
            </xdr:nvSpPr>
            <xdr:spPr>
              <a:xfrm>
                <a:off x="11871277" y="11412343"/>
                <a:ext cx="797179" cy="440628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162" name="Group 161">
                <a:extLst>
                  <a:ext uri="{FF2B5EF4-FFF2-40B4-BE49-F238E27FC236}">
                    <a16:creationId xmlns:a16="http://schemas.microsoft.com/office/drawing/2014/main" id="{00000000-0008-0000-0200-0000A2000000}"/>
                  </a:ext>
                </a:extLst>
              </xdr:cNvPr>
              <xdr:cNvGrpSpPr/>
            </xdr:nvGrpSpPr>
            <xdr:grpSpPr>
              <a:xfrm>
                <a:off x="11849447" y="11484486"/>
                <a:ext cx="925593" cy="868854"/>
                <a:chOff x="11908226" y="11541665"/>
                <a:chExt cx="930700" cy="872986"/>
              </a:xfrm>
            </xdr:grpSpPr>
            <xdr:cxnSp macro="">
              <xdr:nvCxnSpPr>
                <xdr:cNvPr id="163" name="Straight Connector 162">
                  <a:extLst>
                    <a:ext uri="{FF2B5EF4-FFF2-40B4-BE49-F238E27FC236}">
                      <a16:creationId xmlns:a16="http://schemas.microsoft.com/office/drawing/2014/main" id="{00000000-0008-0000-0200-0000A3000000}"/>
                    </a:ext>
                  </a:extLst>
                </xdr:cNvPr>
                <xdr:cNvCxnSpPr>
                  <a:cxnSpLocks/>
                  <a:endCxn id="161" idx="3"/>
                </xdr:cNvCxnSpPr>
              </xdr:nvCxnSpPr>
              <xdr:spPr>
                <a:xfrm>
                  <a:off x="12480023" y="11689420"/>
                  <a:ext cx="250139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4" name="Straight Connector 163">
                  <a:extLst>
                    <a:ext uri="{FF2B5EF4-FFF2-40B4-BE49-F238E27FC236}">
                      <a16:creationId xmlns:a16="http://schemas.microsoft.com/office/drawing/2014/main" id="{00000000-0008-0000-0200-0000A4000000}"/>
                    </a:ext>
                  </a:extLst>
                </xdr:cNvPr>
                <xdr:cNvCxnSpPr>
                  <a:cxnSpLocks/>
                  <a:stCxn id="161" idx="1"/>
                </xdr:cNvCxnSpPr>
              </xdr:nvCxnSpPr>
              <xdr:spPr>
                <a:xfrm>
                  <a:off x="11934052" y="11689420"/>
                  <a:ext cx="235959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65" name="Shape 27">
                  <a:extLst>
                    <a:ext uri="{FF2B5EF4-FFF2-40B4-BE49-F238E27FC236}">
                      <a16:creationId xmlns:a16="http://schemas.microsoft.com/office/drawing/2014/main" id="{00000000-0008-0000-0200-0000A5000000}"/>
                    </a:ext>
                  </a:extLst>
                </xdr:cNvPr>
                <xdr:cNvSpPr/>
              </xdr:nvSpPr>
              <xdr:spPr>
                <a:xfrm>
                  <a:off x="12154421" y="11642546"/>
                  <a:ext cx="88419" cy="76229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6" name="Shape 26">
                  <a:extLst>
                    <a:ext uri="{FF2B5EF4-FFF2-40B4-BE49-F238E27FC236}">
                      <a16:creationId xmlns:a16="http://schemas.microsoft.com/office/drawing/2014/main" id="{00000000-0008-0000-0200-0000A6000000}"/>
                    </a:ext>
                  </a:extLst>
                </xdr:cNvPr>
                <xdr:cNvSpPr/>
              </xdr:nvSpPr>
              <xdr:spPr>
                <a:xfrm flipH="1" flipV="1">
                  <a:off x="12213579" y="11541665"/>
                  <a:ext cx="185088" cy="109345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7" name="TextBox 166">
                  <a:extLst>
                    <a:ext uri="{FF2B5EF4-FFF2-40B4-BE49-F238E27FC236}">
                      <a16:creationId xmlns:a16="http://schemas.microsoft.com/office/drawing/2014/main" id="{00000000-0008-0000-0200-0000A7000000}"/>
                    </a:ext>
                  </a:extLst>
                </xdr:cNvPr>
                <xdr:cNvSpPr txBox="1"/>
              </xdr:nvSpPr>
              <xdr:spPr>
                <a:xfrm>
                  <a:off x="11908226" y="11742384"/>
                  <a:ext cx="930700" cy="67226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800"/>
                    <a:t>Inverter Supply</a:t>
                  </a:r>
                </a:p>
                <a:p>
                  <a:pPr algn="ctr"/>
                  <a:r>
                    <a:rPr lang="en-GB" sz="800"/>
                    <a:t>A.C. Isolator</a:t>
                  </a:r>
                </a:p>
              </xdr:txBody>
            </xdr:sp>
            <xdr:sp macro="" textlink="">
              <xdr:nvSpPr>
                <xdr:cNvPr id="168" name="Shape 27">
                  <a:extLst>
                    <a:ext uri="{FF2B5EF4-FFF2-40B4-BE49-F238E27FC236}">
                      <a16:creationId xmlns:a16="http://schemas.microsoft.com/office/drawing/2014/main" id="{00000000-0008-0000-0200-0000A8000000}"/>
                    </a:ext>
                  </a:extLst>
                </xdr:cNvPr>
                <xdr:cNvSpPr/>
              </xdr:nvSpPr>
              <xdr:spPr>
                <a:xfrm>
                  <a:off x="12380864" y="11637915"/>
                  <a:ext cx="88420" cy="78404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</xdr:grpSp>
      </xdr:grpSp>
      <xdr:cxnSp macro="">
        <xdr:nvCxnSpPr>
          <xdr:cNvPr id="157" name="Straight Connector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CxnSpPr/>
        </xdr:nvCxnSpPr>
        <xdr:spPr>
          <a:xfrm flipH="1">
            <a:off x="10990217" y="10789799"/>
            <a:ext cx="90876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52</xdr:col>
      <xdr:colOff>186266</xdr:colOff>
      <xdr:row>40</xdr:row>
      <xdr:rowOff>16933</xdr:rowOff>
    </xdr:from>
    <xdr:to>
      <xdr:col>66</xdr:col>
      <xdr:colOff>205408</xdr:colOff>
      <xdr:row>59</xdr:row>
      <xdr:rowOff>56380</xdr:rowOff>
    </xdr:to>
    <xdr:grpSp>
      <xdr:nvGrpSpPr>
        <xdr:cNvPr id="234" name="L1-3A1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/>
      </xdr:nvGrpSpPr>
      <xdr:grpSpPr>
        <a:xfrm>
          <a:off x="13521266" y="8123316"/>
          <a:ext cx="3612972" cy="3889979"/>
          <a:chOff x="10560606" y="7545401"/>
          <a:chExt cx="3557203" cy="3956624"/>
        </a:xfrm>
      </xdr:grpSpPr>
      <xdr:grpSp>
        <xdr:nvGrpSpPr>
          <xdr:cNvPr id="235" name="Group 234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10560606" y="7545401"/>
            <a:ext cx="3557203" cy="1224927"/>
            <a:chOff x="13364535" y="9716977"/>
            <a:chExt cx="3455582" cy="1316034"/>
          </a:xfrm>
        </xdr:grpSpPr>
        <xdr:grpSp>
          <xdr:nvGrpSpPr>
            <xdr:cNvPr id="294" name="Group 293">
              <a:extLst>
                <a:ext uri="{FF2B5EF4-FFF2-40B4-BE49-F238E27FC236}">
                  <a16:creationId xmlns:a16="http://schemas.microsoft.com/office/drawing/2014/main" id="{00000000-0008-0000-0200-000026010000}"/>
                </a:ext>
              </a:extLst>
            </xdr:cNvPr>
            <xdr:cNvGrpSpPr/>
          </xdr:nvGrpSpPr>
          <xdr:grpSpPr>
            <a:xfrm>
              <a:off x="13520478" y="9716977"/>
              <a:ext cx="3280913" cy="1287783"/>
              <a:chOff x="8740750" y="3850532"/>
              <a:chExt cx="3366835" cy="1262101"/>
            </a:xfrm>
          </xdr:grpSpPr>
          <xdr:sp macro="" textlink="">
            <xdr:nvSpPr>
              <xdr:cNvPr id="297" name="Rectangle 296">
                <a:extLst>
                  <a:ext uri="{FF2B5EF4-FFF2-40B4-BE49-F238E27FC236}">
                    <a16:creationId xmlns:a16="http://schemas.microsoft.com/office/drawing/2014/main" id="{00000000-0008-0000-0200-00002901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298" name="Group 297">
                <a:extLst>
                  <a:ext uri="{FF2B5EF4-FFF2-40B4-BE49-F238E27FC236}">
                    <a16:creationId xmlns:a16="http://schemas.microsoft.com/office/drawing/2014/main" id="{00000000-0008-0000-0200-00002A010000}"/>
                  </a:ext>
                </a:extLst>
              </xdr:cNvPr>
              <xdr:cNvGrpSpPr/>
            </xdr:nvGrpSpPr>
            <xdr:grpSpPr>
              <a:xfrm>
                <a:off x="8740750" y="3850532"/>
                <a:ext cx="3334412" cy="1227296"/>
                <a:chOff x="8740750" y="3850532"/>
                <a:chExt cx="3334412" cy="1227296"/>
              </a:xfrm>
            </xdr:grpSpPr>
            <xdr:grpSp>
              <xdr:nvGrpSpPr>
                <xdr:cNvPr id="299" name="Group 298">
                  <a:extLst>
                    <a:ext uri="{FF2B5EF4-FFF2-40B4-BE49-F238E27FC236}">
                      <a16:creationId xmlns:a16="http://schemas.microsoft.com/office/drawing/2014/main" id="{00000000-0008-0000-0200-00002B01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304" name="Group 303">
                    <a:extLst>
                      <a:ext uri="{FF2B5EF4-FFF2-40B4-BE49-F238E27FC236}">
                        <a16:creationId xmlns:a16="http://schemas.microsoft.com/office/drawing/2014/main" id="{00000000-0008-0000-0200-00003001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36" name="Shape 5">
                      <a:extLst>
                        <a:ext uri="{FF2B5EF4-FFF2-40B4-BE49-F238E27FC236}">
                          <a16:creationId xmlns:a16="http://schemas.microsoft.com/office/drawing/2014/main" id="{00000000-0008-0000-0200-000050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37" name="Shape 8">
                      <a:extLst>
                        <a:ext uri="{FF2B5EF4-FFF2-40B4-BE49-F238E27FC236}">
                          <a16:creationId xmlns:a16="http://schemas.microsoft.com/office/drawing/2014/main" id="{00000000-0008-0000-0200-000051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38" name="Group 337">
                      <a:extLst>
                        <a:ext uri="{FF2B5EF4-FFF2-40B4-BE49-F238E27FC236}">
                          <a16:creationId xmlns:a16="http://schemas.microsoft.com/office/drawing/2014/main" id="{00000000-0008-0000-0200-000052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39" name="Shape 7">
                        <a:extLst>
                          <a:ext uri="{FF2B5EF4-FFF2-40B4-BE49-F238E27FC236}">
                            <a16:creationId xmlns:a16="http://schemas.microsoft.com/office/drawing/2014/main" id="{00000000-0008-0000-0200-000053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40" name="Group 339">
                        <a:extLst>
                          <a:ext uri="{FF2B5EF4-FFF2-40B4-BE49-F238E27FC236}">
                            <a16:creationId xmlns:a16="http://schemas.microsoft.com/office/drawing/2014/main" id="{00000000-0008-0000-0200-000054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42" name="Rectangle 341">
                          <a:extLst>
                            <a:ext uri="{FF2B5EF4-FFF2-40B4-BE49-F238E27FC236}">
                              <a16:creationId xmlns:a16="http://schemas.microsoft.com/office/drawing/2014/main" id="{00000000-0008-0000-0200-000056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43" name="Group 342">
                          <a:extLst>
                            <a:ext uri="{FF2B5EF4-FFF2-40B4-BE49-F238E27FC236}">
                              <a16:creationId xmlns:a16="http://schemas.microsoft.com/office/drawing/2014/main" id="{00000000-0008-0000-0200-000057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44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58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45" name="Rectangle 344">
                            <a:extLst>
                              <a:ext uri="{FF2B5EF4-FFF2-40B4-BE49-F238E27FC236}">
                                <a16:creationId xmlns:a16="http://schemas.microsoft.com/office/drawing/2014/main" id="{00000000-0008-0000-0200-000059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4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5A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47" name="Straight Connector 346">
                            <a:extLst>
                              <a:ext uri="{FF2B5EF4-FFF2-40B4-BE49-F238E27FC236}">
                                <a16:creationId xmlns:a16="http://schemas.microsoft.com/office/drawing/2014/main" id="{00000000-0008-0000-0200-00005B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48" name="Straight Connector 347">
                            <a:extLst>
                              <a:ext uri="{FF2B5EF4-FFF2-40B4-BE49-F238E27FC236}">
                                <a16:creationId xmlns:a16="http://schemas.microsoft.com/office/drawing/2014/main" id="{00000000-0008-0000-0200-00005C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41" name="Shape 6">
                        <a:extLst>
                          <a:ext uri="{FF2B5EF4-FFF2-40B4-BE49-F238E27FC236}">
                            <a16:creationId xmlns:a16="http://schemas.microsoft.com/office/drawing/2014/main" id="{00000000-0008-0000-0200-000055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05" name="Group 304">
                    <a:extLst>
                      <a:ext uri="{FF2B5EF4-FFF2-40B4-BE49-F238E27FC236}">
                        <a16:creationId xmlns:a16="http://schemas.microsoft.com/office/drawing/2014/main" id="{00000000-0008-0000-0200-00003101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23" name="Shape 5">
                      <a:extLst>
                        <a:ext uri="{FF2B5EF4-FFF2-40B4-BE49-F238E27FC236}">
                          <a16:creationId xmlns:a16="http://schemas.microsoft.com/office/drawing/2014/main" id="{00000000-0008-0000-0200-000043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4" name="Shape 8">
                      <a:extLst>
                        <a:ext uri="{FF2B5EF4-FFF2-40B4-BE49-F238E27FC236}">
                          <a16:creationId xmlns:a16="http://schemas.microsoft.com/office/drawing/2014/main" id="{00000000-0008-0000-0200-000044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25" name="Group 324">
                      <a:extLst>
                        <a:ext uri="{FF2B5EF4-FFF2-40B4-BE49-F238E27FC236}">
                          <a16:creationId xmlns:a16="http://schemas.microsoft.com/office/drawing/2014/main" id="{00000000-0008-0000-0200-000045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26" name="Shape 7">
                        <a:extLst>
                          <a:ext uri="{FF2B5EF4-FFF2-40B4-BE49-F238E27FC236}">
                            <a16:creationId xmlns:a16="http://schemas.microsoft.com/office/drawing/2014/main" id="{00000000-0008-0000-0200-000046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27" name="Group 326">
                        <a:extLst>
                          <a:ext uri="{FF2B5EF4-FFF2-40B4-BE49-F238E27FC236}">
                            <a16:creationId xmlns:a16="http://schemas.microsoft.com/office/drawing/2014/main" id="{00000000-0008-0000-0200-000047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29" name="Rectangle 328">
                          <a:extLst>
                            <a:ext uri="{FF2B5EF4-FFF2-40B4-BE49-F238E27FC236}">
                              <a16:creationId xmlns:a16="http://schemas.microsoft.com/office/drawing/2014/main" id="{00000000-0008-0000-0200-000049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30" name="Group 329">
                          <a:extLst>
                            <a:ext uri="{FF2B5EF4-FFF2-40B4-BE49-F238E27FC236}">
                              <a16:creationId xmlns:a16="http://schemas.microsoft.com/office/drawing/2014/main" id="{00000000-0008-0000-0200-00004A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3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B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32" name="Rectangle 331">
                            <a:extLst>
                              <a:ext uri="{FF2B5EF4-FFF2-40B4-BE49-F238E27FC236}">
                                <a16:creationId xmlns:a16="http://schemas.microsoft.com/office/drawing/2014/main" id="{00000000-0008-0000-0200-00004C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3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D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34" name="Straight Connector 333">
                            <a:extLst>
                              <a:ext uri="{FF2B5EF4-FFF2-40B4-BE49-F238E27FC236}">
                                <a16:creationId xmlns:a16="http://schemas.microsoft.com/office/drawing/2014/main" id="{00000000-0008-0000-0200-00004E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35" name="Straight Connector 334">
                            <a:extLst>
                              <a:ext uri="{FF2B5EF4-FFF2-40B4-BE49-F238E27FC236}">
                                <a16:creationId xmlns:a16="http://schemas.microsoft.com/office/drawing/2014/main" id="{00000000-0008-0000-0200-00004F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28" name="Shape 6">
                        <a:extLst>
                          <a:ext uri="{FF2B5EF4-FFF2-40B4-BE49-F238E27FC236}">
                            <a16:creationId xmlns:a16="http://schemas.microsoft.com/office/drawing/2014/main" id="{00000000-0008-0000-0200-000048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06" name="Group 305">
                    <a:extLst>
                      <a:ext uri="{FF2B5EF4-FFF2-40B4-BE49-F238E27FC236}">
                        <a16:creationId xmlns:a16="http://schemas.microsoft.com/office/drawing/2014/main" id="{00000000-0008-0000-0200-00003201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10" name="Shape 5">
                      <a:extLst>
                        <a:ext uri="{FF2B5EF4-FFF2-40B4-BE49-F238E27FC236}">
                          <a16:creationId xmlns:a16="http://schemas.microsoft.com/office/drawing/2014/main" id="{00000000-0008-0000-0200-000036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11" name="Shape 8">
                      <a:extLst>
                        <a:ext uri="{FF2B5EF4-FFF2-40B4-BE49-F238E27FC236}">
                          <a16:creationId xmlns:a16="http://schemas.microsoft.com/office/drawing/2014/main" id="{00000000-0008-0000-0200-000037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12" name="Group 311">
                      <a:extLst>
                        <a:ext uri="{FF2B5EF4-FFF2-40B4-BE49-F238E27FC236}">
                          <a16:creationId xmlns:a16="http://schemas.microsoft.com/office/drawing/2014/main" id="{00000000-0008-0000-0200-000038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13" name="Shape 7">
                        <a:extLst>
                          <a:ext uri="{FF2B5EF4-FFF2-40B4-BE49-F238E27FC236}">
                            <a16:creationId xmlns:a16="http://schemas.microsoft.com/office/drawing/2014/main" id="{00000000-0008-0000-0200-000039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14" name="Group 313">
                        <a:extLst>
                          <a:ext uri="{FF2B5EF4-FFF2-40B4-BE49-F238E27FC236}">
                            <a16:creationId xmlns:a16="http://schemas.microsoft.com/office/drawing/2014/main" id="{00000000-0008-0000-0200-00003A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16" name="Rectangle 315">
                          <a:extLst>
                            <a:ext uri="{FF2B5EF4-FFF2-40B4-BE49-F238E27FC236}">
                              <a16:creationId xmlns:a16="http://schemas.microsoft.com/office/drawing/2014/main" id="{00000000-0008-0000-0200-00003C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17" name="Group 316">
                          <a:extLst>
                            <a:ext uri="{FF2B5EF4-FFF2-40B4-BE49-F238E27FC236}">
                              <a16:creationId xmlns:a16="http://schemas.microsoft.com/office/drawing/2014/main" id="{00000000-0008-0000-0200-00003D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1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3E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19" name="Rectangle 318">
                            <a:extLst>
                              <a:ext uri="{FF2B5EF4-FFF2-40B4-BE49-F238E27FC236}">
                                <a16:creationId xmlns:a16="http://schemas.microsoft.com/office/drawing/2014/main" id="{00000000-0008-0000-0200-00003F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20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0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21" name="Straight Connector 320">
                            <a:extLst>
                              <a:ext uri="{FF2B5EF4-FFF2-40B4-BE49-F238E27FC236}">
                                <a16:creationId xmlns:a16="http://schemas.microsoft.com/office/drawing/2014/main" id="{00000000-0008-0000-0200-000041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22" name="Straight Connector 321">
                            <a:extLst>
                              <a:ext uri="{FF2B5EF4-FFF2-40B4-BE49-F238E27FC236}">
                                <a16:creationId xmlns:a16="http://schemas.microsoft.com/office/drawing/2014/main" id="{00000000-0008-0000-0200-000042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15" name="Shape 6">
                        <a:extLst>
                          <a:ext uri="{FF2B5EF4-FFF2-40B4-BE49-F238E27FC236}">
                            <a16:creationId xmlns:a16="http://schemas.microsoft.com/office/drawing/2014/main" id="{00000000-0008-0000-0200-00003B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307" name="Shape 27">
                    <a:extLst>
                      <a:ext uri="{FF2B5EF4-FFF2-40B4-BE49-F238E27FC236}">
                        <a16:creationId xmlns:a16="http://schemas.microsoft.com/office/drawing/2014/main" id="{00000000-0008-0000-0200-00003301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08" name="Shape 27">
                    <a:extLst>
                      <a:ext uri="{FF2B5EF4-FFF2-40B4-BE49-F238E27FC236}">
                        <a16:creationId xmlns:a16="http://schemas.microsoft.com/office/drawing/2014/main" id="{00000000-0008-0000-0200-00003401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09" name="Shape 27">
                    <a:extLst>
                      <a:ext uri="{FF2B5EF4-FFF2-40B4-BE49-F238E27FC236}">
                        <a16:creationId xmlns:a16="http://schemas.microsoft.com/office/drawing/2014/main" id="{00000000-0008-0000-0200-00003501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300" name="Straight Connector 299">
                  <a:extLst>
                    <a:ext uri="{FF2B5EF4-FFF2-40B4-BE49-F238E27FC236}">
                      <a16:creationId xmlns:a16="http://schemas.microsoft.com/office/drawing/2014/main" id="{00000000-0008-0000-0200-00002C010000}"/>
                    </a:ext>
                  </a:extLst>
                </xdr:cNvPr>
                <xdr:cNvCxnSpPr/>
              </xdr:nvCxnSpPr>
              <xdr:spPr>
                <a:xfrm>
                  <a:off x="8740750" y="5075080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1" name="Straight Connector 300">
                  <a:extLst>
                    <a:ext uri="{FF2B5EF4-FFF2-40B4-BE49-F238E27FC236}">
                      <a16:creationId xmlns:a16="http://schemas.microsoft.com/office/drawing/2014/main" id="{00000000-0008-0000-0200-00002D01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2" name="Straight Connector 301">
                  <a:extLst>
                    <a:ext uri="{FF2B5EF4-FFF2-40B4-BE49-F238E27FC236}">
                      <a16:creationId xmlns:a16="http://schemas.microsoft.com/office/drawing/2014/main" id="{00000000-0008-0000-0200-00002E01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3" name="Straight Connector 302">
                  <a:extLst>
                    <a:ext uri="{FF2B5EF4-FFF2-40B4-BE49-F238E27FC236}">
                      <a16:creationId xmlns:a16="http://schemas.microsoft.com/office/drawing/2014/main" id="{00000000-0008-0000-0200-00002F01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95" name="TextBox 294">
              <a:extLst>
                <a:ext uri="{FF2B5EF4-FFF2-40B4-BE49-F238E27FC236}">
                  <a16:creationId xmlns:a16="http://schemas.microsoft.com/office/drawing/2014/main" id="{00000000-0008-0000-0200-00002701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296" name="TextBox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 txBox="1"/>
          </xdr:nvSpPr>
          <xdr:spPr>
            <a:xfrm>
              <a:off x="16107717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L1</a:t>
              </a:r>
            </a:p>
          </xdr:txBody>
        </xdr:sp>
      </xdr:grpSp>
      <xdr:grpSp>
        <xdr:nvGrpSpPr>
          <xdr:cNvPr id="236" name="Group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GrpSpPr/>
        </xdr:nvGrpSpPr>
        <xdr:grpSpPr>
          <a:xfrm>
            <a:off x="10564524" y="10273522"/>
            <a:ext cx="3553284" cy="1228503"/>
            <a:chOff x="13364535" y="9716977"/>
            <a:chExt cx="3455581" cy="1316034"/>
          </a:xfrm>
        </xdr:grpSpPr>
        <xdr:grpSp>
          <xdr:nvGrpSpPr>
            <xdr:cNvPr id="239" name="Group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GrpSpPr/>
          </xdr:nvGrpSpPr>
          <xdr:grpSpPr>
            <a:xfrm>
              <a:off x="13520482" y="9716977"/>
              <a:ext cx="3280909" cy="1287783"/>
              <a:chOff x="8740754" y="3850532"/>
              <a:chExt cx="3366831" cy="1262101"/>
            </a:xfrm>
          </xdr:grpSpPr>
          <xdr:sp macro="" textlink="">
            <xdr:nvSpPr>
              <xdr:cNvPr id="242" name="Rectangle 241">
                <a:extLst>
                  <a:ext uri="{FF2B5EF4-FFF2-40B4-BE49-F238E27FC236}">
                    <a16:creationId xmlns:a16="http://schemas.microsoft.com/office/drawing/2014/main" id="{00000000-0008-0000-0200-0000F200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243" name="Group 242">
                <a:extLst>
                  <a:ext uri="{FF2B5EF4-FFF2-40B4-BE49-F238E27FC236}">
                    <a16:creationId xmlns:a16="http://schemas.microsoft.com/office/drawing/2014/main" id="{00000000-0008-0000-0200-0000F3000000}"/>
                  </a:ext>
                </a:extLst>
              </xdr:cNvPr>
              <xdr:cNvGrpSpPr/>
            </xdr:nvGrpSpPr>
            <xdr:grpSpPr>
              <a:xfrm>
                <a:off x="8740754" y="3850532"/>
                <a:ext cx="3334412" cy="1227296"/>
                <a:chOff x="8740754" y="3850532"/>
                <a:chExt cx="3334412" cy="1227296"/>
              </a:xfrm>
            </xdr:grpSpPr>
            <xdr:grpSp>
              <xdr:nvGrpSpPr>
                <xdr:cNvPr id="244" name="Group 243">
                  <a:extLst>
                    <a:ext uri="{FF2B5EF4-FFF2-40B4-BE49-F238E27FC236}">
                      <a16:creationId xmlns:a16="http://schemas.microsoft.com/office/drawing/2014/main" id="{00000000-0008-0000-0200-0000F400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249" name="Group 248">
                    <a:extLst>
                      <a:ext uri="{FF2B5EF4-FFF2-40B4-BE49-F238E27FC236}">
                        <a16:creationId xmlns:a16="http://schemas.microsoft.com/office/drawing/2014/main" id="{00000000-0008-0000-0200-0000F900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81" name="Shape 5">
                      <a:extLst>
                        <a:ext uri="{FF2B5EF4-FFF2-40B4-BE49-F238E27FC236}">
                          <a16:creationId xmlns:a16="http://schemas.microsoft.com/office/drawing/2014/main" id="{00000000-0008-0000-0200-000019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82" name="Shape 8">
                      <a:extLst>
                        <a:ext uri="{FF2B5EF4-FFF2-40B4-BE49-F238E27FC236}">
                          <a16:creationId xmlns:a16="http://schemas.microsoft.com/office/drawing/2014/main" id="{00000000-0008-0000-0200-00001A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83" name="Group 282">
                      <a:extLst>
                        <a:ext uri="{FF2B5EF4-FFF2-40B4-BE49-F238E27FC236}">
                          <a16:creationId xmlns:a16="http://schemas.microsoft.com/office/drawing/2014/main" id="{00000000-0008-0000-0200-00001B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84" name="Shape 7">
                        <a:extLst>
                          <a:ext uri="{FF2B5EF4-FFF2-40B4-BE49-F238E27FC236}">
                            <a16:creationId xmlns:a16="http://schemas.microsoft.com/office/drawing/2014/main" id="{00000000-0008-0000-0200-00001C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85" name="Group 284">
                        <a:extLst>
                          <a:ext uri="{FF2B5EF4-FFF2-40B4-BE49-F238E27FC236}">
                            <a16:creationId xmlns:a16="http://schemas.microsoft.com/office/drawing/2014/main" id="{00000000-0008-0000-0200-00001D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87" name="Rectangle 286">
                          <a:extLst>
                            <a:ext uri="{FF2B5EF4-FFF2-40B4-BE49-F238E27FC236}">
                              <a16:creationId xmlns:a16="http://schemas.microsoft.com/office/drawing/2014/main" id="{00000000-0008-0000-0200-00001F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88" name="Group 287">
                          <a:extLst>
                            <a:ext uri="{FF2B5EF4-FFF2-40B4-BE49-F238E27FC236}">
                              <a16:creationId xmlns:a16="http://schemas.microsoft.com/office/drawing/2014/main" id="{00000000-0008-0000-0200-000020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89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21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90" name="Rectangle 289">
                            <a:extLst>
                              <a:ext uri="{FF2B5EF4-FFF2-40B4-BE49-F238E27FC236}">
                                <a16:creationId xmlns:a16="http://schemas.microsoft.com/office/drawing/2014/main" id="{00000000-0008-0000-0200-000022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9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23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92" name="Straight Connector 291">
                            <a:extLst>
                              <a:ext uri="{FF2B5EF4-FFF2-40B4-BE49-F238E27FC236}">
                                <a16:creationId xmlns:a16="http://schemas.microsoft.com/office/drawing/2014/main" id="{00000000-0008-0000-0200-000024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93" name="Straight Connector 292">
                            <a:extLst>
                              <a:ext uri="{FF2B5EF4-FFF2-40B4-BE49-F238E27FC236}">
                                <a16:creationId xmlns:a16="http://schemas.microsoft.com/office/drawing/2014/main" id="{00000000-0008-0000-0200-000025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86" name="Shape 6">
                        <a:extLst>
                          <a:ext uri="{FF2B5EF4-FFF2-40B4-BE49-F238E27FC236}">
                            <a16:creationId xmlns:a16="http://schemas.microsoft.com/office/drawing/2014/main" id="{00000000-0008-0000-0200-00001E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250" name="Group 249">
                    <a:extLst>
                      <a:ext uri="{FF2B5EF4-FFF2-40B4-BE49-F238E27FC236}">
                        <a16:creationId xmlns:a16="http://schemas.microsoft.com/office/drawing/2014/main" id="{00000000-0008-0000-0200-0000FA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68" name="Shape 5">
                      <a:extLst>
                        <a:ext uri="{FF2B5EF4-FFF2-40B4-BE49-F238E27FC236}">
                          <a16:creationId xmlns:a16="http://schemas.microsoft.com/office/drawing/2014/main" id="{00000000-0008-0000-0200-00000C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69" name="Shape 8">
                      <a:extLst>
                        <a:ext uri="{FF2B5EF4-FFF2-40B4-BE49-F238E27FC236}">
                          <a16:creationId xmlns:a16="http://schemas.microsoft.com/office/drawing/2014/main" id="{00000000-0008-0000-0200-00000D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70" name="Group 269">
                      <a:extLst>
                        <a:ext uri="{FF2B5EF4-FFF2-40B4-BE49-F238E27FC236}">
                          <a16:creationId xmlns:a16="http://schemas.microsoft.com/office/drawing/2014/main" id="{00000000-0008-0000-0200-00000E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71" name="Shape 7">
                        <a:extLst>
                          <a:ext uri="{FF2B5EF4-FFF2-40B4-BE49-F238E27FC236}">
                            <a16:creationId xmlns:a16="http://schemas.microsoft.com/office/drawing/2014/main" id="{00000000-0008-0000-0200-00000F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72" name="Group 271">
                        <a:extLst>
                          <a:ext uri="{FF2B5EF4-FFF2-40B4-BE49-F238E27FC236}">
                            <a16:creationId xmlns:a16="http://schemas.microsoft.com/office/drawing/2014/main" id="{00000000-0008-0000-0200-000010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74" name="Rectangle 273">
                          <a:extLst>
                            <a:ext uri="{FF2B5EF4-FFF2-40B4-BE49-F238E27FC236}">
                              <a16:creationId xmlns:a16="http://schemas.microsoft.com/office/drawing/2014/main" id="{00000000-0008-0000-0200-000012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75" name="Group 274">
                          <a:extLst>
                            <a:ext uri="{FF2B5EF4-FFF2-40B4-BE49-F238E27FC236}">
                              <a16:creationId xmlns:a16="http://schemas.microsoft.com/office/drawing/2014/main" id="{00000000-0008-0000-0200-000013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7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14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77" name="Rectangle 276">
                            <a:extLst>
                              <a:ext uri="{FF2B5EF4-FFF2-40B4-BE49-F238E27FC236}">
                                <a16:creationId xmlns:a16="http://schemas.microsoft.com/office/drawing/2014/main" id="{00000000-0008-0000-0200-000015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7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16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79" name="Straight Connector 278">
                            <a:extLst>
                              <a:ext uri="{FF2B5EF4-FFF2-40B4-BE49-F238E27FC236}">
                                <a16:creationId xmlns:a16="http://schemas.microsoft.com/office/drawing/2014/main" id="{00000000-0008-0000-0200-000017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80" name="Straight Connector 279">
                            <a:extLst>
                              <a:ext uri="{FF2B5EF4-FFF2-40B4-BE49-F238E27FC236}">
                                <a16:creationId xmlns:a16="http://schemas.microsoft.com/office/drawing/2014/main" id="{00000000-0008-0000-0200-000018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73" name="Shape 6">
                        <a:extLst>
                          <a:ext uri="{FF2B5EF4-FFF2-40B4-BE49-F238E27FC236}">
                            <a16:creationId xmlns:a16="http://schemas.microsoft.com/office/drawing/2014/main" id="{00000000-0008-0000-0200-000011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251" name="Group 250">
                    <a:extLst>
                      <a:ext uri="{FF2B5EF4-FFF2-40B4-BE49-F238E27FC236}">
                        <a16:creationId xmlns:a16="http://schemas.microsoft.com/office/drawing/2014/main" id="{00000000-0008-0000-0200-0000FB00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55" name="Shape 5">
                      <a:extLst>
                        <a:ext uri="{FF2B5EF4-FFF2-40B4-BE49-F238E27FC236}">
                          <a16:creationId xmlns:a16="http://schemas.microsoft.com/office/drawing/2014/main" id="{00000000-0008-0000-0200-0000FF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6" name="Shape 8">
                      <a:extLst>
                        <a:ext uri="{FF2B5EF4-FFF2-40B4-BE49-F238E27FC236}">
                          <a16:creationId xmlns:a16="http://schemas.microsoft.com/office/drawing/2014/main" id="{00000000-0008-0000-0200-000000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57" name="Group 256">
                      <a:extLst>
                        <a:ext uri="{FF2B5EF4-FFF2-40B4-BE49-F238E27FC236}">
                          <a16:creationId xmlns:a16="http://schemas.microsoft.com/office/drawing/2014/main" id="{00000000-0008-0000-0200-000001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58" name="Shape 7">
                        <a:extLst>
                          <a:ext uri="{FF2B5EF4-FFF2-40B4-BE49-F238E27FC236}">
                            <a16:creationId xmlns:a16="http://schemas.microsoft.com/office/drawing/2014/main" id="{00000000-0008-0000-0200-000002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59" name="Group 258">
                        <a:extLst>
                          <a:ext uri="{FF2B5EF4-FFF2-40B4-BE49-F238E27FC236}">
                            <a16:creationId xmlns:a16="http://schemas.microsoft.com/office/drawing/2014/main" id="{00000000-0008-0000-0200-000003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61" name="Rectangle 260">
                          <a:extLst>
                            <a:ext uri="{FF2B5EF4-FFF2-40B4-BE49-F238E27FC236}">
                              <a16:creationId xmlns:a16="http://schemas.microsoft.com/office/drawing/2014/main" id="{00000000-0008-0000-0200-000005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62" name="Group 261">
                          <a:extLst>
                            <a:ext uri="{FF2B5EF4-FFF2-40B4-BE49-F238E27FC236}">
                              <a16:creationId xmlns:a16="http://schemas.microsoft.com/office/drawing/2014/main" id="{00000000-0008-0000-0200-000006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6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07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64" name="Rectangle 263">
                            <a:extLst>
                              <a:ext uri="{FF2B5EF4-FFF2-40B4-BE49-F238E27FC236}">
                                <a16:creationId xmlns:a16="http://schemas.microsoft.com/office/drawing/2014/main" id="{00000000-0008-0000-0200-000008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65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09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66" name="Straight Connector 265">
                            <a:extLst>
                              <a:ext uri="{FF2B5EF4-FFF2-40B4-BE49-F238E27FC236}">
                                <a16:creationId xmlns:a16="http://schemas.microsoft.com/office/drawing/2014/main" id="{00000000-0008-0000-0200-00000A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67" name="Straight Connector 266">
                            <a:extLst>
                              <a:ext uri="{FF2B5EF4-FFF2-40B4-BE49-F238E27FC236}">
                                <a16:creationId xmlns:a16="http://schemas.microsoft.com/office/drawing/2014/main" id="{00000000-0008-0000-0200-00000B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60" name="Shape 6">
                        <a:extLst>
                          <a:ext uri="{FF2B5EF4-FFF2-40B4-BE49-F238E27FC236}">
                            <a16:creationId xmlns:a16="http://schemas.microsoft.com/office/drawing/2014/main" id="{00000000-0008-0000-0200-000004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252" name="Shape 27">
                    <a:extLst>
                      <a:ext uri="{FF2B5EF4-FFF2-40B4-BE49-F238E27FC236}">
                        <a16:creationId xmlns:a16="http://schemas.microsoft.com/office/drawing/2014/main" id="{00000000-0008-0000-0200-0000FC00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53" name="Shape 27">
                    <a:extLst>
                      <a:ext uri="{FF2B5EF4-FFF2-40B4-BE49-F238E27FC236}">
                        <a16:creationId xmlns:a16="http://schemas.microsoft.com/office/drawing/2014/main" id="{00000000-0008-0000-0200-0000FD00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54" name="Shape 27">
                    <a:extLst>
                      <a:ext uri="{FF2B5EF4-FFF2-40B4-BE49-F238E27FC236}">
                        <a16:creationId xmlns:a16="http://schemas.microsoft.com/office/drawing/2014/main" id="{00000000-0008-0000-0200-0000FE00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45" name="Straight Connector 244">
                  <a:extLst>
                    <a:ext uri="{FF2B5EF4-FFF2-40B4-BE49-F238E27FC236}">
                      <a16:creationId xmlns:a16="http://schemas.microsoft.com/office/drawing/2014/main" id="{00000000-0008-0000-0200-0000F5000000}"/>
                    </a:ext>
                  </a:extLst>
                </xdr:cNvPr>
                <xdr:cNvCxnSpPr/>
              </xdr:nvCxnSpPr>
              <xdr:spPr>
                <a:xfrm>
                  <a:off x="8740754" y="5062392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6" name="Straight Connector 245">
                  <a:extLst>
                    <a:ext uri="{FF2B5EF4-FFF2-40B4-BE49-F238E27FC236}">
                      <a16:creationId xmlns:a16="http://schemas.microsoft.com/office/drawing/2014/main" id="{00000000-0008-0000-0200-0000F600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7" name="Straight Connector 246">
                  <a:extLst>
                    <a:ext uri="{FF2B5EF4-FFF2-40B4-BE49-F238E27FC236}">
                      <a16:creationId xmlns:a16="http://schemas.microsoft.com/office/drawing/2014/main" id="{00000000-0008-0000-0200-0000F700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8" name="Straight Connector 247">
                  <a:extLst>
                    <a:ext uri="{FF2B5EF4-FFF2-40B4-BE49-F238E27FC236}">
                      <a16:creationId xmlns:a16="http://schemas.microsoft.com/office/drawing/2014/main" id="{00000000-0008-0000-0200-0000F800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40" name="TextBox 239">
              <a:extLst>
                <a:ext uri="{FF2B5EF4-FFF2-40B4-BE49-F238E27FC236}">
                  <a16:creationId xmlns:a16="http://schemas.microsoft.com/office/drawing/2014/main" id="{00000000-0008-0000-0200-0000F000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241" name="TextBox 240">
              <a:extLst>
                <a:ext uri="{FF2B5EF4-FFF2-40B4-BE49-F238E27FC236}">
                  <a16:creationId xmlns:a16="http://schemas.microsoft.com/office/drawing/2014/main" id="{00000000-0008-0000-0200-0000F100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L3</a:t>
              </a:r>
            </a:p>
          </xdr:txBody>
        </xdr:sp>
      </xdr:grp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200-0000ED000000}"/>
              </a:ext>
            </a:extLst>
          </xdr:cNvPr>
          <xdr:cNvCxnSpPr/>
        </xdr:nvCxnSpPr>
        <xdr:spPr>
          <a:xfrm>
            <a:off x="10712844" y="10083202"/>
            <a:ext cx="0" cy="135341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8" name="Straight Connector 237">
            <a:extLst>
              <a:ext uri="{FF2B5EF4-FFF2-40B4-BE49-F238E27FC236}">
                <a16:creationId xmlns:a16="http://schemas.microsoft.com/office/drawing/2014/main" id="{00000000-0008-0000-0200-0000EE000000}"/>
              </a:ext>
            </a:extLst>
          </xdr:cNvPr>
          <xdr:cNvCxnSpPr/>
        </xdr:nvCxnSpPr>
        <xdr:spPr>
          <a:xfrm>
            <a:off x="10712844" y="8711863"/>
            <a:ext cx="0" cy="137134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52</xdr:col>
      <xdr:colOff>203199</xdr:colOff>
      <xdr:row>39</xdr:row>
      <xdr:rowOff>169333</xdr:rowOff>
    </xdr:from>
    <xdr:to>
      <xdr:col>67</xdr:col>
      <xdr:colOff>145570</xdr:colOff>
      <xdr:row>59</xdr:row>
      <xdr:rowOff>184696</xdr:rowOff>
    </xdr:to>
    <xdr:sp macro="" textlink="">
      <xdr:nvSpPr>
        <xdr:cNvPr id="349" name="Dash1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13394266" y="8094133"/>
          <a:ext cx="3752371" cy="4079363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66</xdr:col>
      <xdr:colOff>202689</xdr:colOff>
      <xdr:row>59</xdr:row>
      <xdr:rowOff>156927</xdr:rowOff>
    </xdr:from>
    <xdr:to>
      <xdr:col>68</xdr:col>
      <xdr:colOff>102563</xdr:colOff>
      <xdr:row>61</xdr:row>
      <xdr:rowOff>150058</xdr:rowOff>
    </xdr:to>
    <xdr:grpSp>
      <xdr:nvGrpSpPr>
        <xdr:cNvPr id="350" name="Ground1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GrpSpPr/>
      </xdr:nvGrpSpPr>
      <xdr:grpSpPr>
        <a:xfrm>
          <a:off x="17131519" y="12113842"/>
          <a:ext cx="413278" cy="398450"/>
          <a:chOff x="10160000" y="2820276"/>
          <a:chExt cx="508000" cy="401148"/>
        </a:xfrm>
      </xdr:grpSpPr>
      <xdr:grpSp>
        <xdr:nvGrpSpPr>
          <xdr:cNvPr id="351" name="Group 350">
            <a:extLst>
              <a:ext uri="{FF2B5EF4-FFF2-40B4-BE49-F238E27FC236}">
                <a16:creationId xmlns:a16="http://schemas.microsoft.com/office/drawing/2014/main" id="{00000000-0008-0000-0200-00005F01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353" name="Straight Connector 352">
              <a:extLst>
                <a:ext uri="{FF2B5EF4-FFF2-40B4-BE49-F238E27FC236}">
                  <a16:creationId xmlns:a16="http://schemas.microsoft.com/office/drawing/2014/main" id="{00000000-0008-0000-0200-00006101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4" name="Straight Connector 353">
              <a:extLst>
                <a:ext uri="{FF2B5EF4-FFF2-40B4-BE49-F238E27FC236}">
                  <a16:creationId xmlns:a16="http://schemas.microsoft.com/office/drawing/2014/main" id="{00000000-0008-0000-0200-00006201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5" name="Straight Connector 354">
              <a:extLst>
                <a:ext uri="{FF2B5EF4-FFF2-40B4-BE49-F238E27FC236}">
                  <a16:creationId xmlns:a16="http://schemas.microsoft.com/office/drawing/2014/main" id="{00000000-0008-0000-0200-00006301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52" name="Straight Connector 351">
            <a:extLst>
              <a:ext uri="{FF2B5EF4-FFF2-40B4-BE49-F238E27FC236}">
                <a16:creationId xmlns:a16="http://schemas.microsoft.com/office/drawing/2014/main" id="{00000000-0008-0000-0200-00006001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356" name="Straight Connector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357" name="Straight Connector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358" name="Straight Connector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/>
      </xdr:nvCxnSpPr>
      <xdr:spPr>
        <a:xfrm>
          <a:off x="5842001" y="2948872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46</xdr:row>
      <xdr:rowOff>63500</xdr:rowOff>
    </xdr:from>
    <xdr:to>
      <xdr:col>23</xdr:col>
      <xdr:colOff>165100</xdr:colOff>
      <xdr:row>47</xdr:row>
      <xdr:rowOff>44062</xdr:rowOff>
    </xdr:to>
    <xdr:cxnSp macro="">
      <xdr:nvCxnSpPr>
        <xdr:cNvPr id="359" name="2P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CxnSpPr/>
      </xdr:nvCxnSpPr>
      <xdr:spPr>
        <a:xfrm flipH="1">
          <a:off x="5847681" y="9410700"/>
          <a:ext cx="159419" cy="1837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81882</xdr:colOff>
      <xdr:row>46</xdr:row>
      <xdr:rowOff>63500</xdr:rowOff>
    </xdr:from>
    <xdr:to>
      <xdr:col>24</xdr:col>
      <xdr:colOff>0</xdr:colOff>
      <xdr:row>47</xdr:row>
      <xdr:rowOff>56762</xdr:rowOff>
    </xdr:to>
    <xdr:cxnSp macro="">
      <xdr:nvCxnSpPr>
        <xdr:cNvPr id="360" name="2P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CxnSpPr/>
      </xdr:nvCxnSpPr>
      <xdr:spPr>
        <a:xfrm flipH="1">
          <a:off x="5923882" y="9410700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172802</xdr:colOff>
      <xdr:row>46</xdr:row>
      <xdr:rowOff>73314</xdr:rowOff>
    </xdr:from>
    <xdr:to>
      <xdr:col>24</xdr:col>
      <xdr:colOff>90920</xdr:colOff>
      <xdr:row>47</xdr:row>
      <xdr:rowOff>66576</xdr:rowOff>
    </xdr:to>
    <xdr:cxnSp macro="">
      <xdr:nvCxnSpPr>
        <xdr:cNvPr id="361" name="2P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H="1">
          <a:off x="6014802" y="9420514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362" name="2P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H="1">
          <a:off x="5299430" y="7921409"/>
          <a:ext cx="156643" cy="18376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21</xdr:col>
      <xdr:colOff>213749</xdr:colOff>
      <xdr:row>39</xdr:row>
      <xdr:rowOff>193072</xdr:rowOff>
    </xdr:to>
    <xdr:cxnSp macro="">
      <xdr:nvCxnSpPr>
        <xdr:cNvPr id="363" name="2P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H="1">
          <a:off x="5372855" y="7921409"/>
          <a:ext cx="174894" cy="19646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129775</xdr:colOff>
      <xdr:row>39</xdr:row>
      <xdr:rowOff>8367</xdr:rowOff>
    </xdr:from>
    <xdr:to>
      <xdr:col>22</xdr:col>
      <xdr:colOff>47893</xdr:colOff>
      <xdr:row>40</xdr:row>
      <xdr:rowOff>1629</xdr:rowOff>
    </xdr:to>
    <xdr:cxnSp macro="">
      <xdr:nvCxnSpPr>
        <xdr:cNvPr id="364" name="2P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H="1">
          <a:off x="5463775" y="7933167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236387</xdr:colOff>
      <xdr:row>36</xdr:row>
      <xdr:rowOff>21783</xdr:rowOff>
    </xdr:from>
    <xdr:to>
      <xdr:col>36</xdr:col>
      <xdr:colOff>192424</xdr:colOff>
      <xdr:row>36</xdr:row>
      <xdr:rowOff>21783</xdr:rowOff>
    </xdr:to>
    <xdr:cxnSp macro="">
      <xdr:nvCxnSpPr>
        <xdr:cNvPr id="365" name="Straight Connector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CxnSpPr/>
      </xdr:nvCxnSpPr>
      <xdr:spPr>
        <a:xfrm flipH="1">
          <a:off x="4554387" y="7226147"/>
          <a:ext cx="4766643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67066</xdr:colOff>
      <xdr:row>19</xdr:row>
      <xdr:rowOff>110869</xdr:rowOff>
    </xdr:from>
    <xdr:to>
      <xdr:col>45</xdr:col>
      <xdr:colOff>68834</xdr:colOff>
      <xdr:row>21</xdr:row>
      <xdr:rowOff>76816</xdr:rowOff>
    </xdr:to>
    <xdr:sp macro="" textlink="">
      <xdr:nvSpPr>
        <xdr:cNvPr id="371" name="TboxL2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10722366" y="3971669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47</xdr:col>
      <xdr:colOff>167977</xdr:colOff>
      <xdr:row>14</xdr:row>
      <xdr:rowOff>97693</xdr:rowOff>
    </xdr:from>
    <xdr:to>
      <xdr:col>67</xdr:col>
      <xdr:colOff>132079</xdr:colOff>
      <xdr:row>38</xdr:row>
      <xdr:rowOff>30621</xdr:rowOff>
    </xdr:to>
    <xdr:grpSp>
      <xdr:nvGrpSpPr>
        <xdr:cNvPr id="372" name="ExistA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GrpSpPr/>
      </xdr:nvGrpSpPr>
      <xdr:grpSpPr>
        <a:xfrm>
          <a:off x="12219466" y="2934927"/>
          <a:ext cx="5098145" cy="4796758"/>
          <a:chOff x="2828392" y="7436998"/>
          <a:chExt cx="5042588" cy="5004458"/>
        </a:xfrm>
      </xdr:grpSpPr>
      <xdr:grpSp>
        <xdr:nvGrpSpPr>
          <xdr:cNvPr id="374" name="Group 373">
            <a:extLst>
              <a:ext uri="{FF2B5EF4-FFF2-40B4-BE49-F238E27FC236}">
                <a16:creationId xmlns:a16="http://schemas.microsoft.com/office/drawing/2014/main" id="{00000000-0008-0000-0200-000076010000}"/>
              </a:ext>
            </a:extLst>
          </xdr:cNvPr>
          <xdr:cNvGrpSpPr/>
        </xdr:nvGrpSpPr>
        <xdr:grpSpPr>
          <a:xfrm>
            <a:off x="2828392" y="9024452"/>
            <a:ext cx="269232" cy="2810890"/>
            <a:chOff x="4208508" y="8500057"/>
            <a:chExt cx="275795" cy="2792948"/>
          </a:xfrm>
        </xdr:grpSpPr>
        <xdr:grpSp>
          <xdr:nvGrpSpPr>
            <xdr:cNvPr id="377" name="Group 376">
              <a:extLst>
                <a:ext uri="{FF2B5EF4-FFF2-40B4-BE49-F238E27FC236}">
                  <a16:creationId xmlns:a16="http://schemas.microsoft.com/office/drawing/2014/main" id="{00000000-0008-0000-0200-000079010000}"/>
                </a:ext>
              </a:extLst>
            </xdr:cNvPr>
            <xdr:cNvGrpSpPr/>
          </xdr:nvGrpSpPr>
          <xdr:grpSpPr>
            <a:xfrm>
              <a:off x="4208508" y="8500057"/>
              <a:ext cx="275795" cy="318559"/>
              <a:chOff x="4208508" y="8500057"/>
              <a:chExt cx="275795" cy="318559"/>
            </a:xfrm>
          </xdr:grpSpPr>
          <xdr:sp macro="" textlink="">
            <xdr:nvSpPr>
              <xdr:cNvPr id="379" name="Shape 27">
                <a:extLst>
                  <a:ext uri="{FF2B5EF4-FFF2-40B4-BE49-F238E27FC236}">
                    <a16:creationId xmlns:a16="http://schemas.microsoft.com/office/drawing/2014/main" id="{00000000-0008-0000-0200-00007B010000}"/>
                  </a:ext>
                </a:extLst>
              </xdr:cNvPr>
              <xdr:cNvSpPr/>
            </xdr:nvSpPr>
            <xdr:spPr>
              <a:xfrm>
                <a:off x="4208508" y="8500057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0" name="Shape 27">
                <a:extLst>
                  <a:ext uri="{FF2B5EF4-FFF2-40B4-BE49-F238E27FC236}">
                    <a16:creationId xmlns:a16="http://schemas.microsoft.com/office/drawing/2014/main" id="{00000000-0008-0000-0200-00007C010000}"/>
                  </a:ext>
                </a:extLst>
              </xdr:cNvPr>
              <xdr:cNvSpPr/>
            </xdr:nvSpPr>
            <xdr:spPr>
              <a:xfrm>
                <a:off x="4209353" y="871892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1" name="Shape 26">
                <a:extLst>
                  <a:ext uri="{FF2B5EF4-FFF2-40B4-BE49-F238E27FC236}">
                    <a16:creationId xmlns:a16="http://schemas.microsoft.com/office/drawing/2014/main" id="{00000000-0008-0000-0200-00007D010000}"/>
                  </a:ext>
                </a:extLst>
              </xdr:cNvPr>
              <xdr:cNvSpPr/>
            </xdr:nvSpPr>
            <xdr:spPr>
              <a:xfrm flipH="1">
                <a:off x="4271603" y="8532578"/>
                <a:ext cx="212700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78" name="Straight Connector 377">
              <a:extLst>
                <a:ext uri="{FF2B5EF4-FFF2-40B4-BE49-F238E27FC236}">
                  <a16:creationId xmlns:a16="http://schemas.microsoft.com/office/drawing/2014/main" id="{00000000-0008-0000-0200-00007A010000}"/>
                </a:ext>
              </a:extLst>
            </xdr:cNvPr>
            <xdr:cNvCxnSpPr/>
          </xdr:nvCxnSpPr>
          <xdr:spPr>
            <a:xfrm>
              <a:off x="4257709" y="8824036"/>
              <a:ext cx="0" cy="2468969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75" name="Straight Connector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CxnSpPr/>
        </xdr:nvCxnSpPr>
        <xdr:spPr>
          <a:xfrm>
            <a:off x="2869979" y="7436998"/>
            <a:ext cx="0" cy="158526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6" name="Dash">
            <a:extLst>
              <a:ext uri="{FF2B5EF4-FFF2-40B4-BE49-F238E27FC236}">
                <a16:creationId xmlns:a16="http://schemas.microsoft.com/office/drawing/2014/main" id="{00000000-0008-0000-0200-000078010000}"/>
              </a:ext>
            </a:extLst>
          </xdr:cNvPr>
          <xdr:cNvSpPr/>
        </xdr:nvSpPr>
        <xdr:spPr>
          <a:xfrm>
            <a:off x="3113824" y="10454255"/>
            <a:ext cx="4757156" cy="1987201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46</xdr:col>
      <xdr:colOff>237380</xdr:colOff>
      <xdr:row>20</xdr:row>
      <xdr:rowOff>16905</xdr:rowOff>
    </xdr:from>
    <xdr:to>
      <xdr:col>48</xdr:col>
      <xdr:colOff>65669</xdr:colOff>
      <xdr:row>20</xdr:row>
      <xdr:rowOff>183601</xdr:rowOff>
    </xdr:to>
    <xdr:grpSp>
      <xdr:nvGrpSpPr>
        <xdr:cNvPr id="403" name="Group 402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GrpSpPr/>
      </xdr:nvGrpSpPr>
      <xdr:grpSpPr>
        <a:xfrm>
          <a:off x="12032167" y="4070096"/>
          <a:ext cx="341693" cy="166696"/>
          <a:chOff x="10817680" y="7023878"/>
          <a:chExt cx="333698" cy="170683"/>
        </a:xfrm>
      </xdr:grpSpPr>
      <xdr:cxnSp macro="">
        <xdr:nvCxnSpPr>
          <xdr:cNvPr id="404" name="Straight Connector 403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5" name="Straight Connector 404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6" name="Straight Connector 405">
            <a:extLst>
              <a:ext uri="{FF2B5EF4-FFF2-40B4-BE49-F238E27FC236}">
                <a16:creationId xmlns:a16="http://schemas.microsoft.com/office/drawing/2014/main" id="{00000000-0008-0000-0200-00009601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7" name="Straight Connector 406">
            <a:extLst>
              <a:ext uri="{FF2B5EF4-FFF2-40B4-BE49-F238E27FC236}">
                <a16:creationId xmlns:a16="http://schemas.microsoft.com/office/drawing/2014/main" id="{00000000-0008-0000-0200-00009701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36</xdr:col>
      <xdr:colOff>207820</xdr:colOff>
      <xdr:row>20</xdr:row>
      <xdr:rowOff>178802</xdr:rowOff>
    </xdr:from>
    <xdr:to>
      <xdr:col>46</xdr:col>
      <xdr:colOff>234950</xdr:colOff>
      <xdr:row>20</xdr:row>
      <xdr:rowOff>178802</xdr:rowOff>
    </xdr:to>
    <xdr:cxnSp macro="">
      <xdr:nvCxnSpPr>
        <xdr:cNvPr id="409" name="Straight Connector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CxnSpPr/>
      </xdr:nvCxnSpPr>
      <xdr:spPr>
        <a:xfrm flipH="1">
          <a:off x="9339120" y="4242802"/>
          <a:ext cx="2567130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213563</xdr:colOff>
      <xdr:row>20</xdr:row>
      <xdr:rowOff>177031</xdr:rowOff>
    </xdr:from>
    <xdr:to>
      <xdr:col>36</xdr:col>
      <xdr:colOff>213563</xdr:colOff>
      <xdr:row>36</xdr:row>
      <xdr:rowOff>26170</xdr:rowOff>
    </xdr:to>
    <xdr:cxnSp macro="">
      <xdr:nvCxnSpPr>
        <xdr:cNvPr id="411" name="Straight Connector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CxnSpPr/>
      </xdr:nvCxnSpPr>
      <xdr:spPr>
        <a:xfrm>
          <a:off x="9342169" y="4179455"/>
          <a:ext cx="0" cy="3051079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43781</xdr:colOff>
      <xdr:row>15</xdr:row>
      <xdr:rowOff>139245</xdr:rowOff>
    </xdr:from>
    <xdr:to>
      <xdr:col>46</xdr:col>
      <xdr:colOff>40375</xdr:colOff>
      <xdr:row>17</xdr:row>
      <xdr:rowOff>8095</xdr:rowOff>
    </xdr:to>
    <xdr:grpSp>
      <xdr:nvGrpSpPr>
        <xdr:cNvPr id="410" name="3PInv1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GrpSpPr/>
      </xdr:nvGrpSpPr>
      <xdr:grpSpPr>
        <a:xfrm>
          <a:off x="11581866" y="3179139"/>
          <a:ext cx="253296" cy="274169"/>
          <a:chOff x="3200401" y="7249224"/>
          <a:chExt cx="250595" cy="281901"/>
        </a:xfrm>
      </xdr:grpSpPr>
      <xdr:cxnSp macro="">
        <xdr:nvCxnSpPr>
          <xdr:cNvPr id="412" name="2P">
            <a:extLst>
              <a:ext uri="{FF2B5EF4-FFF2-40B4-BE49-F238E27FC236}">
                <a16:creationId xmlns:a16="http://schemas.microsoft.com/office/drawing/2014/main" id="{00000000-0008-0000-0200-00009C01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3" name="3P">
            <a:extLst>
              <a:ext uri="{FF2B5EF4-FFF2-40B4-BE49-F238E27FC236}">
                <a16:creationId xmlns:a16="http://schemas.microsoft.com/office/drawing/2014/main" id="{00000000-0008-0000-0200-00009D01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228141</xdr:colOff>
      <xdr:row>15</xdr:row>
      <xdr:rowOff>41876</xdr:rowOff>
    </xdr:from>
    <xdr:to>
      <xdr:col>32</xdr:col>
      <xdr:colOff>227896</xdr:colOff>
      <xdr:row>16</xdr:row>
      <xdr:rowOff>122062</xdr:rowOff>
    </xdr:to>
    <xdr:grpSp>
      <xdr:nvGrpSpPr>
        <xdr:cNvPr id="419" name="3PEnvoy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/>
      </xdr:nvGrpSpPr>
      <xdr:grpSpPr>
        <a:xfrm>
          <a:off x="8172396" y="3081770"/>
          <a:ext cx="256457" cy="282845"/>
          <a:chOff x="7844688" y="3097141"/>
          <a:chExt cx="256533" cy="281443"/>
        </a:xfrm>
      </xdr:grpSpPr>
      <xdr:cxnSp macro="">
        <xdr:nvCxnSpPr>
          <xdr:cNvPr id="420" name="Straight Connector 419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CxnSpPr/>
        </xdr:nvCxnSpPr>
        <xdr:spPr>
          <a:xfrm flipH="1">
            <a:off x="7844688" y="309714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1" name="Straight Connector 420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CxnSpPr/>
        </xdr:nvCxnSpPr>
        <xdr:spPr>
          <a:xfrm flipH="1">
            <a:off x="7844688" y="319723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212537</xdr:colOff>
      <xdr:row>14</xdr:row>
      <xdr:rowOff>146341</xdr:rowOff>
    </xdr:from>
    <xdr:to>
      <xdr:col>32</xdr:col>
      <xdr:colOff>213044</xdr:colOff>
      <xdr:row>15</xdr:row>
      <xdr:rowOff>127512</xdr:rowOff>
    </xdr:to>
    <xdr:cxnSp macro="">
      <xdr:nvCxnSpPr>
        <xdr:cNvPr id="422" name="Straight Connector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CxnSpPr/>
      </xdr:nvCxnSpPr>
      <xdr:spPr>
        <a:xfrm flipH="1">
          <a:off x="8185845" y="2953709"/>
          <a:ext cx="258327" cy="18169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211664</xdr:colOff>
      <xdr:row>29</xdr:row>
      <xdr:rowOff>69162</xdr:rowOff>
    </xdr:from>
    <xdr:to>
      <xdr:col>66</xdr:col>
      <xdr:colOff>197476</xdr:colOff>
      <xdr:row>38</xdr:row>
      <xdr:rowOff>161253</xdr:rowOff>
    </xdr:to>
    <xdr:grpSp>
      <xdr:nvGrpSpPr>
        <xdr:cNvPr id="428" name="Group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GrpSpPr/>
      </xdr:nvGrpSpPr>
      <xdr:grpSpPr>
        <a:xfrm>
          <a:off x="12263153" y="5946290"/>
          <a:ext cx="4863153" cy="1916027"/>
          <a:chOff x="11466604" y="9810249"/>
          <a:chExt cx="4734646" cy="1969257"/>
        </a:xfrm>
      </xdr:grpSpPr>
      <xdr:grpSp>
        <xdr:nvGrpSpPr>
          <xdr:cNvPr id="431" name="Group 430">
            <a:extLst>
              <a:ext uri="{FF2B5EF4-FFF2-40B4-BE49-F238E27FC236}">
                <a16:creationId xmlns:a16="http://schemas.microsoft.com/office/drawing/2014/main" id="{00000000-0008-0000-0200-0000AF010000}"/>
              </a:ext>
            </a:extLst>
          </xdr:cNvPr>
          <xdr:cNvGrpSpPr/>
        </xdr:nvGrpSpPr>
        <xdr:grpSpPr>
          <a:xfrm>
            <a:off x="12893184" y="9810249"/>
            <a:ext cx="3308066" cy="1337798"/>
            <a:chOff x="13759882" y="9716978"/>
            <a:chExt cx="3136387" cy="1353972"/>
          </a:xfrm>
        </xdr:grpSpPr>
        <xdr:grpSp>
          <xdr:nvGrpSpPr>
            <xdr:cNvPr id="441" name="Group 440">
              <a:extLst>
                <a:ext uri="{FF2B5EF4-FFF2-40B4-BE49-F238E27FC236}">
                  <a16:creationId xmlns:a16="http://schemas.microsoft.com/office/drawing/2014/main" id="{00000000-0008-0000-0200-0000B9010000}"/>
                </a:ext>
              </a:extLst>
            </xdr:cNvPr>
            <xdr:cNvGrpSpPr/>
          </xdr:nvGrpSpPr>
          <xdr:grpSpPr>
            <a:xfrm>
              <a:off x="14129217" y="9716978"/>
              <a:ext cx="2672175" cy="1287783"/>
              <a:chOff x="9365430" y="3850532"/>
              <a:chExt cx="2742155" cy="1262101"/>
            </a:xfrm>
          </xdr:grpSpPr>
          <xdr:sp macro="" textlink="">
            <xdr:nvSpPr>
              <xdr:cNvPr id="444" name="Rectangle 443">
                <a:extLst>
                  <a:ext uri="{FF2B5EF4-FFF2-40B4-BE49-F238E27FC236}">
                    <a16:creationId xmlns:a16="http://schemas.microsoft.com/office/drawing/2014/main" id="{00000000-0008-0000-0200-0000BC01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445" name="Group 444">
                <a:extLst>
                  <a:ext uri="{FF2B5EF4-FFF2-40B4-BE49-F238E27FC236}">
                    <a16:creationId xmlns:a16="http://schemas.microsoft.com/office/drawing/2014/main" id="{00000000-0008-0000-0200-0000BD010000}"/>
                  </a:ext>
                </a:extLst>
              </xdr:cNvPr>
              <xdr:cNvGrpSpPr/>
            </xdr:nvGrpSpPr>
            <xdr:grpSpPr>
              <a:xfrm>
                <a:off x="9365430" y="3850532"/>
                <a:ext cx="2696854" cy="1227296"/>
                <a:chOff x="9365430" y="3850532"/>
                <a:chExt cx="2696854" cy="1227296"/>
              </a:xfrm>
            </xdr:grpSpPr>
            <xdr:grpSp>
              <xdr:nvGrpSpPr>
                <xdr:cNvPr id="446" name="Group 445">
                  <a:extLst>
                    <a:ext uri="{FF2B5EF4-FFF2-40B4-BE49-F238E27FC236}">
                      <a16:creationId xmlns:a16="http://schemas.microsoft.com/office/drawing/2014/main" id="{00000000-0008-0000-0200-0000BE01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451" name="Group 450">
                    <a:extLst>
                      <a:ext uri="{FF2B5EF4-FFF2-40B4-BE49-F238E27FC236}">
                        <a16:creationId xmlns:a16="http://schemas.microsoft.com/office/drawing/2014/main" id="{00000000-0008-0000-0200-0000C301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483" name="Shape 5">
                      <a:extLst>
                        <a:ext uri="{FF2B5EF4-FFF2-40B4-BE49-F238E27FC236}">
                          <a16:creationId xmlns:a16="http://schemas.microsoft.com/office/drawing/2014/main" id="{00000000-0008-0000-0200-0000E3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84" name="Shape 8">
                      <a:extLst>
                        <a:ext uri="{FF2B5EF4-FFF2-40B4-BE49-F238E27FC236}">
                          <a16:creationId xmlns:a16="http://schemas.microsoft.com/office/drawing/2014/main" id="{00000000-0008-0000-0200-0000E4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85" name="Group 484">
                      <a:extLst>
                        <a:ext uri="{FF2B5EF4-FFF2-40B4-BE49-F238E27FC236}">
                          <a16:creationId xmlns:a16="http://schemas.microsoft.com/office/drawing/2014/main" id="{00000000-0008-0000-0200-0000E5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86" name="Shape 7">
                        <a:extLst>
                          <a:ext uri="{FF2B5EF4-FFF2-40B4-BE49-F238E27FC236}">
                            <a16:creationId xmlns:a16="http://schemas.microsoft.com/office/drawing/2014/main" id="{00000000-0008-0000-0200-0000E6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487" name="Group 486">
                        <a:extLst>
                          <a:ext uri="{FF2B5EF4-FFF2-40B4-BE49-F238E27FC236}">
                            <a16:creationId xmlns:a16="http://schemas.microsoft.com/office/drawing/2014/main" id="{00000000-0008-0000-0200-0000E7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489" name="Rectangle 488">
                          <a:extLst>
                            <a:ext uri="{FF2B5EF4-FFF2-40B4-BE49-F238E27FC236}">
                              <a16:creationId xmlns:a16="http://schemas.microsoft.com/office/drawing/2014/main" id="{00000000-0008-0000-0200-0000E9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490" name="Group 489">
                          <a:extLst>
                            <a:ext uri="{FF2B5EF4-FFF2-40B4-BE49-F238E27FC236}">
                              <a16:creationId xmlns:a16="http://schemas.microsoft.com/office/drawing/2014/main" id="{00000000-0008-0000-0200-0000EA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49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EB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492" name="Rectangle 491">
                            <a:extLst>
                              <a:ext uri="{FF2B5EF4-FFF2-40B4-BE49-F238E27FC236}">
                                <a16:creationId xmlns:a16="http://schemas.microsoft.com/office/drawing/2014/main" id="{00000000-0008-0000-0200-0000EC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49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ED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494" name="Straight Connector 493">
                            <a:extLst>
                              <a:ext uri="{FF2B5EF4-FFF2-40B4-BE49-F238E27FC236}">
                                <a16:creationId xmlns:a16="http://schemas.microsoft.com/office/drawing/2014/main" id="{00000000-0008-0000-0200-0000EE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495" name="Straight Connector 494">
                            <a:extLst>
                              <a:ext uri="{FF2B5EF4-FFF2-40B4-BE49-F238E27FC236}">
                                <a16:creationId xmlns:a16="http://schemas.microsoft.com/office/drawing/2014/main" id="{00000000-0008-0000-0200-0000EF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488" name="Shape 6">
                        <a:extLst>
                          <a:ext uri="{FF2B5EF4-FFF2-40B4-BE49-F238E27FC236}">
                            <a16:creationId xmlns:a16="http://schemas.microsoft.com/office/drawing/2014/main" id="{00000000-0008-0000-0200-0000E8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452" name="Group 451">
                    <a:extLst>
                      <a:ext uri="{FF2B5EF4-FFF2-40B4-BE49-F238E27FC236}">
                        <a16:creationId xmlns:a16="http://schemas.microsoft.com/office/drawing/2014/main" id="{00000000-0008-0000-0200-0000C401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470" name="Shape 5">
                      <a:extLst>
                        <a:ext uri="{FF2B5EF4-FFF2-40B4-BE49-F238E27FC236}">
                          <a16:creationId xmlns:a16="http://schemas.microsoft.com/office/drawing/2014/main" id="{00000000-0008-0000-0200-0000D6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71" name="Shape 8">
                      <a:extLst>
                        <a:ext uri="{FF2B5EF4-FFF2-40B4-BE49-F238E27FC236}">
                          <a16:creationId xmlns:a16="http://schemas.microsoft.com/office/drawing/2014/main" id="{00000000-0008-0000-0200-0000D7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72" name="Group 471">
                      <a:extLst>
                        <a:ext uri="{FF2B5EF4-FFF2-40B4-BE49-F238E27FC236}">
                          <a16:creationId xmlns:a16="http://schemas.microsoft.com/office/drawing/2014/main" id="{00000000-0008-0000-0200-0000D8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73" name="Shape 7">
                        <a:extLst>
                          <a:ext uri="{FF2B5EF4-FFF2-40B4-BE49-F238E27FC236}">
                            <a16:creationId xmlns:a16="http://schemas.microsoft.com/office/drawing/2014/main" id="{00000000-0008-0000-0200-0000D9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474" name="Group 473">
                        <a:extLst>
                          <a:ext uri="{FF2B5EF4-FFF2-40B4-BE49-F238E27FC236}">
                            <a16:creationId xmlns:a16="http://schemas.microsoft.com/office/drawing/2014/main" id="{00000000-0008-0000-0200-0000DA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476" name="Rectangle 475">
                          <a:extLst>
                            <a:ext uri="{FF2B5EF4-FFF2-40B4-BE49-F238E27FC236}">
                              <a16:creationId xmlns:a16="http://schemas.microsoft.com/office/drawing/2014/main" id="{00000000-0008-0000-0200-0000DC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477" name="Group 476">
                          <a:extLst>
                            <a:ext uri="{FF2B5EF4-FFF2-40B4-BE49-F238E27FC236}">
                              <a16:creationId xmlns:a16="http://schemas.microsoft.com/office/drawing/2014/main" id="{00000000-0008-0000-0200-0000DD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47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DE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479" name="Rectangle 478">
                            <a:extLst>
                              <a:ext uri="{FF2B5EF4-FFF2-40B4-BE49-F238E27FC236}">
                                <a16:creationId xmlns:a16="http://schemas.microsoft.com/office/drawing/2014/main" id="{00000000-0008-0000-0200-0000DF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480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E0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481" name="Straight Connector 480">
                            <a:extLst>
                              <a:ext uri="{FF2B5EF4-FFF2-40B4-BE49-F238E27FC236}">
                                <a16:creationId xmlns:a16="http://schemas.microsoft.com/office/drawing/2014/main" id="{00000000-0008-0000-0200-0000E1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482" name="Straight Connector 481">
                            <a:extLst>
                              <a:ext uri="{FF2B5EF4-FFF2-40B4-BE49-F238E27FC236}">
                                <a16:creationId xmlns:a16="http://schemas.microsoft.com/office/drawing/2014/main" id="{00000000-0008-0000-0200-0000E2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475" name="Shape 6">
                        <a:extLst>
                          <a:ext uri="{FF2B5EF4-FFF2-40B4-BE49-F238E27FC236}">
                            <a16:creationId xmlns:a16="http://schemas.microsoft.com/office/drawing/2014/main" id="{00000000-0008-0000-0200-0000DB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453" name="Group 452">
                    <a:extLst>
                      <a:ext uri="{FF2B5EF4-FFF2-40B4-BE49-F238E27FC236}">
                        <a16:creationId xmlns:a16="http://schemas.microsoft.com/office/drawing/2014/main" id="{00000000-0008-0000-0200-0000C501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457" name="Shape 5">
                      <a:extLst>
                        <a:ext uri="{FF2B5EF4-FFF2-40B4-BE49-F238E27FC236}">
                          <a16:creationId xmlns:a16="http://schemas.microsoft.com/office/drawing/2014/main" id="{00000000-0008-0000-0200-0000C9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58" name="Shape 8">
                      <a:extLst>
                        <a:ext uri="{FF2B5EF4-FFF2-40B4-BE49-F238E27FC236}">
                          <a16:creationId xmlns:a16="http://schemas.microsoft.com/office/drawing/2014/main" id="{00000000-0008-0000-0200-0000CA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59" name="Group 458">
                      <a:extLst>
                        <a:ext uri="{FF2B5EF4-FFF2-40B4-BE49-F238E27FC236}">
                          <a16:creationId xmlns:a16="http://schemas.microsoft.com/office/drawing/2014/main" id="{00000000-0008-0000-0200-0000CB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60" name="Shape 7">
                        <a:extLst>
                          <a:ext uri="{FF2B5EF4-FFF2-40B4-BE49-F238E27FC236}">
                            <a16:creationId xmlns:a16="http://schemas.microsoft.com/office/drawing/2014/main" id="{00000000-0008-0000-0200-0000CC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461" name="Group 460">
                        <a:extLst>
                          <a:ext uri="{FF2B5EF4-FFF2-40B4-BE49-F238E27FC236}">
                            <a16:creationId xmlns:a16="http://schemas.microsoft.com/office/drawing/2014/main" id="{00000000-0008-0000-0200-0000CD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463" name="Rectangle 462">
                          <a:extLst>
                            <a:ext uri="{FF2B5EF4-FFF2-40B4-BE49-F238E27FC236}">
                              <a16:creationId xmlns:a16="http://schemas.microsoft.com/office/drawing/2014/main" id="{00000000-0008-0000-0200-0000CF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464" name="Group 463">
                          <a:extLst>
                            <a:ext uri="{FF2B5EF4-FFF2-40B4-BE49-F238E27FC236}">
                              <a16:creationId xmlns:a16="http://schemas.microsoft.com/office/drawing/2014/main" id="{00000000-0008-0000-0200-0000D0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465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D1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466" name="Rectangle 465">
                            <a:extLst>
                              <a:ext uri="{FF2B5EF4-FFF2-40B4-BE49-F238E27FC236}">
                                <a16:creationId xmlns:a16="http://schemas.microsoft.com/office/drawing/2014/main" id="{00000000-0008-0000-0200-0000D2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467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D3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468" name="Straight Connector 467">
                            <a:extLst>
                              <a:ext uri="{FF2B5EF4-FFF2-40B4-BE49-F238E27FC236}">
                                <a16:creationId xmlns:a16="http://schemas.microsoft.com/office/drawing/2014/main" id="{00000000-0008-0000-0200-0000D4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469" name="Straight Connector 468">
                            <a:extLst>
                              <a:ext uri="{FF2B5EF4-FFF2-40B4-BE49-F238E27FC236}">
                                <a16:creationId xmlns:a16="http://schemas.microsoft.com/office/drawing/2014/main" id="{00000000-0008-0000-0200-0000D5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462" name="Shape 6">
                        <a:extLst>
                          <a:ext uri="{FF2B5EF4-FFF2-40B4-BE49-F238E27FC236}">
                            <a16:creationId xmlns:a16="http://schemas.microsoft.com/office/drawing/2014/main" id="{00000000-0008-0000-0200-0000CE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454" name="Shape 27">
                    <a:extLst>
                      <a:ext uri="{FF2B5EF4-FFF2-40B4-BE49-F238E27FC236}">
                        <a16:creationId xmlns:a16="http://schemas.microsoft.com/office/drawing/2014/main" id="{00000000-0008-0000-0200-0000C601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55" name="Shape 27">
                    <a:extLst>
                      <a:ext uri="{FF2B5EF4-FFF2-40B4-BE49-F238E27FC236}">
                        <a16:creationId xmlns:a16="http://schemas.microsoft.com/office/drawing/2014/main" id="{00000000-0008-0000-0200-0000C701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56" name="Shape 27">
                    <a:extLst>
                      <a:ext uri="{FF2B5EF4-FFF2-40B4-BE49-F238E27FC236}">
                        <a16:creationId xmlns:a16="http://schemas.microsoft.com/office/drawing/2014/main" id="{00000000-0008-0000-0200-0000C801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447" name="Straight Connector 446">
                  <a:extLst>
                    <a:ext uri="{FF2B5EF4-FFF2-40B4-BE49-F238E27FC236}">
                      <a16:creationId xmlns:a16="http://schemas.microsoft.com/office/drawing/2014/main" id="{00000000-0008-0000-0200-0000BF010000}"/>
                    </a:ext>
                  </a:extLst>
                </xdr:cNvPr>
                <xdr:cNvCxnSpPr/>
              </xdr:nvCxnSpPr>
              <xdr:spPr>
                <a:xfrm>
                  <a:off x="9365430" y="5075080"/>
                  <a:ext cx="2696854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48" name="Straight Connector 447">
                  <a:extLst>
                    <a:ext uri="{FF2B5EF4-FFF2-40B4-BE49-F238E27FC236}">
                      <a16:creationId xmlns:a16="http://schemas.microsoft.com/office/drawing/2014/main" id="{00000000-0008-0000-0200-0000C001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49" name="Straight Connector 448">
                  <a:extLst>
                    <a:ext uri="{FF2B5EF4-FFF2-40B4-BE49-F238E27FC236}">
                      <a16:creationId xmlns:a16="http://schemas.microsoft.com/office/drawing/2014/main" id="{00000000-0008-0000-0200-0000C101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50" name="Straight Connector 449">
                  <a:extLst>
                    <a:ext uri="{FF2B5EF4-FFF2-40B4-BE49-F238E27FC236}">
                      <a16:creationId xmlns:a16="http://schemas.microsoft.com/office/drawing/2014/main" id="{00000000-0008-0000-0200-0000C201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442" name="TextBox 441">
              <a:extLst>
                <a:ext uri="{FF2B5EF4-FFF2-40B4-BE49-F238E27FC236}">
                  <a16:creationId xmlns:a16="http://schemas.microsoft.com/office/drawing/2014/main" id="{00000000-0008-0000-0200-0000BA010000}"/>
                </a:ext>
              </a:extLst>
            </xdr:cNvPr>
            <xdr:cNvSpPr txBox="1"/>
          </xdr:nvSpPr>
          <xdr:spPr>
            <a:xfrm>
              <a:off x="13759882" y="10685264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443" name="TboxL2">
              <a:extLst>
                <a:ext uri="{FF2B5EF4-FFF2-40B4-BE49-F238E27FC236}">
                  <a16:creationId xmlns:a16="http://schemas.microsoft.com/office/drawing/2014/main" id="{00000000-0008-0000-0200-0000BB010000}"/>
                </a:ext>
              </a:extLst>
            </xdr:cNvPr>
            <xdr:cNvSpPr txBox="1"/>
          </xdr:nvSpPr>
          <xdr:spPr>
            <a:xfrm>
              <a:off x="16183869" y="10637749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L1/L2/L3</a:t>
              </a:r>
            </a:p>
          </xdr:txBody>
        </xdr:sp>
      </xdr:grpSp>
      <xdr:grpSp>
        <xdr:nvGrpSpPr>
          <xdr:cNvPr id="432" name="Group 431">
            <a:extLst>
              <a:ext uri="{FF2B5EF4-FFF2-40B4-BE49-F238E27FC236}">
                <a16:creationId xmlns:a16="http://schemas.microsoft.com/office/drawing/2014/main" id="{00000000-0008-0000-0200-0000B0010000}"/>
              </a:ext>
            </a:extLst>
          </xdr:cNvPr>
          <xdr:cNvGrpSpPr/>
        </xdr:nvGrpSpPr>
        <xdr:grpSpPr>
          <a:xfrm>
            <a:off x="11466604" y="10814293"/>
            <a:ext cx="2066063" cy="965213"/>
            <a:chOff x="11637698" y="11403882"/>
            <a:chExt cx="1991935" cy="940996"/>
          </a:xfrm>
        </xdr:grpSpPr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12208618" y="11403882"/>
              <a:ext cx="797179" cy="440628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grpSp>
          <xdr:nvGrpSpPr>
            <xdr:cNvPr id="434" name="Group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GrpSpPr/>
          </xdr:nvGrpSpPr>
          <xdr:grpSpPr>
            <a:xfrm>
              <a:off x="11637698" y="11476024"/>
              <a:ext cx="1991935" cy="868854"/>
              <a:chOff x="11695311" y="11533163"/>
              <a:chExt cx="2002926" cy="872986"/>
            </a:xfrm>
          </xdr:grpSpPr>
          <xdr:cxnSp macro="">
            <xdr:nvCxnSpPr>
              <xdr:cNvPr id="435" name="Straight Connector 434">
                <a:extLst>
                  <a:ext uri="{FF2B5EF4-FFF2-40B4-BE49-F238E27FC236}">
                    <a16:creationId xmlns:a16="http://schemas.microsoft.com/office/drawing/2014/main" id="{00000000-0008-0000-0200-0000B301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2819228" y="11680918"/>
                <a:ext cx="87900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36" name="Straight Connector 435">
                <a:extLst>
                  <a:ext uri="{FF2B5EF4-FFF2-40B4-BE49-F238E27FC236}">
                    <a16:creationId xmlns:a16="http://schemas.microsoft.com/office/drawing/2014/main" id="{00000000-0008-0000-0200-0000B401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695311" y="11680919"/>
                <a:ext cx="813903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37" name="Shape 27">
                <a:extLst>
                  <a:ext uri="{FF2B5EF4-FFF2-40B4-BE49-F238E27FC236}">
                    <a16:creationId xmlns:a16="http://schemas.microsoft.com/office/drawing/2014/main" id="{00000000-0008-0000-0200-0000B5010000}"/>
                  </a:ext>
                </a:extLst>
              </xdr:cNvPr>
              <xdr:cNvSpPr/>
            </xdr:nvSpPr>
            <xdr:spPr>
              <a:xfrm>
                <a:off x="12493628" y="11634044"/>
                <a:ext cx="88419" cy="76229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38" name="Shape 26">
                <a:extLst>
                  <a:ext uri="{FF2B5EF4-FFF2-40B4-BE49-F238E27FC236}">
                    <a16:creationId xmlns:a16="http://schemas.microsoft.com/office/drawing/2014/main" id="{00000000-0008-0000-0200-0000B6010000}"/>
                  </a:ext>
                </a:extLst>
              </xdr:cNvPr>
              <xdr:cNvSpPr/>
            </xdr:nvSpPr>
            <xdr:spPr>
              <a:xfrm flipH="1" flipV="1">
                <a:off x="12552786" y="11533163"/>
                <a:ext cx="185088" cy="10934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39" name="TextBox 438">
                <a:extLst>
                  <a:ext uri="{FF2B5EF4-FFF2-40B4-BE49-F238E27FC236}">
                    <a16:creationId xmlns:a16="http://schemas.microsoft.com/office/drawing/2014/main" id="{00000000-0008-0000-0200-0000B7010000}"/>
                  </a:ext>
                </a:extLst>
              </xdr:cNvPr>
              <xdr:cNvSpPr txBox="1"/>
            </xdr:nvSpPr>
            <xdr:spPr>
              <a:xfrm>
                <a:off x="12247432" y="11733882"/>
                <a:ext cx="930700" cy="6722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Inverter Supply</a:t>
                </a:r>
              </a:p>
              <a:p>
                <a:pPr algn="ctr"/>
                <a:r>
                  <a:rPr lang="en-GB" sz="800"/>
                  <a:t>A.C. Isolator</a:t>
                </a:r>
              </a:p>
            </xdr:txBody>
          </xdr:sp>
          <xdr:sp macro="" textlink="">
            <xdr:nvSpPr>
              <xdr:cNvPr id="440" name="Shape 27">
                <a:extLst>
                  <a:ext uri="{FF2B5EF4-FFF2-40B4-BE49-F238E27FC236}">
                    <a16:creationId xmlns:a16="http://schemas.microsoft.com/office/drawing/2014/main" id="{00000000-0008-0000-0200-0000B8010000}"/>
                  </a:ext>
                </a:extLst>
              </xdr:cNvPr>
              <xdr:cNvSpPr/>
            </xdr:nvSpPr>
            <xdr:spPr>
              <a:xfrm>
                <a:off x="12720072" y="11629413"/>
                <a:ext cx="88420" cy="7840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</xdr:grpSp>
    </xdr:grpSp>
    <xdr:clientData/>
  </xdr:twoCellAnchor>
  <xdr:twoCellAnchor>
    <xdr:from>
      <xdr:col>38</xdr:col>
      <xdr:colOff>40766</xdr:colOff>
      <xdr:row>29</xdr:row>
      <xdr:rowOff>164634</xdr:rowOff>
    </xdr:from>
    <xdr:to>
      <xdr:col>40</xdr:col>
      <xdr:colOff>186226</xdr:colOff>
      <xdr:row>35</xdr:row>
      <xdr:rowOff>139561</xdr:rowOff>
    </xdr:to>
    <xdr:sp macro="" textlink="">
      <xdr:nvSpPr>
        <xdr:cNvPr id="506" name="TextBox 505">
          <a:extLst>
            <a:ext uri="{FF2B5EF4-FFF2-40B4-BE49-F238E27FC236}">
              <a16:creationId xmlns:a16="http://schemas.microsoft.com/office/drawing/2014/main" id="{00000000-0008-0000-0200-0000FA010000}"/>
            </a:ext>
          </a:extLst>
        </xdr:cNvPr>
        <xdr:cNvSpPr txBox="1"/>
      </xdr:nvSpPr>
      <xdr:spPr>
        <a:xfrm rot="5400000">
          <a:off x="9281197" y="6527060"/>
          <a:ext cx="1230971" cy="6478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00"/>
            <a:t>Battery system Isolator</a:t>
          </a:r>
        </a:p>
      </xdr:txBody>
    </xdr:sp>
    <xdr:clientData/>
  </xdr:twoCellAnchor>
  <xdr:twoCellAnchor>
    <xdr:from>
      <xdr:col>45</xdr:col>
      <xdr:colOff>136227</xdr:colOff>
      <xdr:row>21</xdr:row>
      <xdr:rowOff>194627</xdr:rowOff>
    </xdr:from>
    <xdr:to>
      <xdr:col>45</xdr:col>
      <xdr:colOff>234047</xdr:colOff>
      <xdr:row>22</xdr:row>
      <xdr:rowOff>87850</xdr:rowOff>
    </xdr:to>
    <xdr:sp macro="" textlink="">
      <xdr:nvSpPr>
        <xdr:cNvPr id="496" name="Shape 27">
          <a:extLst>
            <a:ext uri="{FF2B5EF4-FFF2-40B4-BE49-F238E27FC236}">
              <a16:creationId xmlns:a16="http://schemas.microsoft.com/office/drawing/2014/main" id="{4872B042-95A3-9D4A-9942-D9930848B339}"/>
            </a:ext>
          </a:extLst>
        </xdr:cNvPr>
        <xdr:cNvSpPr/>
      </xdr:nvSpPr>
      <xdr:spPr>
        <a:xfrm>
          <a:off x="11553527" y="4461827"/>
          <a:ext cx="97820" cy="96423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45</xdr:col>
      <xdr:colOff>137052</xdr:colOff>
      <xdr:row>22</xdr:row>
      <xdr:rowOff>203134</xdr:rowOff>
    </xdr:from>
    <xdr:to>
      <xdr:col>45</xdr:col>
      <xdr:colOff>234872</xdr:colOff>
      <xdr:row>23</xdr:row>
      <xdr:rowOff>96357</xdr:rowOff>
    </xdr:to>
    <xdr:sp macro="" textlink="">
      <xdr:nvSpPr>
        <xdr:cNvPr id="497" name="Shape 27">
          <a:extLst>
            <a:ext uri="{FF2B5EF4-FFF2-40B4-BE49-F238E27FC236}">
              <a16:creationId xmlns:a16="http://schemas.microsoft.com/office/drawing/2014/main" id="{4577E466-0F6A-6C44-8AE7-EC6CFD539433}"/>
            </a:ext>
          </a:extLst>
        </xdr:cNvPr>
        <xdr:cNvSpPr/>
      </xdr:nvSpPr>
      <xdr:spPr>
        <a:xfrm>
          <a:off x="11554352" y="4673534"/>
          <a:ext cx="97820" cy="96423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45</xdr:col>
      <xdr:colOff>197839</xdr:colOff>
      <xdr:row>22</xdr:row>
      <xdr:rowOff>22883</xdr:rowOff>
    </xdr:from>
    <xdr:to>
      <xdr:col>46</xdr:col>
      <xdr:colOff>151540</xdr:colOff>
      <xdr:row>23</xdr:row>
      <xdr:rowOff>2326</xdr:rowOff>
    </xdr:to>
    <xdr:sp macro="" textlink="">
      <xdr:nvSpPr>
        <xdr:cNvPr id="499" name="Shape 26">
          <a:extLst>
            <a:ext uri="{FF2B5EF4-FFF2-40B4-BE49-F238E27FC236}">
              <a16:creationId xmlns:a16="http://schemas.microsoft.com/office/drawing/2014/main" id="{010B9C64-02AB-924F-BE01-3C0100B7F0B3}"/>
            </a:ext>
          </a:extLst>
        </xdr:cNvPr>
        <xdr:cNvSpPr/>
      </xdr:nvSpPr>
      <xdr:spPr>
        <a:xfrm flipH="1">
          <a:off x="11615139" y="4493283"/>
          <a:ext cx="207701" cy="182643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45</xdr:col>
      <xdr:colOff>177826</xdr:colOff>
      <xdr:row>14</xdr:row>
      <xdr:rowOff>91343</xdr:rowOff>
    </xdr:from>
    <xdr:to>
      <xdr:col>45</xdr:col>
      <xdr:colOff>177826</xdr:colOff>
      <xdr:row>21</xdr:row>
      <xdr:rowOff>192523</xdr:rowOff>
    </xdr:to>
    <xdr:cxnSp macro="">
      <xdr:nvCxnSpPr>
        <xdr:cNvPr id="501" name="Straight Connector 500">
          <a:extLst>
            <a:ext uri="{FF2B5EF4-FFF2-40B4-BE49-F238E27FC236}">
              <a16:creationId xmlns:a16="http://schemas.microsoft.com/office/drawing/2014/main" id="{563E6030-2398-DC4C-A5B6-5DE5D6628C0F}"/>
            </a:ext>
          </a:extLst>
        </xdr:cNvPr>
        <xdr:cNvCxnSpPr/>
      </xdr:nvCxnSpPr>
      <xdr:spPr>
        <a:xfrm>
          <a:off x="11595126" y="2936143"/>
          <a:ext cx="0" cy="152358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2430</xdr:colOff>
      <xdr:row>20</xdr:row>
      <xdr:rowOff>16905</xdr:rowOff>
    </xdr:from>
    <xdr:to>
      <xdr:col>46</xdr:col>
      <xdr:colOff>84719</xdr:colOff>
      <xdr:row>20</xdr:row>
      <xdr:rowOff>183601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4D433F41-F949-F845-94D7-B04764AE2345}"/>
            </a:ext>
          </a:extLst>
        </xdr:cNvPr>
        <xdr:cNvGrpSpPr/>
      </xdr:nvGrpSpPr>
      <xdr:grpSpPr>
        <a:xfrm>
          <a:off x="11540515" y="4070096"/>
          <a:ext cx="338991" cy="166696"/>
          <a:chOff x="10817680" y="7023878"/>
          <a:chExt cx="333698" cy="170683"/>
        </a:xfrm>
      </xdr:grpSpPr>
      <xdr:cxnSp macro="">
        <xdr:nvCxnSpPr>
          <xdr:cNvPr id="505" name="Straight Connector 504">
            <a:extLst>
              <a:ext uri="{FF2B5EF4-FFF2-40B4-BE49-F238E27FC236}">
                <a16:creationId xmlns:a16="http://schemas.microsoft.com/office/drawing/2014/main" id="{CD21D33F-DE31-9B47-A0DB-5E976705B67F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7" name="Straight Connector 506">
            <a:extLst>
              <a:ext uri="{FF2B5EF4-FFF2-40B4-BE49-F238E27FC236}">
                <a16:creationId xmlns:a16="http://schemas.microsoft.com/office/drawing/2014/main" id="{FB275EC7-DB2D-034A-8AF7-7C895353A8D3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8" name="Straight Connector 507">
            <a:extLst>
              <a:ext uri="{FF2B5EF4-FFF2-40B4-BE49-F238E27FC236}">
                <a16:creationId xmlns:a16="http://schemas.microsoft.com/office/drawing/2014/main" id="{9D82F704-AF28-4949-9C77-0FD5E8B43863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9" name="Straight Connector 508">
            <a:extLst>
              <a:ext uri="{FF2B5EF4-FFF2-40B4-BE49-F238E27FC236}">
                <a16:creationId xmlns:a16="http://schemas.microsoft.com/office/drawing/2014/main" id="{A2463E1E-638D-FF47-A14C-C66C5D4EEE9C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47</xdr:col>
      <xdr:colOff>60253</xdr:colOff>
      <xdr:row>14</xdr:row>
      <xdr:rowOff>197000</xdr:rowOff>
    </xdr:from>
    <xdr:to>
      <xdr:col>48</xdr:col>
      <xdr:colOff>75434</xdr:colOff>
      <xdr:row>15</xdr:row>
      <xdr:rowOff>188294</xdr:rowOff>
    </xdr:to>
    <xdr:cxnSp macro="">
      <xdr:nvCxnSpPr>
        <xdr:cNvPr id="511" name="Straight Connector 510">
          <a:extLst>
            <a:ext uri="{FF2B5EF4-FFF2-40B4-BE49-F238E27FC236}">
              <a16:creationId xmlns:a16="http://schemas.microsoft.com/office/drawing/2014/main" id="{E3222AC4-33C6-2844-A255-930FB6FAD867}"/>
            </a:ext>
          </a:extLst>
        </xdr:cNvPr>
        <xdr:cNvCxnSpPr/>
      </xdr:nvCxnSpPr>
      <xdr:spPr>
        <a:xfrm flipH="1">
          <a:off x="11985553" y="3041800"/>
          <a:ext cx="269181" cy="194494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81881</xdr:colOff>
      <xdr:row>15</xdr:row>
      <xdr:rowOff>69395</xdr:rowOff>
    </xdr:from>
    <xdr:to>
      <xdr:col>48</xdr:col>
      <xdr:colOff>78475</xdr:colOff>
      <xdr:row>16</xdr:row>
      <xdr:rowOff>141445</xdr:rowOff>
    </xdr:to>
    <xdr:grpSp>
      <xdr:nvGrpSpPr>
        <xdr:cNvPr id="512" name="3PInv1">
          <a:extLst>
            <a:ext uri="{FF2B5EF4-FFF2-40B4-BE49-F238E27FC236}">
              <a16:creationId xmlns:a16="http://schemas.microsoft.com/office/drawing/2014/main" id="{E1FDF68E-70AF-AC48-8B4B-76B931957C71}"/>
            </a:ext>
          </a:extLst>
        </xdr:cNvPr>
        <xdr:cNvGrpSpPr/>
      </xdr:nvGrpSpPr>
      <xdr:grpSpPr>
        <a:xfrm>
          <a:off x="12133370" y="3109289"/>
          <a:ext cx="253296" cy="274709"/>
          <a:chOff x="3200401" y="7249224"/>
          <a:chExt cx="250595" cy="281901"/>
        </a:xfrm>
      </xdr:grpSpPr>
      <xdr:cxnSp macro="">
        <xdr:nvCxnSpPr>
          <xdr:cNvPr id="513" name="2P">
            <a:extLst>
              <a:ext uri="{FF2B5EF4-FFF2-40B4-BE49-F238E27FC236}">
                <a16:creationId xmlns:a16="http://schemas.microsoft.com/office/drawing/2014/main" id="{AFF6051C-DC7A-C044-B1DE-34B45D1B980A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4" name="3P">
            <a:extLst>
              <a:ext uri="{FF2B5EF4-FFF2-40B4-BE49-F238E27FC236}">
                <a16:creationId xmlns:a16="http://schemas.microsoft.com/office/drawing/2014/main" id="{4DB6A40C-B031-5847-8978-CE3A3F6C4315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4000" y="221606"/>
          <a:ext cx="207173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2994014" y="494453"/>
          <a:ext cx="591776" cy="3983556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3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3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3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3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3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3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3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3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3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3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3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3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013853" y="494453"/>
          <a:ext cx="595625" cy="3983555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3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3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3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3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3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3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3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3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pSpPr/>
      </xdr:nvGrpSpPr>
      <xdr:grpSpPr>
        <a:xfrm>
          <a:off x="1970375" y="497723"/>
          <a:ext cx="589824" cy="3989960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3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3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3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:ma14="http://schemas.microsoft.com/office/mac/drawingml/2011/main" xmlns="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3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3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3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3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3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3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3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3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162220</xdr:rowOff>
    </xdr:from>
    <xdr:to>
      <xdr:col>66</xdr:col>
      <xdr:colOff>244818</xdr:colOff>
      <xdr:row>27</xdr:row>
      <xdr:rowOff>15301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GrpSpPr/>
      </xdr:nvGrpSpPr>
      <xdr:grpSpPr>
        <a:xfrm>
          <a:off x="508511" y="797220"/>
          <a:ext cx="16246307" cy="4933081"/>
          <a:chOff x="497840" y="771821"/>
          <a:chExt cx="4684400" cy="471462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497840" y="771821"/>
            <a:ext cx="4684400" cy="471462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56</xdr:col>
      <xdr:colOff>156107</xdr:colOff>
      <xdr:row>19</xdr:row>
      <xdr:rowOff>34127</xdr:rowOff>
    </xdr:from>
    <xdr:to>
      <xdr:col>60</xdr:col>
      <xdr:colOff>159618</xdr:colOff>
      <xdr:row>23</xdr:row>
      <xdr:rowOff>139605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GrpSpPr/>
      </xdr:nvGrpSpPr>
      <xdr:grpSpPr>
        <a:xfrm>
          <a:off x="14164592" y="4055794"/>
          <a:ext cx="1004117" cy="952144"/>
          <a:chOff x="10475279" y="4413061"/>
          <a:chExt cx="1019511" cy="918310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SpPr/>
        </xdr:nvSpPr>
        <xdr:spPr>
          <a:xfrm flipH="1">
            <a:off x="10475279" y="4413061"/>
            <a:ext cx="0" cy="55561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62</xdr:row>
      <xdr:rowOff>161824</xdr:rowOff>
    </xdr:from>
    <xdr:to>
      <xdr:col>61</xdr:col>
      <xdr:colOff>96630</xdr:colOff>
      <xdr:row>62</xdr:row>
      <xdr:rowOff>161824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CxnSpPr/>
      </xdr:nvCxnSpPr>
      <xdr:spPr>
        <a:xfrm>
          <a:off x="3320802" y="12760224"/>
          <a:ext cx="12269828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4" name="Shape 27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5" name="Shape 27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CxnSpPr>
          <a:endCxn id="64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69" name="Shape 26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 flipH="1">
          <a:off x="3199437" y="4588862"/>
          <a:ext cx="218640" cy="223377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1" name="Shape 27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62</xdr:row>
      <xdr:rowOff>165653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>
          <a:off x="3319230" y="9096581"/>
          <a:ext cx="0" cy="36674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84778</xdr:colOff>
      <xdr:row>14</xdr:row>
      <xdr:rowOff>80846</xdr:rowOff>
    </xdr:from>
    <xdr:to>
      <xdr:col>51</xdr:col>
      <xdr:colOff>190882</xdr:colOff>
      <xdr:row>27</xdr:row>
      <xdr:rowOff>203198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GrpSpPr/>
      </xdr:nvGrpSpPr>
      <xdr:grpSpPr>
        <a:xfrm>
          <a:off x="12592354" y="3044179"/>
          <a:ext cx="356255" cy="2874019"/>
          <a:chOff x="9530059" y="4216356"/>
          <a:chExt cx="369906" cy="2764483"/>
        </a:xfrm>
      </xdr:grpSpPr>
      <xdr:sp macro="" textlink="">
        <xdr:nvSpPr>
          <xdr:cNvPr id="81" name="Shape 27">
            <a:extLst>
              <a:ext uri="{FF2B5EF4-FFF2-40B4-BE49-F238E27FC236}">
                <a16:creationId xmlns:a16="http://schemas.microsoft.com/office/drawing/2014/main" id="{00000000-0008-0000-0300-000051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2" name="Shape 27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3" name="Shape 26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4" name="Shape 26">
            <a:extLst>
              <a:ext uri="{FF2B5EF4-FFF2-40B4-BE49-F238E27FC236}">
                <a16:creationId xmlns:a16="http://schemas.microsoft.com/office/drawing/2014/main" id="{00000000-0008-0000-0300-000054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CxnSpPr/>
        </xdr:nvCxnSpPr>
        <xdr:spPr>
          <a:xfrm>
            <a:off x="9634878" y="4216356"/>
            <a:ext cx="0" cy="51332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Connector 85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61</xdr:col>
      <xdr:colOff>93865</xdr:colOff>
      <xdr:row>14</xdr:row>
      <xdr:rowOff>77123</xdr:rowOff>
    </xdr:from>
    <xdr:to>
      <xdr:col>61</xdr:col>
      <xdr:colOff>93865</xdr:colOff>
      <xdr:row>62</xdr:row>
      <xdr:rowOff>165653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CxnSpPr/>
      </xdr:nvCxnSpPr>
      <xdr:spPr>
        <a:xfrm>
          <a:off x="15587865" y="2921923"/>
          <a:ext cx="0" cy="9842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96630</xdr:colOff>
      <xdr:row>14</xdr:row>
      <xdr:rowOff>90267</xdr:rowOff>
    </xdr:from>
    <xdr:to>
      <xdr:col>62</xdr:col>
      <xdr:colOff>69022</xdr:colOff>
      <xdr:row>14</xdr:row>
      <xdr:rowOff>90267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CxnSpPr/>
      </xdr:nvCxnSpPr>
      <xdr:spPr>
        <a:xfrm>
          <a:off x="12542630" y="2935067"/>
          <a:ext cx="3274392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200227</xdr:colOff>
      <xdr:row>27</xdr:row>
      <xdr:rowOff>201603</xdr:rowOff>
    </xdr:from>
    <xdr:to>
      <xdr:col>52</xdr:col>
      <xdr:colOff>184730</xdr:colOff>
      <xdr:row>38</xdr:row>
      <xdr:rowOff>97074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GrpSpPr/>
      </xdr:nvGrpSpPr>
      <xdr:grpSpPr>
        <a:xfrm>
          <a:off x="12207500" y="5916603"/>
          <a:ext cx="985109" cy="2223804"/>
          <a:chOff x="9331439" y="5595260"/>
          <a:chExt cx="1009223" cy="2113883"/>
        </a:xfrm>
      </xdr:grpSpPr>
      <xdr:grpSp>
        <xdr:nvGrpSpPr>
          <xdr:cNvPr id="91" name="Group 90" descr="Inverter">
            <a:extLst>
              <a:ext uri="{FF2B5EF4-FFF2-40B4-BE49-F238E27FC236}">
                <a16:creationId xmlns:a16="http://schemas.microsoft.com/office/drawing/2014/main" id="{00000000-0008-0000-0300-00005B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300-00006A00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112" name="Shape 5">
                <a:extLst>
                  <a:ext uri="{FF2B5EF4-FFF2-40B4-BE49-F238E27FC236}">
                    <a16:creationId xmlns:a16="http://schemas.microsoft.com/office/drawing/2014/main" id="{00000000-0008-0000-0300-00007000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3" name="Shape 6">
                <a:extLst>
                  <a:ext uri="{FF2B5EF4-FFF2-40B4-BE49-F238E27FC236}">
                    <a16:creationId xmlns:a16="http://schemas.microsoft.com/office/drawing/2014/main" id="{00000000-0008-0000-0300-00007100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4" name="Shape 7">
                <a:extLst>
                  <a:ext uri="{FF2B5EF4-FFF2-40B4-BE49-F238E27FC236}">
                    <a16:creationId xmlns:a16="http://schemas.microsoft.com/office/drawing/2014/main" id="{00000000-0008-0000-0300-00007200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5" name="Shape 8">
                <a:extLst>
                  <a:ext uri="{FF2B5EF4-FFF2-40B4-BE49-F238E27FC236}">
                    <a16:creationId xmlns:a16="http://schemas.microsoft.com/office/drawing/2014/main" id="{00000000-0008-0000-0300-00007300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300-00006B00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8" name="Rectangle 107">
              <a:extLst>
                <a:ext uri="{FF2B5EF4-FFF2-40B4-BE49-F238E27FC236}">
                  <a16:creationId xmlns:a16="http://schemas.microsoft.com/office/drawing/2014/main" id="{00000000-0008-0000-0300-00006C00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9" name="Rectangle 108">
              <a:extLst>
                <a:ext uri="{FF2B5EF4-FFF2-40B4-BE49-F238E27FC236}">
                  <a16:creationId xmlns:a16="http://schemas.microsoft.com/office/drawing/2014/main" id="{00000000-0008-0000-0300-00006D00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0" name="Rectangle 109">
              <a:extLst>
                <a:ext uri="{FF2B5EF4-FFF2-40B4-BE49-F238E27FC236}">
                  <a16:creationId xmlns:a16="http://schemas.microsoft.com/office/drawing/2014/main" id="{00000000-0008-0000-0300-00006E00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1" name="Rectangle 110">
              <a:extLst>
                <a:ext uri="{FF2B5EF4-FFF2-40B4-BE49-F238E27FC236}">
                  <a16:creationId xmlns:a16="http://schemas.microsoft.com/office/drawing/2014/main" id="{00000000-0008-0000-0300-00006F00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92" name="Group 91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98" name="Shape 9">
              <a:extLst>
                <a:ext uri="{FF2B5EF4-FFF2-40B4-BE49-F238E27FC236}">
                  <a16:creationId xmlns:a16="http://schemas.microsoft.com/office/drawing/2014/main" id="{00000000-0008-0000-0300-00006200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9" name="Shape 38">
              <a:extLst>
                <a:ext uri="{FF2B5EF4-FFF2-40B4-BE49-F238E27FC236}">
                  <a16:creationId xmlns:a16="http://schemas.microsoft.com/office/drawing/2014/main" id="{00000000-0008-0000-0300-00006300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0" name="Shape 39">
              <a:extLst>
                <a:ext uri="{FF2B5EF4-FFF2-40B4-BE49-F238E27FC236}">
                  <a16:creationId xmlns:a16="http://schemas.microsoft.com/office/drawing/2014/main" id="{00000000-0008-0000-0300-00006400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1" name="Shape 13">
              <a:extLst>
                <a:ext uri="{FF2B5EF4-FFF2-40B4-BE49-F238E27FC236}">
                  <a16:creationId xmlns:a16="http://schemas.microsoft.com/office/drawing/2014/main" id="{00000000-0008-0000-0300-00006500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2" name="Shape 37">
              <a:extLst>
                <a:ext uri="{FF2B5EF4-FFF2-40B4-BE49-F238E27FC236}">
                  <a16:creationId xmlns:a16="http://schemas.microsoft.com/office/drawing/2014/main" id="{00000000-0008-0000-0300-000066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3" name="Shape 9">
              <a:extLst>
                <a:ext uri="{FF2B5EF4-FFF2-40B4-BE49-F238E27FC236}">
                  <a16:creationId xmlns:a16="http://schemas.microsoft.com/office/drawing/2014/main" id="{00000000-0008-0000-0300-00006700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4" name="Shape 9">
              <a:extLst>
                <a:ext uri="{FF2B5EF4-FFF2-40B4-BE49-F238E27FC236}">
                  <a16:creationId xmlns:a16="http://schemas.microsoft.com/office/drawing/2014/main" id="{00000000-0008-0000-0300-000068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5" name="Shape 9">
              <a:extLst>
                <a:ext uri="{FF2B5EF4-FFF2-40B4-BE49-F238E27FC236}">
                  <a16:creationId xmlns:a16="http://schemas.microsoft.com/office/drawing/2014/main" id="{00000000-0008-0000-0300-000069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93" name="Rectangle 92">
            <a:extLst>
              <a:ext uri="{FF2B5EF4-FFF2-40B4-BE49-F238E27FC236}">
                <a16:creationId xmlns:a16="http://schemas.microsoft.com/office/drawing/2014/main" id="{00000000-0008-0000-0300-00005D00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94" name="Shape 18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5" name="Shape 18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6" name="Shape 18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7" name="Shape 18">
            <a:extLst>
              <a:ext uri="{FF2B5EF4-FFF2-40B4-BE49-F238E27FC236}">
                <a16:creationId xmlns:a16="http://schemas.microsoft.com/office/drawing/2014/main" id="{00000000-0008-0000-0300-00006100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32</xdr:col>
      <xdr:colOff>60766</xdr:colOff>
      <xdr:row>14</xdr:row>
      <xdr:rowOff>127002</xdr:rowOff>
    </xdr:from>
    <xdr:to>
      <xdr:col>35</xdr:col>
      <xdr:colOff>115121</xdr:colOff>
      <xdr:row>19</xdr:row>
      <xdr:rowOff>81126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GrpSpPr/>
      </xdr:nvGrpSpPr>
      <xdr:grpSpPr>
        <a:xfrm>
          <a:off x="8065614" y="3090335"/>
          <a:ext cx="804810" cy="1012458"/>
          <a:chOff x="8797753" y="2911821"/>
          <a:chExt cx="834717" cy="948703"/>
        </a:xfrm>
      </xdr:grpSpPr>
      <xdr:sp macro="" textlink="">
        <xdr:nvSpPr>
          <xdr:cNvPr id="117" name="Shape 18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SpPr/>
        </xdr:nvSpPr>
        <xdr:spPr>
          <a:xfrm flipH="1">
            <a:off x="8862831" y="3665361"/>
            <a:ext cx="0" cy="37702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SpPr txBox="1"/>
        </xdr:nvSpPr>
        <xdr:spPr>
          <a:xfrm>
            <a:off x="8965572" y="3354923"/>
            <a:ext cx="666898" cy="505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Normal</a:t>
            </a:r>
          </a:p>
          <a:p>
            <a:r>
              <a:rPr lang="en-GB" sz="1100"/>
              <a:t>Loads</a:t>
            </a:r>
          </a:p>
          <a:p>
            <a:endParaRPr lang="en-GB" sz="1100"/>
          </a:p>
          <a:p>
            <a:endParaRPr lang="en-GB" sz="1800"/>
          </a:p>
        </xdr:txBody>
      </xdr:sp>
      <xdr:grpSp>
        <xdr:nvGrpSpPr>
          <xdr:cNvPr id="119" name="Group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GrpSpPr/>
        </xdr:nvGrpSpPr>
        <xdr:grpSpPr>
          <a:xfrm>
            <a:off x="8797753" y="2911821"/>
            <a:ext cx="320161" cy="731654"/>
            <a:chOff x="9589750" y="4547522"/>
            <a:chExt cx="310215" cy="752063"/>
          </a:xfrm>
        </xdr:grpSpPr>
        <xdr:sp macro="" textlink="">
          <xdr:nvSpPr>
            <xdr:cNvPr id="120" name="Shape 27">
              <a:extLst>
                <a:ext uri="{FF2B5EF4-FFF2-40B4-BE49-F238E27FC236}">
                  <a16:creationId xmlns:a16="http://schemas.microsoft.com/office/drawing/2014/main" id="{00000000-0008-0000-0300-000078000000}"/>
                </a:ext>
              </a:extLst>
            </xdr:cNvPr>
            <xdr:cNvSpPr/>
          </xdr:nvSpPr>
          <xdr:spPr>
            <a:xfrm>
              <a:off x="9593489" y="4963526"/>
              <a:ext cx="95175" cy="10034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1" name="Shape 27">
              <a:extLst>
                <a:ext uri="{FF2B5EF4-FFF2-40B4-BE49-F238E27FC236}">
                  <a16:creationId xmlns:a16="http://schemas.microsoft.com/office/drawing/2014/main" id="{00000000-0008-0000-0300-000079000000}"/>
                </a:ext>
              </a:extLst>
            </xdr:cNvPr>
            <xdr:cNvSpPr/>
          </xdr:nvSpPr>
          <xdr:spPr>
            <a:xfrm>
              <a:off x="9589750" y="4736233"/>
              <a:ext cx="95175" cy="100343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2" name="Shape 26">
              <a:extLst>
                <a:ext uri="{FF2B5EF4-FFF2-40B4-BE49-F238E27FC236}">
                  <a16:creationId xmlns:a16="http://schemas.microsoft.com/office/drawing/2014/main" id="{00000000-0008-0000-0300-00007A000000}"/>
                </a:ext>
              </a:extLst>
            </xdr:cNvPr>
            <xdr:cNvSpPr/>
          </xdr:nvSpPr>
          <xdr:spPr>
            <a:xfrm flipH="1">
              <a:off x="9684192" y="4822358"/>
              <a:ext cx="215773" cy="178862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300-00007B000000}"/>
                </a:ext>
              </a:extLst>
            </xdr:cNvPr>
            <xdr:cNvCxnSpPr/>
          </xdr:nvCxnSpPr>
          <xdr:spPr>
            <a:xfrm>
              <a:off x="9642667" y="4547522"/>
              <a:ext cx="0" cy="197795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4" name="Straight Connector 123">
              <a:extLst>
                <a:ext uri="{FF2B5EF4-FFF2-40B4-BE49-F238E27FC236}">
                  <a16:creationId xmlns:a16="http://schemas.microsoft.com/office/drawing/2014/main" id="{00000000-0008-0000-0300-00007C000000}"/>
                </a:ext>
              </a:extLst>
            </xdr:cNvPr>
            <xdr:cNvCxnSpPr/>
          </xdr:nvCxnSpPr>
          <xdr:spPr>
            <a:xfrm>
              <a:off x="9647492" y="5069129"/>
              <a:ext cx="0" cy="230456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125" name="Shape 27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3259903" y="5269729"/>
          <a:ext cx="91257" cy="102628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126" name="Shape 27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3256077" y="5042686"/>
          <a:ext cx="91257" cy="102626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127" name="Shape 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 flipH="1">
          <a:off x="3346585" y="5131377"/>
          <a:ext cx="214645" cy="17957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128" name="3PCables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GrpSpPr/>
      </xdr:nvGrpSpPr>
      <xdr:grpSpPr>
        <a:xfrm>
          <a:off x="3141186" y="4707356"/>
          <a:ext cx="222754" cy="391583"/>
          <a:chOff x="3201903" y="4462268"/>
          <a:chExt cx="227837" cy="369303"/>
        </a:xfrm>
      </xdr:grpSpPr>
      <xdr:sp macro="" textlink="">
        <xdr:nvSpPr>
          <xdr:cNvPr id="129" name="Shape 26">
            <a:extLst>
              <a:ext uri="{FF2B5EF4-FFF2-40B4-BE49-F238E27FC236}">
                <a16:creationId xmlns:a16="http://schemas.microsoft.com/office/drawing/2014/main" id="{00000000-0008-0000-0300-00008100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0" name="Shape 26">
            <a:extLst>
              <a:ext uri="{FF2B5EF4-FFF2-40B4-BE49-F238E27FC236}">
                <a16:creationId xmlns:a16="http://schemas.microsoft.com/office/drawing/2014/main" id="{00000000-0008-0000-0300-00008200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CxnSpPr/>
      </xdr:nvCxnSpPr>
      <xdr:spPr>
        <a:xfrm>
          <a:off x="3312762" y="5353356"/>
          <a:ext cx="0" cy="7024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35245</xdr:colOff>
      <xdr:row>14</xdr:row>
      <xdr:rowOff>115882</xdr:rowOff>
    </xdr:from>
    <xdr:to>
      <xdr:col>57</xdr:col>
      <xdr:colOff>147470</xdr:colOff>
      <xdr:row>19</xdr:row>
      <xdr:rowOff>74507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GrpSpPr/>
      </xdr:nvGrpSpPr>
      <xdr:grpSpPr>
        <a:xfrm>
          <a:off x="14043730" y="3079215"/>
          <a:ext cx="362376" cy="1016959"/>
          <a:chOff x="9530059" y="4275667"/>
          <a:chExt cx="369906" cy="974625"/>
        </a:xfrm>
      </xdr:grpSpPr>
      <xdr:sp macro="" textlink="">
        <xdr:nvSpPr>
          <xdr:cNvPr id="133" name="Shape 27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4" name="Shape 27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5" name="Shape 26">
            <a:extLst>
              <a:ext uri="{FF2B5EF4-FFF2-40B4-BE49-F238E27FC236}">
                <a16:creationId xmlns:a16="http://schemas.microsoft.com/office/drawing/2014/main" id="{00000000-0008-0000-0300-000087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6" name="Shape 26">
            <a:extLst>
              <a:ext uri="{FF2B5EF4-FFF2-40B4-BE49-F238E27FC236}">
                <a16:creationId xmlns:a16="http://schemas.microsoft.com/office/drawing/2014/main" id="{00000000-0008-0000-0300-000088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37" name="Straight Connector 136">
            <a:extLst>
              <a:ext uri="{FF2B5EF4-FFF2-40B4-BE49-F238E27FC236}">
                <a16:creationId xmlns:a16="http://schemas.microsoft.com/office/drawing/2014/main" id="{00000000-0008-0000-0300-000089000000}"/>
              </a:ext>
            </a:extLst>
          </xdr:cNvPr>
          <xdr:cNvCxnSpPr/>
        </xdr:nvCxnSpPr>
        <xdr:spPr>
          <a:xfrm>
            <a:off x="9642667" y="4275667"/>
            <a:ext cx="0" cy="4696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300-00008A00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179521</xdr:colOff>
      <xdr:row>16</xdr:row>
      <xdr:rowOff>141587</xdr:rowOff>
    </xdr:from>
    <xdr:to>
      <xdr:col>25</xdr:col>
      <xdr:colOff>176114</xdr:colOff>
      <xdr:row>18</xdr:row>
      <xdr:rowOff>6571</xdr:rowOff>
    </xdr:to>
    <xdr:grpSp>
      <xdr:nvGrpSpPr>
        <xdr:cNvPr id="139" name="3PInv1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GrpSpPr/>
      </xdr:nvGrpSpPr>
      <xdr:grpSpPr>
        <a:xfrm>
          <a:off x="6183157" y="3528254"/>
          <a:ext cx="246745" cy="288317"/>
          <a:chOff x="3200401" y="7249224"/>
          <a:chExt cx="250595" cy="281901"/>
        </a:xfrm>
      </xdr:grpSpPr>
      <xdr:cxnSp macro="">
        <xdr:nvCxnSpPr>
          <xdr:cNvPr id="140" name="2P">
            <a:extLst>
              <a:ext uri="{FF2B5EF4-FFF2-40B4-BE49-F238E27FC236}">
                <a16:creationId xmlns:a16="http://schemas.microsoft.com/office/drawing/2014/main" id="{00000000-0008-0000-0300-00008C00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1" name="3P">
            <a:extLst>
              <a:ext uri="{FF2B5EF4-FFF2-40B4-BE49-F238E27FC236}">
                <a16:creationId xmlns:a16="http://schemas.microsoft.com/office/drawing/2014/main" id="{00000000-0008-0000-0300-00008D00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54</xdr:col>
      <xdr:colOff>140822</xdr:colOff>
      <xdr:row>59</xdr:row>
      <xdr:rowOff>60543</xdr:rowOff>
    </xdr:from>
    <xdr:to>
      <xdr:col>56</xdr:col>
      <xdr:colOff>40696</xdr:colOff>
      <xdr:row>61</xdr:row>
      <xdr:rowOff>53672</xdr:rowOff>
    </xdr:to>
    <xdr:grpSp>
      <xdr:nvGrpSpPr>
        <xdr:cNvPr id="142" name="Ground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GrpSpPr/>
      </xdr:nvGrpSpPr>
      <xdr:grpSpPr>
        <a:xfrm>
          <a:off x="13649004" y="12548876"/>
          <a:ext cx="400177" cy="416463"/>
          <a:chOff x="10160000" y="2820276"/>
          <a:chExt cx="508000" cy="401148"/>
        </a:xfrm>
      </xdr:grpSpPr>
      <xdr:grpSp>
        <xdr:nvGrpSpPr>
          <xdr:cNvPr id="143" name="Group 142">
            <a:extLst>
              <a:ext uri="{FF2B5EF4-FFF2-40B4-BE49-F238E27FC236}">
                <a16:creationId xmlns:a16="http://schemas.microsoft.com/office/drawing/2014/main" id="{00000000-0008-0000-0300-00008F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145" name="Straight Connector 144">
              <a:extLst>
                <a:ext uri="{FF2B5EF4-FFF2-40B4-BE49-F238E27FC236}">
                  <a16:creationId xmlns:a16="http://schemas.microsoft.com/office/drawing/2014/main" id="{00000000-0008-0000-0300-000091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6" name="Straight Connector 145">
              <a:extLst>
                <a:ext uri="{FF2B5EF4-FFF2-40B4-BE49-F238E27FC236}">
                  <a16:creationId xmlns:a16="http://schemas.microsoft.com/office/drawing/2014/main" id="{00000000-0008-0000-0300-000092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7" name="Straight Connector 146">
              <a:extLst>
                <a:ext uri="{FF2B5EF4-FFF2-40B4-BE49-F238E27FC236}">
                  <a16:creationId xmlns:a16="http://schemas.microsoft.com/office/drawing/2014/main" id="{00000000-0008-0000-0300-000093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300-000090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148" name="Straight Connector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149" name="Straight Connector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150" name="Straight Connector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CxnSpPr/>
      </xdr:nvCxnSpPr>
      <xdr:spPr>
        <a:xfrm>
          <a:off x="5842001" y="2948872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62</xdr:row>
      <xdr:rowOff>63499</xdr:rowOff>
    </xdr:from>
    <xdr:to>
      <xdr:col>23</xdr:col>
      <xdr:colOff>165100</xdr:colOff>
      <xdr:row>63</xdr:row>
      <xdr:rowOff>44061</xdr:rowOff>
    </xdr:to>
    <xdr:cxnSp macro="">
      <xdr:nvCxnSpPr>
        <xdr:cNvPr id="151" name="2P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CxnSpPr/>
      </xdr:nvCxnSpPr>
      <xdr:spPr>
        <a:xfrm flipH="1">
          <a:off x="5847681" y="12661899"/>
          <a:ext cx="159419" cy="1837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152" name="2P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CxnSpPr/>
      </xdr:nvCxnSpPr>
      <xdr:spPr>
        <a:xfrm flipH="1">
          <a:off x="5299430" y="7921409"/>
          <a:ext cx="156643" cy="18376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21</xdr:col>
      <xdr:colOff>213749</xdr:colOff>
      <xdr:row>39</xdr:row>
      <xdr:rowOff>193072</xdr:rowOff>
    </xdr:to>
    <xdr:cxnSp macro="">
      <xdr:nvCxnSpPr>
        <xdr:cNvPr id="153" name="2P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CxnSpPr/>
      </xdr:nvCxnSpPr>
      <xdr:spPr>
        <a:xfrm flipH="1">
          <a:off x="5372855" y="7921409"/>
          <a:ext cx="174894" cy="19646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129775</xdr:colOff>
      <xdr:row>39</xdr:row>
      <xdr:rowOff>8367</xdr:rowOff>
    </xdr:from>
    <xdr:to>
      <xdr:col>22</xdr:col>
      <xdr:colOff>47893</xdr:colOff>
      <xdr:row>40</xdr:row>
      <xdr:rowOff>1629</xdr:rowOff>
    </xdr:to>
    <xdr:cxnSp macro="">
      <xdr:nvCxnSpPr>
        <xdr:cNvPr id="154" name="2P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CxnSpPr/>
      </xdr:nvCxnSpPr>
      <xdr:spPr>
        <a:xfrm flipH="1">
          <a:off x="5463775" y="7933167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236388</xdr:colOff>
      <xdr:row>36</xdr:row>
      <xdr:rowOff>21783</xdr:rowOff>
    </xdr:from>
    <xdr:to>
      <xdr:col>24</xdr:col>
      <xdr:colOff>138044</xdr:colOff>
      <xdr:row>36</xdr:row>
      <xdr:rowOff>21783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CxnSpPr/>
      </xdr:nvCxnSpPr>
      <xdr:spPr>
        <a:xfrm flipH="1">
          <a:off x="4554388" y="7336983"/>
          <a:ext cx="167965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93675</xdr:colOff>
      <xdr:row>35</xdr:row>
      <xdr:rowOff>60713</xdr:rowOff>
    </xdr:from>
    <xdr:to>
      <xdr:col>25</xdr:col>
      <xdr:colOff>170441</xdr:colOff>
      <xdr:row>36</xdr:row>
      <xdr:rowOff>27288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GrpSpPr/>
      </xdr:nvGrpSpPr>
      <xdr:grpSpPr>
        <a:xfrm>
          <a:off x="6097311" y="7469046"/>
          <a:ext cx="326918" cy="178242"/>
          <a:chOff x="10817680" y="7023878"/>
          <a:chExt cx="333698" cy="170683"/>
        </a:xfrm>
      </xdr:grpSpPr>
      <xdr:cxnSp macro="">
        <xdr:nvCxnSpPr>
          <xdr:cNvPr id="157" name="Straight Connector 156">
            <a:extLst>
              <a:ext uri="{FF2B5EF4-FFF2-40B4-BE49-F238E27FC236}">
                <a16:creationId xmlns:a16="http://schemas.microsoft.com/office/drawing/2014/main" id="{00000000-0008-0000-0300-00009D00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9" name="Straight Connector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" name="Straight Connector 159">
            <a:extLst>
              <a:ext uri="{FF2B5EF4-FFF2-40B4-BE49-F238E27FC236}">
                <a16:creationId xmlns:a16="http://schemas.microsoft.com/office/drawing/2014/main" id="{00000000-0008-0000-0300-0000A000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236909</xdr:colOff>
      <xdr:row>34</xdr:row>
      <xdr:rowOff>168082</xdr:rowOff>
    </xdr:from>
    <xdr:to>
      <xdr:col>23</xdr:col>
      <xdr:colOff>238677</xdr:colOff>
      <xdr:row>36</xdr:row>
      <xdr:rowOff>134029</xdr:rowOff>
    </xdr:to>
    <xdr:sp macro="" textlink="">
      <xdr:nvSpPr>
        <xdr:cNvPr id="161" name="TboxL2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 txBox="1"/>
      </xdr:nvSpPr>
      <xdr:spPr>
        <a:xfrm>
          <a:off x="5316909" y="7076882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29</xdr:col>
      <xdr:colOff>228271</xdr:colOff>
      <xdr:row>14</xdr:row>
      <xdr:rowOff>105834</xdr:rowOff>
    </xdr:from>
    <xdr:to>
      <xdr:col>42</xdr:col>
      <xdr:colOff>10484</xdr:colOff>
      <xdr:row>34</xdr:row>
      <xdr:rowOff>188149</xdr:rowOff>
    </xdr:to>
    <xdr:grpSp>
      <xdr:nvGrpSpPr>
        <xdr:cNvPr id="162" name="ExtraArray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GrpSpPr/>
      </xdr:nvGrpSpPr>
      <xdr:grpSpPr>
        <a:xfrm>
          <a:off x="7482665" y="3069167"/>
          <a:ext cx="3034183" cy="4315649"/>
          <a:chOff x="2828940" y="8100298"/>
          <a:chExt cx="3087854" cy="4317755"/>
        </a:xfrm>
      </xdr:grpSpPr>
      <xdr:grpSp>
        <xdr:nvGrpSpPr>
          <xdr:cNvPr id="163" name="Group 162">
            <a:extLst>
              <a:ext uri="{FF2B5EF4-FFF2-40B4-BE49-F238E27FC236}">
                <a16:creationId xmlns:a16="http://schemas.microsoft.com/office/drawing/2014/main" id="{00000000-0008-0000-0300-0000A300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172" name="Group 171">
              <a:extLst>
                <a:ext uri="{FF2B5EF4-FFF2-40B4-BE49-F238E27FC236}">
                  <a16:creationId xmlns:a16="http://schemas.microsoft.com/office/drawing/2014/main" id="{00000000-0008-0000-0300-0000AC00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180" name="Group 179">
                <a:extLst>
                  <a:ext uri="{FF2B5EF4-FFF2-40B4-BE49-F238E27FC236}">
                    <a16:creationId xmlns:a16="http://schemas.microsoft.com/office/drawing/2014/main" id="{00000000-0008-0000-0300-0000B400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182" name="Shape 5">
                  <a:extLst>
                    <a:ext uri="{FF2B5EF4-FFF2-40B4-BE49-F238E27FC236}">
                      <a16:creationId xmlns:a16="http://schemas.microsoft.com/office/drawing/2014/main" id="{00000000-0008-0000-0300-0000B600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3" name="Shape 6">
                  <a:extLst>
                    <a:ext uri="{FF2B5EF4-FFF2-40B4-BE49-F238E27FC236}">
                      <a16:creationId xmlns:a16="http://schemas.microsoft.com/office/drawing/2014/main" id="{00000000-0008-0000-0300-0000B700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4" name="Shape 7">
                  <a:extLst>
                    <a:ext uri="{FF2B5EF4-FFF2-40B4-BE49-F238E27FC236}">
                      <a16:creationId xmlns:a16="http://schemas.microsoft.com/office/drawing/2014/main" id="{00000000-0008-0000-0300-0000B800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5" name="Shape 8">
                  <a:extLst>
                    <a:ext uri="{FF2B5EF4-FFF2-40B4-BE49-F238E27FC236}">
                      <a16:creationId xmlns:a16="http://schemas.microsoft.com/office/drawing/2014/main" id="{00000000-0008-0000-0300-0000B900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181" name="Rectangle 180">
                <a:extLst>
                  <a:ext uri="{FF2B5EF4-FFF2-40B4-BE49-F238E27FC236}">
                    <a16:creationId xmlns:a16="http://schemas.microsoft.com/office/drawing/2014/main" id="{00000000-0008-0000-0300-0000B500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173" name="Group 172">
              <a:extLst>
                <a:ext uri="{FF2B5EF4-FFF2-40B4-BE49-F238E27FC236}">
                  <a16:creationId xmlns:a16="http://schemas.microsoft.com/office/drawing/2014/main" id="{00000000-0008-0000-0300-0000AD00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174" name="Shape 27">
                <a:extLst>
                  <a:ext uri="{FF2B5EF4-FFF2-40B4-BE49-F238E27FC236}">
                    <a16:creationId xmlns:a16="http://schemas.microsoft.com/office/drawing/2014/main" id="{00000000-0008-0000-0300-0000AE00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5" name="Shape 27">
                <a:extLst>
                  <a:ext uri="{FF2B5EF4-FFF2-40B4-BE49-F238E27FC236}">
                    <a16:creationId xmlns:a16="http://schemas.microsoft.com/office/drawing/2014/main" id="{00000000-0008-0000-0300-0000AF00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6" name="Shape 26">
                <a:extLst>
                  <a:ext uri="{FF2B5EF4-FFF2-40B4-BE49-F238E27FC236}">
                    <a16:creationId xmlns:a16="http://schemas.microsoft.com/office/drawing/2014/main" id="{00000000-0008-0000-0300-0000B000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77" name="Straight Connector 176">
                <a:extLst>
                  <a:ext uri="{FF2B5EF4-FFF2-40B4-BE49-F238E27FC236}">
                    <a16:creationId xmlns:a16="http://schemas.microsoft.com/office/drawing/2014/main" id="{00000000-0008-0000-0300-0000B100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8" name="Straight Connector 177">
                <a:extLst>
                  <a:ext uri="{FF2B5EF4-FFF2-40B4-BE49-F238E27FC236}">
                    <a16:creationId xmlns:a16="http://schemas.microsoft.com/office/drawing/2014/main" id="{00000000-0008-0000-0300-0000B200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79" name="Rectangle 178">
                <a:extLst>
                  <a:ext uri="{FF2B5EF4-FFF2-40B4-BE49-F238E27FC236}">
                    <a16:creationId xmlns:a16="http://schemas.microsoft.com/office/drawing/2014/main" id="{00000000-0008-0000-0300-0000B300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64" name="Group 163">
            <a:extLst>
              <a:ext uri="{FF2B5EF4-FFF2-40B4-BE49-F238E27FC236}">
                <a16:creationId xmlns:a16="http://schemas.microsoft.com/office/drawing/2014/main" id="{00000000-0008-0000-0300-0000A400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167" name="Group 166">
              <a:extLst>
                <a:ext uri="{FF2B5EF4-FFF2-40B4-BE49-F238E27FC236}">
                  <a16:creationId xmlns:a16="http://schemas.microsoft.com/office/drawing/2014/main" id="{00000000-0008-0000-0300-0000A700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169" name="Shape 27">
                <a:extLst>
                  <a:ext uri="{FF2B5EF4-FFF2-40B4-BE49-F238E27FC236}">
                    <a16:creationId xmlns:a16="http://schemas.microsoft.com/office/drawing/2014/main" id="{00000000-0008-0000-0300-0000A900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0" name="Shape 27">
                <a:extLst>
                  <a:ext uri="{FF2B5EF4-FFF2-40B4-BE49-F238E27FC236}">
                    <a16:creationId xmlns:a16="http://schemas.microsoft.com/office/drawing/2014/main" id="{00000000-0008-0000-0300-0000AA00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1" name="Shape 26">
                <a:extLst>
                  <a:ext uri="{FF2B5EF4-FFF2-40B4-BE49-F238E27FC236}">
                    <a16:creationId xmlns:a16="http://schemas.microsoft.com/office/drawing/2014/main" id="{00000000-0008-0000-0300-0000AB00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68" name="Straight Connector 167">
              <a:extLst>
                <a:ext uri="{FF2B5EF4-FFF2-40B4-BE49-F238E27FC236}">
                  <a16:creationId xmlns:a16="http://schemas.microsoft.com/office/drawing/2014/main" id="{00000000-0008-0000-0300-0000A800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65" name="Straight Connector 164">
            <a:extLst>
              <a:ext uri="{FF2B5EF4-FFF2-40B4-BE49-F238E27FC236}">
                <a16:creationId xmlns:a16="http://schemas.microsoft.com/office/drawing/2014/main" id="{00000000-0008-0000-0300-0000A5000000}"/>
              </a:ext>
            </a:extLst>
          </xdr:cNvPr>
          <xdr:cNvCxnSpPr/>
        </xdr:nvCxnSpPr>
        <xdr:spPr>
          <a:xfrm>
            <a:off x="2870513" y="8100298"/>
            <a:ext cx="0" cy="60947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6" name="hehe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24</xdr:col>
      <xdr:colOff>248125</xdr:colOff>
      <xdr:row>14</xdr:row>
      <xdr:rowOff>122410</xdr:rowOff>
    </xdr:from>
    <xdr:to>
      <xdr:col>34</xdr:col>
      <xdr:colOff>138044</xdr:colOff>
      <xdr:row>54</xdr:row>
      <xdr:rowOff>150600</xdr:rowOff>
    </xdr:to>
    <xdr:grpSp>
      <xdr:nvGrpSpPr>
        <xdr:cNvPr id="186" name="ExtraArray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GrpSpPr/>
      </xdr:nvGrpSpPr>
      <xdr:grpSpPr>
        <a:xfrm>
          <a:off x="6251761" y="3085743"/>
          <a:ext cx="2391435" cy="8494857"/>
          <a:chOff x="2181664" y="3516835"/>
          <a:chExt cx="2425759" cy="8485782"/>
        </a:xfrm>
      </xdr:grpSpPr>
      <xdr:grpSp>
        <xdr:nvGrpSpPr>
          <xdr:cNvPr id="187" name="Group 186">
            <a:extLst>
              <a:ext uri="{FF2B5EF4-FFF2-40B4-BE49-F238E27FC236}">
                <a16:creationId xmlns:a16="http://schemas.microsoft.com/office/drawing/2014/main" id="{00000000-0008-0000-0300-0000BB000000}"/>
              </a:ext>
            </a:extLst>
          </xdr:cNvPr>
          <xdr:cNvGrpSpPr/>
        </xdr:nvGrpSpPr>
        <xdr:grpSpPr>
          <a:xfrm>
            <a:off x="2213336" y="11458291"/>
            <a:ext cx="2394087" cy="544326"/>
            <a:chOff x="5760354" y="6917765"/>
            <a:chExt cx="2334284" cy="545353"/>
          </a:xfrm>
        </xdr:grpSpPr>
        <xdr:sp macro="" textlink="">
          <xdr:nvSpPr>
            <xdr:cNvPr id="195" name="Shape 27">
              <a:extLst>
                <a:ext uri="{FF2B5EF4-FFF2-40B4-BE49-F238E27FC236}">
                  <a16:creationId xmlns:a16="http://schemas.microsoft.com/office/drawing/2014/main" id="{00000000-0008-0000-0300-0000C3000000}"/>
                </a:ext>
              </a:extLst>
            </xdr:cNvPr>
            <xdr:cNvSpPr/>
          </xdr:nvSpPr>
          <xdr:spPr>
            <a:xfrm>
              <a:off x="7112996" y="7224912"/>
              <a:ext cx="81180" cy="8463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96" name="Shape 27">
              <a:extLst>
                <a:ext uri="{FF2B5EF4-FFF2-40B4-BE49-F238E27FC236}">
                  <a16:creationId xmlns:a16="http://schemas.microsoft.com/office/drawing/2014/main" id="{00000000-0008-0000-0300-0000C4000000}"/>
                </a:ext>
              </a:extLst>
            </xdr:cNvPr>
            <xdr:cNvSpPr/>
          </xdr:nvSpPr>
          <xdr:spPr>
            <a:xfrm>
              <a:off x="7539659" y="7223065"/>
              <a:ext cx="80343" cy="83761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97" name="Shape 26">
              <a:extLst>
                <a:ext uri="{FF2B5EF4-FFF2-40B4-BE49-F238E27FC236}">
                  <a16:creationId xmlns:a16="http://schemas.microsoft.com/office/drawing/2014/main" id="{00000000-0008-0000-0300-0000C5000000}"/>
                </a:ext>
              </a:extLst>
            </xdr:cNvPr>
            <xdr:cNvSpPr/>
          </xdr:nvSpPr>
          <xdr:spPr>
            <a:xfrm flipH="1" flipV="1">
              <a:off x="7209118" y="7014882"/>
              <a:ext cx="351592" cy="211269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198" name="Straight Connector 197">
              <a:extLst>
                <a:ext uri="{FF2B5EF4-FFF2-40B4-BE49-F238E27FC236}">
                  <a16:creationId xmlns:a16="http://schemas.microsoft.com/office/drawing/2014/main" id="{00000000-0008-0000-0300-0000C6000000}"/>
                </a:ext>
              </a:extLst>
            </xdr:cNvPr>
            <xdr:cNvCxnSpPr/>
          </xdr:nvCxnSpPr>
          <xdr:spPr>
            <a:xfrm flipH="1">
              <a:off x="5760354" y="7270910"/>
              <a:ext cx="1413107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" name="Straight Connector 198">
              <a:extLst>
                <a:ext uri="{FF2B5EF4-FFF2-40B4-BE49-F238E27FC236}">
                  <a16:creationId xmlns:a16="http://schemas.microsoft.com/office/drawing/2014/main" id="{00000000-0008-0000-0300-0000C7000000}"/>
                </a:ext>
              </a:extLst>
            </xdr:cNvPr>
            <xdr:cNvCxnSpPr/>
          </xdr:nvCxnSpPr>
          <xdr:spPr>
            <a:xfrm flipH="1">
              <a:off x="7625909" y="7270208"/>
              <a:ext cx="468729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0" name="Rectangle 199">
              <a:extLst>
                <a:ext uri="{FF2B5EF4-FFF2-40B4-BE49-F238E27FC236}">
                  <a16:creationId xmlns:a16="http://schemas.microsoft.com/office/drawing/2014/main" id="{00000000-0008-0000-0300-0000C8000000}"/>
                </a:ext>
              </a:extLst>
            </xdr:cNvPr>
            <xdr:cNvSpPr/>
          </xdr:nvSpPr>
          <xdr:spPr>
            <a:xfrm>
              <a:off x="6866438" y="6917765"/>
              <a:ext cx="1007561" cy="545353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188" name="Group 187">
            <a:extLst>
              <a:ext uri="{FF2B5EF4-FFF2-40B4-BE49-F238E27FC236}">
                <a16:creationId xmlns:a16="http://schemas.microsoft.com/office/drawing/2014/main" id="{00000000-0008-0000-0300-0000BC000000}"/>
              </a:ext>
            </a:extLst>
          </xdr:cNvPr>
          <xdr:cNvGrpSpPr/>
        </xdr:nvGrpSpPr>
        <xdr:grpSpPr>
          <a:xfrm>
            <a:off x="2181664" y="5135238"/>
            <a:ext cx="269223" cy="6671323"/>
            <a:chOff x="3546016" y="4635668"/>
            <a:chExt cx="275786" cy="6628739"/>
          </a:xfrm>
        </xdr:grpSpPr>
        <xdr:grpSp>
          <xdr:nvGrpSpPr>
            <xdr:cNvPr id="190" name="Group 189">
              <a:extLst>
                <a:ext uri="{FF2B5EF4-FFF2-40B4-BE49-F238E27FC236}">
                  <a16:creationId xmlns:a16="http://schemas.microsoft.com/office/drawing/2014/main" id="{00000000-0008-0000-0300-0000BE000000}"/>
                </a:ext>
              </a:extLst>
            </xdr:cNvPr>
            <xdr:cNvGrpSpPr/>
          </xdr:nvGrpSpPr>
          <xdr:grpSpPr>
            <a:xfrm>
              <a:off x="3546016" y="4635668"/>
              <a:ext cx="275786" cy="318558"/>
              <a:chOff x="3546016" y="4635668"/>
              <a:chExt cx="275786" cy="318558"/>
            </a:xfrm>
          </xdr:grpSpPr>
          <xdr:sp macro="" textlink="">
            <xdr:nvSpPr>
              <xdr:cNvPr id="192" name="Shape 27">
                <a:extLst>
                  <a:ext uri="{FF2B5EF4-FFF2-40B4-BE49-F238E27FC236}">
                    <a16:creationId xmlns:a16="http://schemas.microsoft.com/office/drawing/2014/main" id="{00000000-0008-0000-0300-0000C0000000}"/>
                  </a:ext>
                </a:extLst>
              </xdr:cNvPr>
              <xdr:cNvSpPr/>
            </xdr:nvSpPr>
            <xdr:spPr>
              <a:xfrm>
                <a:off x="3546016" y="463566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3" name="Shape 27">
                <a:extLst>
                  <a:ext uri="{FF2B5EF4-FFF2-40B4-BE49-F238E27FC236}">
                    <a16:creationId xmlns:a16="http://schemas.microsoft.com/office/drawing/2014/main" id="{00000000-0008-0000-0300-0000C1000000}"/>
                  </a:ext>
                </a:extLst>
              </xdr:cNvPr>
              <xdr:cNvSpPr/>
            </xdr:nvSpPr>
            <xdr:spPr>
              <a:xfrm>
                <a:off x="3546859" y="485453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4" name="Shape 26">
                <a:extLst>
                  <a:ext uri="{FF2B5EF4-FFF2-40B4-BE49-F238E27FC236}">
                    <a16:creationId xmlns:a16="http://schemas.microsoft.com/office/drawing/2014/main" id="{00000000-0008-0000-0300-0000C2000000}"/>
                  </a:ext>
                </a:extLst>
              </xdr:cNvPr>
              <xdr:cNvSpPr/>
            </xdr:nvSpPr>
            <xdr:spPr>
              <a:xfrm flipH="1">
                <a:off x="3609103" y="4668189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91" name="Straight Connector 190">
              <a:extLst>
                <a:ext uri="{FF2B5EF4-FFF2-40B4-BE49-F238E27FC236}">
                  <a16:creationId xmlns:a16="http://schemas.microsoft.com/office/drawing/2014/main" id="{00000000-0008-0000-0300-0000BF000000}"/>
                </a:ext>
              </a:extLst>
            </xdr:cNvPr>
            <xdr:cNvCxnSpPr/>
          </xdr:nvCxnSpPr>
          <xdr:spPr>
            <a:xfrm>
              <a:off x="3594658" y="4967549"/>
              <a:ext cx="0" cy="629685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9" name="Straight Connector 188">
            <a:extLst>
              <a:ext uri="{FF2B5EF4-FFF2-40B4-BE49-F238E27FC236}">
                <a16:creationId xmlns:a16="http://schemas.microsoft.com/office/drawing/2014/main" id="{00000000-0008-0000-0300-0000BD000000}"/>
              </a:ext>
            </a:extLst>
          </xdr:cNvPr>
          <xdr:cNvCxnSpPr/>
        </xdr:nvCxnSpPr>
        <xdr:spPr>
          <a:xfrm>
            <a:off x="2223243" y="3516835"/>
            <a:ext cx="0" cy="161621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167478</xdr:colOff>
      <xdr:row>16</xdr:row>
      <xdr:rowOff>34436</xdr:rowOff>
    </xdr:from>
    <xdr:to>
      <xdr:col>25</xdr:col>
      <xdr:colOff>167972</xdr:colOff>
      <xdr:row>17</xdr:row>
      <xdr:rowOff>15803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CxnSpPr/>
      </xdr:nvCxnSpPr>
      <xdr:spPr>
        <a:xfrm flipH="1">
          <a:off x="6263478" y="3285636"/>
          <a:ext cx="254494" cy="18456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170139</xdr:colOff>
      <xdr:row>52</xdr:row>
      <xdr:rowOff>54689</xdr:rowOff>
    </xdr:from>
    <xdr:to>
      <xdr:col>52</xdr:col>
      <xdr:colOff>243061</xdr:colOff>
      <xdr:row>57</xdr:row>
      <xdr:rowOff>1584</xdr:rowOff>
    </xdr:to>
    <xdr:grpSp>
      <xdr:nvGrpSpPr>
        <xdr:cNvPr id="202" name="Group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GrpSpPr/>
      </xdr:nvGrpSpPr>
      <xdr:grpSpPr>
        <a:xfrm>
          <a:off x="10426351" y="11061356"/>
          <a:ext cx="2824589" cy="1005228"/>
          <a:chOff x="6501150" y="3629024"/>
          <a:chExt cx="3912850" cy="1216296"/>
        </a:xfrm>
      </xdr:grpSpPr>
      <xdr:grpSp>
        <xdr:nvGrpSpPr>
          <xdr:cNvPr id="203" name="Group 202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215" name="Group 214">
              <a:extLst>
                <a:ext uri="{FF2B5EF4-FFF2-40B4-BE49-F238E27FC236}">
                  <a16:creationId xmlns:a16="http://schemas.microsoft.com/office/drawing/2014/main" id="{00000000-0008-0000-0300-0000D7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218" name="Group 217">
                <a:extLst>
                  <a:ext uri="{FF2B5EF4-FFF2-40B4-BE49-F238E27FC236}">
                    <a16:creationId xmlns:a16="http://schemas.microsoft.com/office/drawing/2014/main" id="{00000000-0008-0000-0300-0000DA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220" name="Group 219">
                  <a:extLst>
                    <a:ext uri="{FF2B5EF4-FFF2-40B4-BE49-F238E27FC236}">
                      <a16:creationId xmlns:a16="http://schemas.microsoft.com/office/drawing/2014/main" id="{00000000-0008-0000-0300-0000DC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229" name="Shape 46">
                    <a:extLst>
                      <a:ext uri="{FF2B5EF4-FFF2-40B4-BE49-F238E27FC236}">
                        <a16:creationId xmlns:a16="http://schemas.microsoft.com/office/drawing/2014/main" id="{00000000-0008-0000-0300-0000E5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30" name="Rectangle 229">
                    <a:extLst>
                      <a:ext uri="{FF2B5EF4-FFF2-40B4-BE49-F238E27FC236}">
                        <a16:creationId xmlns:a16="http://schemas.microsoft.com/office/drawing/2014/main" id="{00000000-0008-0000-0300-0000E6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31" name="Shape 46">
                    <a:extLst>
                      <a:ext uri="{FF2B5EF4-FFF2-40B4-BE49-F238E27FC236}">
                        <a16:creationId xmlns:a16="http://schemas.microsoft.com/office/drawing/2014/main" id="{00000000-0008-0000-0300-0000E7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221" name="Group 220">
                  <a:extLst>
                    <a:ext uri="{FF2B5EF4-FFF2-40B4-BE49-F238E27FC236}">
                      <a16:creationId xmlns:a16="http://schemas.microsoft.com/office/drawing/2014/main" id="{00000000-0008-0000-0300-0000DD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226" name="Shape 46">
                    <a:extLst>
                      <a:ext uri="{FF2B5EF4-FFF2-40B4-BE49-F238E27FC236}">
                        <a16:creationId xmlns:a16="http://schemas.microsoft.com/office/drawing/2014/main" id="{00000000-0008-0000-0300-0000E2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27" name="Rectangle 226">
                    <a:extLst>
                      <a:ext uri="{FF2B5EF4-FFF2-40B4-BE49-F238E27FC236}">
                        <a16:creationId xmlns:a16="http://schemas.microsoft.com/office/drawing/2014/main" id="{00000000-0008-0000-0300-0000E3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28" name="Shape 46">
                    <a:extLst>
                      <a:ext uri="{FF2B5EF4-FFF2-40B4-BE49-F238E27FC236}">
                        <a16:creationId xmlns:a16="http://schemas.microsoft.com/office/drawing/2014/main" id="{00000000-0008-0000-0300-0000E4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222" name="Shape 27">
                  <a:extLst>
                    <a:ext uri="{FF2B5EF4-FFF2-40B4-BE49-F238E27FC236}">
                      <a16:creationId xmlns:a16="http://schemas.microsoft.com/office/drawing/2014/main" id="{00000000-0008-0000-0300-0000DE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3" name="Shape 27">
                  <a:extLst>
                    <a:ext uri="{FF2B5EF4-FFF2-40B4-BE49-F238E27FC236}">
                      <a16:creationId xmlns:a16="http://schemas.microsoft.com/office/drawing/2014/main" id="{00000000-0008-0000-0300-0000DF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4" name="Shape 27">
                  <a:extLst>
                    <a:ext uri="{FF2B5EF4-FFF2-40B4-BE49-F238E27FC236}">
                      <a16:creationId xmlns:a16="http://schemas.microsoft.com/office/drawing/2014/main" id="{00000000-0008-0000-0300-0000E0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5" name="Shape 27">
                  <a:extLst>
                    <a:ext uri="{FF2B5EF4-FFF2-40B4-BE49-F238E27FC236}">
                      <a16:creationId xmlns:a16="http://schemas.microsoft.com/office/drawing/2014/main" id="{00000000-0008-0000-0300-0000E1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219" name="Elbow Connector 218">
                <a:extLst>
                  <a:ext uri="{FF2B5EF4-FFF2-40B4-BE49-F238E27FC236}">
                    <a16:creationId xmlns:a16="http://schemas.microsoft.com/office/drawing/2014/main" id="{00000000-0008-0000-0300-0000DB000000}"/>
                  </a:ext>
                </a:extLst>
              </xdr:cNvPr>
              <xdr:cNvCxnSpPr>
                <a:stCxn id="227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16" name="Elbow Connector 215">
              <a:extLst>
                <a:ext uri="{FF2B5EF4-FFF2-40B4-BE49-F238E27FC236}">
                  <a16:creationId xmlns:a16="http://schemas.microsoft.com/office/drawing/2014/main" id="{00000000-0008-0000-0300-0000D8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" name="Straight Connector 216">
              <a:extLst>
                <a:ext uri="{FF2B5EF4-FFF2-40B4-BE49-F238E27FC236}">
                  <a16:creationId xmlns:a16="http://schemas.microsoft.com/office/drawing/2014/main" id="{00000000-0008-0000-0300-0000D9000000}"/>
                </a:ext>
              </a:extLst>
            </xdr:cNvPr>
            <xdr:cNvCxnSpPr>
              <a:stCxn id="230" idx="1"/>
              <a:endCxn id="212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04" name="Group 203">
            <a:extLst>
              <a:ext uri="{FF2B5EF4-FFF2-40B4-BE49-F238E27FC236}">
                <a16:creationId xmlns:a16="http://schemas.microsoft.com/office/drawing/2014/main" id="{00000000-0008-0000-0300-0000CC000000}"/>
              </a:ext>
            </a:extLst>
          </xdr:cNvPr>
          <xdr:cNvGrpSpPr/>
        </xdr:nvGrpSpPr>
        <xdr:grpSpPr>
          <a:xfrm>
            <a:off x="6501150" y="3663974"/>
            <a:ext cx="475949" cy="696725"/>
            <a:chOff x="8351037" y="2242252"/>
            <a:chExt cx="478200" cy="692682"/>
          </a:xfrm>
        </xdr:grpSpPr>
        <xdr:grpSp>
          <xdr:nvGrpSpPr>
            <xdr:cNvPr id="205" name="Group 204">
              <a:extLst>
                <a:ext uri="{FF2B5EF4-FFF2-40B4-BE49-F238E27FC236}">
                  <a16:creationId xmlns:a16="http://schemas.microsoft.com/office/drawing/2014/main" id="{00000000-0008-0000-0300-0000CD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207" name="Shape 9">
                <a:extLst>
                  <a:ext uri="{FF2B5EF4-FFF2-40B4-BE49-F238E27FC236}">
                    <a16:creationId xmlns:a16="http://schemas.microsoft.com/office/drawing/2014/main" id="{00000000-0008-0000-0300-0000CF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08" name="Shape 38">
                <a:extLst>
                  <a:ext uri="{FF2B5EF4-FFF2-40B4-BE49-F238E27FC236}">
                    <a16:creationId xmlns:a16="http://schemas.microsoft.com/office/drawing/2014/main" id="{00000000-0008-0000-0300-0000D0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09" name="Shape 39">
                <a:extLst>
                  <a:ext uri="{FF2B5EF4-FFF2-40B4-BE49-F238E27FC236}">
                    <a16:creationId xmlns:a16="http://schemas.microsoft.com/office/drawing/2014/main" id="{00000000-0008-0000-0300-0000D1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0" name="Shape 13">
                <a:extLst>
                  <a:ext uri="{FF2B5EF4-FFF2-40B4-BE49-F238E27FC236}">
                    <a16:creationId xmlns:a16="http://schemas.microsoft.com/office/drawing/2014/main" id="{00000000-0008-0000-0300-0000D2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1" name="Shape 37">
                <a:extLst>
                  <a:ext uri="{FF2B5EF4-FFF2-40B4-BE49-F238E27FC236}">
                    <a16:creationId xmlns:a16="http://schemas.microsoft.com/office/drawing/2014/main" id="{00000000-0008-0000-0300-0000D3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2" name="Shape 9">
                <a:extLst>
                  <a:ext uri="{FF2B5EF4-FFF2-40B4-BE49-F238E27FC236}">
                    <a16:creationId xmlns:a16="http://schemas.microsoft.com/office/drawing/2014/main" id="{00000000-0008-0000-0300-0000D4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3" name="Shape 9">
                <a:extLst>
                  <a:ext uri="{FF2B5EF4-FFF2-40B4-BE49-F238E27FC236}">
                    <a16:creationId xmlns:a16="http://schemas.microsoft.com/office/drawing/2014/main" id="{00000000-0008-0000-0300-0000D5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4" name="Shape 9">
                <a:extLst>
                  <a:ext uri="{FF2B5EF4-FFF2-40B4-BE49-F238E27FC236}">
                    <a16:creationId xmlns:a16="http://schemas.microsoft.com/office/drawing/2014/main" id="{00000000-0008-0000-0300-0000D6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06" name="Rectangle 205">
              <a:extLst>
                <a:ext uri="{FF2B5EF4-FFF2-40B4-BE49-F238E27FC236}">
                  <a16:creationId xmlns:a16="http://schemas.microsoft.com/office/drawing/2014/main" id="{00000000-0008-0000-0300-0000CE000000}"/>
                </a:ext>
              </a:extLst>
            </xdr:cNvPr>
            <xdr:cNvSpPr/>
          </xdr:nvSpPr>
          <xdr:spPr>
            <a:xfrm>
              <a:off x="8351037" y="2242252"/>
              <a:ext cx="478200" cy="6926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45</xdr:col>
      <xdr:colOff>100062</xdr:colOff>
      <xdr:row>45</xdr:row>
      <xdr:rowOff>173380</xdr:rowOff>
    </xdr:from>
    <xdr:to>
      <xdr:col>52</xdr:col>
      <xdr:colOff>181107</xdr:colOff>
      <xdr:row>54</xdr:row>
      <xdr:rowOff>151873</xdr:rowOff>
    </xdr:to>
    <xdr:grpSp>
      <xdr:nvGrpSpPr>
        <xdr:cNvPr id="232" name="Parra.A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GrpSpPr/>
      </xdr:nvGrpSpPr>
      <xdr:grpSpPr>
        <a:xfrm>
          <a:off x="11356880" y="9698380"/>
          <a:ext cx="1832106" cy="1883493"/>
          <a:chOff x="12303718" y="1681200"/>
          <a:chExt cx="2567441" cy="2504534"/>
        </a:xfrm>
      </xdr:grpSpPr>
      <xdr:grpSp>
        <xdr:nvGrpSpPr>
          <xdr:cNvPr id="233" name="Group 232">
            <a:extLst>
              <a:ext uri="{FF2B5EF4-FFF2-40B4-BE49-F238E27FC236}">
                <a16:creationId xmlns:a16="http://schemas.microsoft.com/office/drawing/2014/main" id="{00000000-0008-0000-0300-0000E9000000}"/>
              </a:ext>
            </a:extLst>
          </xdr:cNvPr>
          <xdr:cNvGrpSpPr/>
        </xdr:nvGrpSpPr>
        <xdr:grpSpPr>
          <a:xfrm>
            <a:off x="12303718" y="1681200"/>
            <a:ext cx="2565312" cy="2504534"/>
            <a:chOff x="8355800" y="6041149"/>
            <a:chExt cx="2565324" cy="2337199"/>
          </a:xfrm>
        </xdr:grpSpPr>
        <xdr:grpSp>
          <xdr:nvGrpSpPr>
            <xdr:cNvPr id="235" name="Group 234">
              <a:extLst>
                <a:ext uri="{FF2B5EF4-FFF2-40B4-BE49-F238E27FC236}">
                  <a16:creationId xmlns:a16="http://schemas.microsoft.com/office/drawing/2014/main" id="{00000000-0008-0000-0300-0000EB000000}"/>
                </a:ext>
              </a:extLst>
            </xdr:cNvPr>
            <xdr:cNvGrpSpPr/>
          </xdr:nvGrpSpPr>
          <xdr:grpSpPr>
            <a:xfrm>
              <a:off x="8381124" y="6041149"/>
              <a:ext cx="2540000" cy="1214493"/>
              <a:chOff x="7874000" y="3624645"/>
              <a:chExt cx="2540000" cy="1214493"/>
            </a:xfrm>
          </xdr:grpSpPr>
          <xdr:grpSp>
            <xdr:nvGrpSpPr>
              <xdr:cNvPr id="240" name="Group 239">
                <a:extLst>
                  <a:ext uri="{FF2B5EF4-FFF2-40B4-BE49-F238E27FC236}">
                    <a16:creationId xmlns:a16="http://schemas.microsoft.com/office/drawing/2014/main" id="{00000000-0008-0000-0300-0000F0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42" name="Group 241">
                  <a:extLst>
                    <a:ext uri="{FF2B5EF4-FFF2-40B4-BE49-F238E27FC236}">
                      <a16:creationId xmlns:a16="http://schemas.microsoft.com/office/drawing/2014/main" id="{00000000-0008-0000-0300-0000F2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44" name="Group 243">
                    <a:extLst>
                      <a:ext uri="{FF2B5EF4-FFF2-40B4-BE49-F238E27FC236}">
                        <a16:creationId xmlns:a16="http://schemas.microsoft.com/office/drawing/2014/main" id="{00000000-0008-0000-0300-0000F4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53" name="Shape 46">
                      <a:extLst>
                        <a:ext uri="{FF2B5EF4-FFF2-40B4-BE49-F238E27FC236}">
                          <a16:creationId xmlns:a16="http://schemas.microsoft.com/office/drawing/2014/main" id="{00000000-0008-0000-0300-0000FD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4" name="Rectangle 253">
                      <a:extLst>
                        <a:ext uri="{FF2B5EF4-FFF2-40B4-BE49-F238E27FC236}">
                          <a16:creationId xmlns:a16="http://schemas.microsoft.com/office/drawing/2014/main" id="{00000000-0008-0000-0300-0000FE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55" name="Shape 46">
                      <a:extLst>
                        <a:ext uri="{FF2B5EF4-FFF2-40B4-BE49-F238E27FC236}">
                          <a16:creationId xmlns:a16="http://schemas.microsoft.com/office/drawing/2014/main" id="{00000000-0008-0000-0300-0000FF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45" name="Group 244">
                    <a:extLst>
                      <a:ext uri="{FF2B5EF4-FFF2-40B4-BE49-F238E27FC236}">
                        <a16:creationId xmlns:a16="http://schemas.microsoft.com/office/drawing/2014/main" id="{00000000-0008-0000-0300-0000F5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50" name="Shape 46">
                      <a:extLst>
                        <a:ext uri="{FF2B5EF4-FFF2-40B4-BE49-F238E27FC236}">
                          <a16:creationId xmlns:a16="http://schemas.microsoft.com/office/drawing/2014/main" id="{00000000-0008-0000-0300-0000FA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1" name="Rectangle 250">
                      <a:extLst>
                        <a:ext uri="{FF2B5EF4-FFF2-40B4-BE49-F238E27FC236}">
                          <a16:creationId xmlns:a16="http://schemas.microsoft.com/office/drawing/2014/main" id="{00000000-0008-0000-0300-0000FB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52" name="Shape 46">
                      <a:extLst>
                        <a:ext uri="{FF2B5EF4-FFF2-40B4-BE49-F238E27FC236}">
                          <a16:creationId xmlns:a16="http://schemas.microsoft.com/office/drawing/2014/main" id="{00000000-0008-0000-0300-0000FC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46" name="Shape 27">
                    <a:extLst>
                      <a:ext uri="{FF2B5EF4-FFF2-40B4-BE49-F238E27FC236}">
                        <a16:creationId xmlns:a16="http://schemas.microsoft.com/office/drawing/2014/main" id="{00000000-0008-0000-0300-0000F6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7" name="Shape 27">
                    <a:extLst>
                      <a:ext uri="{FF2B5EF4-FFF2-40B4-BE49-F238E27FC236}">
                        <a16:creationId xmlns:a16="http://schemas.microsoft.com/office/drawing/2014/main" id="{00000000-0008-0000-0300-0000F7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8" name="Shape 27">
                    <a:extLst>
                      <a:ext uri="{FF2B5EF4-FFF2-40B4-BE49-F238E27FC236}">
                        <a16:creationId xmlns:a16="http://schemas.microsoft.com/office/drawing/2014/main" id="{00000000-0008-0000-0300-0000F8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9" name="Shape 27">
                    <a:extLst>
                      <a:ext uri="{FF2B5EF4-FFF2-40B4-BE49-F238E27FC236}">
                        <a16:creationId xmlns:a16="http://schemas.microsoft.com/office/drawing/2014/main" id="{00000000-0008-0000-0300-0000F9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43" name="Elbow Connector 242">
                  <a:extLst>
                    <a:ext uri="{FF2B5EF4-FFF2-40B4-BE49-F238E27FC236}">
                      <a16:creationId xmlns:a16="http://schemas.microsoft.com/office/drawing/2014/main" id="{00000000-0008-0000-0300-0000F3000000}"/>
                    </a:ext>
                  </a:extLst>
                </xdr:cNvPr>
                <xdr:cNvCxnSpPr>
                  <a:stCxn id="251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41" name="Straight Connector 240">
                <a:extLst>
                  <a:ext uri="{FF2B5EF4-FFF2-40B4-BE49-F238E27FC236}">
                    <a16:creationId xmlns:a16="http://schemas.microsoft.com/office/drawing/2014/main" id="{00000000-0008-0000-0300-0000F1000000}"/>
                  </a:ext>
                </a:extLst>
              </xdr:cNvPr>
              <xdr:cNvCxnSpPr>
                <a:stCxn id="254" idx="1"/>
              </xdr:cNvCxnSpPr>
            </xdr:nvCxnSpPr>
            <xdr:spPr>
              <a:xfrm flipH="1">
                <a:off x="7874000" y="4027589"/>
                <a:ext cx="763589" cy="1377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36" name="Straight Connector 235">
              <a:extLst>
                <a:ext uri="{FF2B5EF4-FFF2-40B4-BE49-F238E27FC236}">
                  <a16:creationId xmlns:a16="http://schemas.microsoft.com/office/drawing/2014/main" id="{00000000-0008-0000-0300-0000EC000000}"/>
                </a:ext>
              </a:extLst>
            </xdr:cNvPr>
            <xdr:cNvCxnSpPr/>
          </xdr:nvCxnSpPr>
          <xdr:spPr>
            <a:xfrm>
              <a:off x="8676106" y="7259130"/>
              <a:ext cx="0" cy="108417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7" name="Straight Connector 236">
              <a:extLst>
                <a:ext uri="{FF2B5EF4-FFF2-40B4-BE49-F238E27FC236}">
                  <a16:creationId xmlns:a16="http://schemas.microsoft.com/office/drawing/2014/main" id="{00000000-0008-0000-0300-0000ED000000}"/>
                </a:ext>
              </a:extLst>
            </xdr:cNvPr>
            <xdr:cNvCxnSpPr/>
          </xdr:nvCxnSpPr>
          <xdr:spPr>
            <a:xfrm>
              <a:off x="8386456" y="6441788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38" name="Shape 27">
              <a:extLst>
                <a:ext uri="{FF2B5EF4-FFF2-40B4-BE49-F238E27FC236}">
                  <a16:creationId xmlns:a16="http://schemas.microsoft.com/office/drawing/2014/main" id="{00000000-0008-0000-0300-0000EE000000}"/>
                </a:ext>
              </a:extLst>
            </xdr:cNvPr>
            <xdr:cNvSpPr/>
          </xdr:nvSpPr>
          <xdr:spPr>
            <a:xfrm>
              <a:off x="8355800" y="8111094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9" name="Shape 27">
              <a:extLst>
                <a:ext uri="{FF2B5EF4-FFF2-40B4-BE49-F238E27FC236}">
                  <a16:creationId xmlns:a16="http://schemas.microsoft.com/office/drawing/2014/main" id="{00000000-0008-0000-0300-0000EF000000}"/>
                </a:ext>
              </a:extLst>
            </xdr:cNvPr>
            <xdr:cNvSpPr/>
          </xdr:nvSpPr>
          <xdr:spPr>
            <a:xfrm>
              <a:off x="8645844" y="8312616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34" name="Straight Connector 233">
            <a:extLst>
              <a:ext uri="{FF2B5EF4-FFF2-40B4-BE49-F238E27FC236}">
                <a16:creationId xmlns:a16="http://schemas.microsoft.com/office/drawing/2014/main" id="{00000000-0008-0000-0300-0000EA000000}"/>
              </a:ext>
            </a:extLst>
          </xdr:cNvPr>
          <xdr:cNvCxnSpPr/>
        </xdr:nvCxnSpPr>
        <xdr:spPr>
          <a:xfrm flipH="1">
            <a:off x="12622411" y="2978366"/>
            <a:ext cx="224874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140705</xdr:colOff>
      <xdr:row>50</xdr:row>
      <xdr:rowOff>179456</xdr:rowOff>
    </xdr:from>
    <xdr:to>
      <xdr:col>41</xdr:col>
      <xdr:colOff>220869</xdr:colOff>
      <xdr:row>56</xdr:row>
      <xdr:rowOff>105987</xdr:rowOff>
    </xdr:to>
    <xdr:grpSp>
      <xdr:nvGrpSpPr>
        <xdr:cNvPr id="256" name="Group 255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GrpSpPr/>
      </xdr:nvGrpSpPr>
      <xdr:grpSpPr>
        <a:xfrm>
          <a:off x="8645857" y="10762789"/>
          <a:ext cx="1831224" cy="1196531"/>
          <a:chOff x="10582313" y="11394591"/>
          <a:chExt cx="2816444" cy="1647175"/>
        </a:xfrm>
      </xdr:grpSpPr>
      <xdr:grpSp>
        <xdr:nvGrpSpPr>
          <xdr:cNvPr id="257" name="Group 256">
            <a:extLst>
              <a:ext uri="{FF2B5EF4-FFF2-40B4-BE49-F238E27FC236}">
                <a16:creationId xmlns:a16="http://schemas.microsoft.com/office/drawing/2014/main" id="{00000000-0008-0000-0300-000001010000}"/>
              </a:ext>
            </a:extLst>
          </xdr:cNvPr>
          <xdr:cNvGrpSpPr/>
        </xdr:nvGrpSpPr>
        <xdr:grpSpPr>
          <a:xfrm>
            <a:off x="10582313" y="11394591"/>
            <a:ext cx="970386" cy="1647175"/>
            <a:chOff x="5588000" y="4800600"/>
            <a:chExt cx="762000" cy="1270001"/>
          </a:xfrm>
        </xdr:grpSpPr>
        <xdr:grpSp>
          <xdr:nvGrpSpPr>
            <xdr:cNvPr id="273" name="Group 272">
              <a:extLst>
                <a:ext uri="{FF2B5EF4-FFF2-40B4-BE49-F238E27FC236}">
                  <a16:creationId xmlns:a16="http://schemas.microsoft.com/office/drawing/2014/main" id="{00000000-0008-0000-0300-000011010000}"/>
                </a:ext>
              </a:extLst>
            </xdr:cNvPr>
            <xdr:cNvGrpSpPr/>
          </xdr:nvGrpSpPr>
          <xdr:grpSpPr>
            <a:xfrm>
              <a:off x="5600699" y="4813301"/>
              <a:ext cx="736601" cy="1257300"/>
              <a:chOff x="5600699" y="4813301"/>
              <a:chExt cx="736601" cy="1257300"/>
            </a:xfrm>
          </xdr:grpSpPr>
          <xdr:sp macro="" textlink="">
            <xdr:nvSpPr>
              <xdr:cNvPr id="275" name="Shape 5">
                <a:extLst>
                  <a:ext uri="{FF2B5EF4-FFF2-40B4-BE49-F238E27FC236}">
                    <a16:creationId xmlns:a16="http://schemas.microsoft.com/office/drawing/2014/main" id="{00000000-0008-0000-0300-000013010000}"/>
                  </a:ext>
                </a:extLst>
              </xdr:cNvPr>
              <xdr:cNvSpPr/>
            </xdr:nvSpPr>
            <xdr:spPr>
              <a:xfrm>
                <a:off x="5600699" y="4813301"/>
                <a:ext cx="736601" cy="12573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6" name="Shape 6">
                <a:extLst>
                  <a:ext uri="{FF2B5EF4-FFF2-40B4-BE49-F238E27FC236}">
                    <a16:creationId xmlns:a16="http://schemas.microsoft.com/office/drawing/2014/main" id="{00000000-0008-0000-0300-000014010000}"/>
                  </a:ext>
                </a:extLst>
              </xdr:cNvPr>
              <xdr:cNvSpPr/>
            </xdr:nvSpPr>
            <xdr:spPr>
              <a:xfrm>
                <a:off x="6027997" y="4938868"/>
                <a:ext cx="212482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7" name="Shape 7">
                <a:extLst>
                  <a:ext uri="{FF2B5EF4-FFF2-40B4-BE49-F238E27FC236}">
                    <a16:creationId xmlns:a16="http://schemas.microsoft.com/office/drawing/2014/main" id="{00000000-0008-0000-0300-000015010000}"/>
                  </a:ext>
                </a:extLst>
              </xdr:cNvPr>
              <xdr:cNvSpPr/>
            </xdr:nvSpPr>
            <xdr:spPr>
              <a:xfrm>
                <a:off x="6018472" y="5050734"/>
                <a:ext cx="222007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8" name="Shape 8">
                <a:extLst>
                  <a:ext uri="{FF2B5EF4-FFF2-40B4-BE49-F238E27FC236}">
                    <a16:creationId xmlns:a16="http://schemas.microsoft.com/office/drawing/2014/main" id="{00000000-0008-0000-0300-000016010000}"/>
                  </a:ext>
                </a:extLst>
              </xdr:cNvPr>
              <xdr:cNvSpPr/>
            </xdr:nvSpPr>
            <xdr:spPr>
              <a:xfrm>
                <a:off x="5716328" y="5742770"/>
                <a:ext cx="202957" cy="171450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74" name="Rectangle 273">
              <a:extLst>
                <a:ext uri="{FF2B5EF4-FFF2-40B4-BE49-F238E27FC236}">
                  <a16:creationId xmlns:a16="http://schemas.microsoft.com/office/drawing/2014/main" id="{00000000-0008-0000-0300-000012010000}"/>
                </a:ext>
              </a:extLst>
            </xdr:cNvPr>
            <xdr:cNvSpPr/>
          </xdr:nvSpPr>
          <xdr:spPr>
            <a:xfrm>
              <a:off x="5588000" y="4800600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258" name="Group 257">
            <a:extLst>
              <a:ext uri="{FF2B5EF4-FFF2-40B4-BE49-F238E27FC236}">
                <a16:creationId xmlns:a16="http://schemas.microsoft.com/office/drawing/2014/main" id="{00000000-0008-0000-0300-000002010000}"/>
              </a:ext>
            </a:extLst>
          </xdr:cNvPr>
          <xdr:cNvGrpSpPr/>
        </xdr:nvGrpSpPr>
        <xdr:grpSpPr>
          <a:xfrm>
            <a:off x="11988664" y="11859924"/>
            <a:ext cx="517581" cy="743782"/>
            <a:chOff x="8312729" y="2242252"/>
            <a:chExt cx="532713" cy="699032"/>
          </a:xfrm>
        </xdr:grpSpPr>
        <xdr:grpSp>
          <xdr:nvGrpSpPr>
            <xdr:cNvPr id="263" name="Group 262">
              <a:extLst>
                <a:ext uri="{FF2B5EF4-FFF2-40B4-BE49-F238E27FC236}">
                  <a16:creationId xmlns:a16="http://schemas.microsoft.com/office/drawing/2014/main" id="{00000000-0008-0000-0300-000007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265" name="Shape 9">
                <a:extLst>
                  <a:ext uri="{FF2B5EF4-FFF2-40B4-BE49-F238E27FC236}">
                    <a16:creationId xmlns:a16="http://schemas.microsoft.com/office/drawing/2014/main" id="{00000000-0008-0000-0300-000009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6" name="Shape 38">
                <a:extLst>
                  <a:ext uri="{FF2B5EF4-FFF2-40B4-BE49-F238E27FC236}">
                    <a16:creationId xmlns:a16="http://schemas.microsoft.com/office/drawing/2014/main" id="{00000000-0008-0000-0300-00000A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7" name="Shape 39">
                <a:extLst>
                  <a:ext uri="{FF2B5EF4-FFF2-40B4-BE49-F238E27FC236}">
                    <a16:creationId xmlns:a16="http://schemas.microsoft.com/office/drawing/2014/main" id="{00000000-0008-0000-0300-00000B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8" name="Shape 13">
                <a:extLst>
                  <a:ext uri="{FF2B5EF4-FFF2-40B4-BE49-F238E27FC236}">
                    <a16:creationId xmlns:a16="http://schemas.microsoft.com/office/drawing/2014/main" id="{00000000-0008-0000-0300-00000C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9" name="Shape 37">
                <a:extLst>
                  <a:ext uri="{FF2B5EF4-FFF2-40B4-BE49-F238E27FC236}">
                    <a16:creationId xmlns:a16="http://schemas.microsoft.com/office/drawing/2014/main" id="{00000000-0008-0000-0300-00000D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0" name="Shape 9">
                <a:extLst>
                  <a:ext uri="{FF2B5EF4-FFF2-40B4-BE49-F238E27FC236}">
                    <a16:creationId xmlns:a16="http://schemas.microsoft.com/office/drawing/2014/main" id="{00000000-0008-0000-0300-00000E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1" name="Shape 9">
                <a:extLst>
                  <a:ext uri="{FF2B5EF4-FFF2-40B4-BE49-F238E27FC236}">
                    <a16:creationId xmlns:a16="http://schemas.microsoft.com/office/drawing/2014/main" id="{00000000-0008-0000-0300-00000F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2" name="Shape 9">
                <a:extLst>
                  <a:ext uri="{FF2B5EF4-FFF2-40B4-BE49-F238E27FC236}">
                    <a16:creationId xmlns:a16="http://schemas.microsoft.com/office/drawing/2014/main" id="{00000000-0008-0000-0300-000010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64" name="Rectangle 263">
              <a:extLst>
                <a:ext uri="{FF2B5EF4-FFF2-40B4-BE49-F238E27FC236}">
                  <a16:creationId xmlns:a16="http://schemas.microsoft.com/office/drawing/2014/main" id="{00000000-0008-0000-0300-000008010000}"/>
                </a:ext>
              </a:extLst>
            </xdr:cNvPr>
            <xdr:cNvSpPr/>
          </xdr:nvSpPr>
          <xdr:spPr>
            <a:xfrm>
              <a:off x="8312729" y="2242252"/>
              <a:ext cx="532713" cy="69903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259" name="Straight Connector 258">
            <a:extLst>
              <a:ext uri="{FF2B5EF4-FFF2-40B4-BE49-F238E27FC236}">
                <a16:creationId xmlns:a16="http://schemas.microsoft.com/office/drawing/2014/main" id="{00000000-0008-0000-0300-000003010000}"/>
              </a:ext>
            </a:extLst>
          </xdr:cNvPr>
          <xdr:cNvCxnSpPr/>
        </xdr:nvCxnSpPr>
        <xdr:spPr>
          <a:xfrm flipH="1">
            <a:off x="12409382" y="12246383"/>
            <a:ext cx="98901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0" name="Straight Connector 259">
            <a:extLst>
              <a:ext uri="{FF2B5EF4-FFF2-40B4-BE49-F238E27FC236}">
                <a16:creationId xmlns:a16="http://schemas.microsoft.com/office/drawing/2014/main" id="{00000000-0008-0000-0300-000004010000}"/>
              </a:ext>
            </a:extLst>
          </xdr:cNvPr>
          <xdr:cNvCxnSpPr/>
        </xdr:nvCxnSpPr>
        <xdr:spPr>
          <a:xfrm flipH="1">
            <a:off x="12409740" y="12472114"/>
            <a:ext cx="98901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1" name="Straight Connector 260">
            <a:extLst>
              <a:ext uri="{FF2B5EF4-FFF2-40B4-BE49-F238E27FC236}">
                <a16:creationId xmlns:a16="http://schemas.microsoft.com/office/drawing/2014/main" id="{00000000-0008-0000-0300-000005010000}"/>
              </a:ext>
            </a:extLst>
          </xdr:cNvPr>
          <xdr:cNvCxnSpPr/>
        </xdr:nvCxnSpPr>
        <xdr:spPr>
          <a:xfrm flipH="1">
            <a:off x="11537670" y="12454584"/>
            <a:ext cx="564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2" name="Straight Connector 261">
            <a:extLst>
              <a:ext uri="{FF2B5EF4-FFF2-40B4-BE49-F238E27FC236}">
                <a16:creationId xmlns:a16="http://schemas.microsoft.com/office/drawing/2014/main" id="{00000000-0008-0000-0300-000006010000}"/>
              </a:ext>
            </a:extLst>
          </xdr:cNvPr>
          <xdr:cNvCxnSpPr/>
        </xdr:nvCxnSpPr>
        <xdr:spPr>
          <a:xfrm flipH="1">
            <a:off x="11529084" y="12247457"/>
            <a:ext cx="564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33</xdr:col>
      <xdr:colOff>241371</xdr:colOff>
      <xdr:row>45</xdr:row>
      <xdr:rowOff>96630</xdr:rowOff>
    </xdr:from>
    <xdr:to>
      <xdr:col>55</xdr:col>
      <xdr:colOff>81281</xdr:colOff>
      <xdr:row>59</xdr:row>
      <xdr:rowOff>50800</xdr:rowOff>
    </xdr:to>
    <xdr:sp macro="" textlink="">
      <xdr:nvSpPr>
        <xdr:cNvPr id="279" name="Dash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SpPr/>
      </xdr:nvSpPr>
      <xdr:spPr>
        <a:xfrm>
          <a:off x="8623371" y="9240630"/>
          <a:ext cx="5427910" cy="2798970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49</xdr:col>
      <xdr:colOff>137160</xdr:colOff>
      <xdr:row>20</xdr:row>
      <xdr:rowOff>55880</xdr:rowOff>
    </xdr:from>
    <xdr:to>
      <xdr:col>50</xdr:col>
      <xdr:colOff>167640</xdr:colOff>
      <xdr:row>24</xdr:row>
      <xdr:rowOff>106680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SpPr txBox="1"/>
      </xdr:nvSpPr>
      <xdr:spPr>
        <a:xfrm rot="16200000">
          <a:off x="12293600" y="4409440"/>
          <a:ext cx="863600" cy="2844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6mm</a:t>
          </a:r>
          <a:r>
            <a:rPr lang="en-GB" sz="1100" baseline="0"/>
            <a:t> 2C+E</a:t>
          </a:r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54000" y="221606"/>
          <a:ext cx="206411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4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4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4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4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4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4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4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4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4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4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4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4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4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4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4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pSpPr/>
      </xdr:nvGrpSpPr>
      <xdr:grpSpPr>
        <a:xfrm>
          <a:off x="1997314" y="480790"/>
          <a:ext cx="601370" cy="3829093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4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4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4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4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:ma14="http://schemas.microsoft.com/office/mac/drawingml/2011/main" xmlns="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4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4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4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4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4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4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4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4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162221</xdr:rowOff>
    </xdr:from>
    <xdr:to>
      <xdr:col>67</xdr:col>
      <xdr:colOff>203200</xdr:colOff>
      <xdr:row>26</xdr:row>
      <xdr:rowOff>177801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pSpPr/>
      </xdr:nvGrpSpPr>
      <xdr:grpSpPr>
        <a:xfrm>
          <a:off x="516208" y="771821"/>
          <a:ext cx="16781192" cy="4689180"/>
          <a:chOff x="497840" y="771821"/>
          <a:chExt cx="4684400" cy="471462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SpPr/>
        </xdr:nvSpPr>
        <xdr:spPr>
          <a:xfrm>
            <a:off x="497840" y="771821"/>
            <a:ext cx="4684400" cy="471462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64</xdr:col>
      <xdr:colOff>147837</xdr:colOff>
      <xdr:row>20</xdr:row>
      <xdr:rowOff>95778</xdr:rowOff>
    </xdr:from>
    <xdr:to>
      <xdr:col>68</xdr:col>
      <xdr:colOff>151348</xdr:colOff>
      <xdr:row>23</xdr:row>
      <xdr:rowOff>159929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16480037" y="4159778"/>
          <a:ext cx="1019511" cy="673751"/>
          <a:chOff x="10475279" y="4657597"/>
          <a:chExt cx="1019511" cy="673774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 flipH="1">
            <a:off x="10475279" y="4676123"/>
            <a:ext cx="0" cy="292548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62</xdr:row>
      <xdr:rowOff>161824</xdr:rowOff>
    </xdr:from>
    <xdr:to>
      <xdr:col>56</xdr:col>
      <xdr:colOff>0</xdr:colOff>
      <xdr:row>62</xdr:row>
      <xdr:rowOff>161824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CxnSpPr/>
      </xdr:nvCxnSpPr>
      <xdr:spPr>
        <a:xfrm>
          <a:off x="3320802" y="12760224"/>
          <a:ext cx="10933678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6" name="Shape 27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7" name="Shape 27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CxnSpPr>
          <a:endCxn id="66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71" name="Shape 26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/>
      </xdr:nvSpPr>
      <xdr:spPr>
        <a:xfrm flipH="1">
          <a:off x="3272883" y="4494607"/>
          <a:ext cx="224760" cy="219092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4" name="Shape 27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62</xdr:row>
      <xdr:rowOff>165653</xdr:rowOff>
    </xdr:to>
    <xdr:cxnSp macro="">
      <xdr:nvCxnSpPr>
        <xdr:cNvPr id="82" name="Straight Connector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CxnSpPr/>
      </xdr:nvCxnSpPr>
      <xdr:spPr>
        <a:xfrm>
          <a:off x="3247447" y="9266651"/>
          <a:ext cx="0" cy="373704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163518</xdr:colOff>
      <xdr:row>14</xdr:row>
      <xdr:rowOff>88900</xdr:rowOff>
    </xdr:from>
    <xdr:to>
      <xdr:col>60</xdr:col>
      <xdr:colOff>15622</xdr:colOff>
      <xdr:row>27</xdr:row>
      <xdr:rowOff>165098</xdr:rowOff>
    </xdr:to>
    <xdr:grpSp>
      <xdr:nvGrpSpPr>
        <xdr:cNvPr id="83" name="Group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GrpSpPr/>
      </xdr:nvGrpSpPr>
      <xdr:grpSpPr>
        <a:xfrm>
          <a:off x="14971718" y="2933700"/>
          <a:ext cx="360104" cy="2717798"/>
          <a:chOff x="9530059" y="4262519"/>
          <a:chExt cx="369906" cy="2718320"/>
        </a:xfrm>
      </xdr:grpSpPr>
      <xdr:sp macro="" textlink="">
        <xdr:nvSpPr>
          <xdr:cNvPr id="84" name="Shape 27">
            <a:extLst>
              <a:ext uri="{FF2B5EF4-FFF2-40B4-BE49-F238E27FC236}">
                <a16:creationId xmlns:a16="http://schemas.microsoft.com/office/drawing/2014/main" id="{00000000-0008-0000-0400-000054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5" name="Shape 27">
            <a:extLst>
              <a:ext uri="{FF2B5EF4-FFF2-40B4-BE49-F238E27FC236}">
                <a16:creationId xmlns:a16="http://schemas.microsoft.com/office/drawing/2014/main" id="{00000000-0008-0000-0400-000055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6" name="Shape 26">
            <a:extLst>
              <a:ext uri="{FF2B5EF4-FFF2-40B4-BE49-F238E27FC236}">
                <a16:creationId xmlns:a16="http://schemas.microsoft.com/office/drawing/2014/main" id="{00000000-0008-0000-0400-000056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7" name="Shape 26">
            <a:extLst>
              <a:ext uri="{FF2B5EF4-FFF2-40B4-BE49-F238E27FC236}">
                <a16:creationId xmlns:a16="http://schemas.microsoft.com/office/drawing/2014/main" id="{00000000-0008-0000-0400-000057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8" name="Straight Connector 87">
            <a:extLst>
              <a:ext uri="{FF2B5EF4-FFF2-40B4-BE49-F238E27FC236}">
                <a16:creationId xmlns:a16="http://schemas.microsoft.com/office/drawing/2014/main" id="{00000000-0008-0000-0400-000058000000}"/>
              </a:ext>
            </a:extLst>
          </xdr:cNvPr>
          <xdr:cNvCxnSpPr/>
        </xdr:nvCxnSpPr>
        <xdr:spPr>
          <a:xfrm>
            <a:off x="9634878" y="4262519"/>
            <a:ext cx="0" cy="46716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" name="Straight Connector 88">
            <a:extLst>
              <a:ext uri="{FF2B5EF4-FFF2-40B4-BE49-F238E27FC236}">
                <a16:creationId xmlns:a16="http://schemas.microsoft.com/office/drawing/2014/main" id="{00000000-0008-0000-0400-000059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55</xdr:col>
      <xdr:colOff>246265</xdr:colOff>
      <xdr:row>14</xdr:row>
      <xdr:rowOff>87283</xdr:rowOff>
    </xdr:from>
    <xdr:to>
      <xdr:col>55</xdr:col>
      <xdr:colOff>246265</xdr:colOff>
      <xdr:row>62</xdr:row>
      <xdr:rowOff>175813</xdr:rowOff>
    </xdr:to>
    <xdr:cxnSp macro="">
      <xdr:nvCxnSpPr>
        <xdr:cNvPr id="291" name="Straight Connector 290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CxnSpPr/>
      </xdr:nvCxnSpPr>
      <xdr:spPr>
        <a:xfrm>
          <a:off x="14246745" y="2932083"/>
          <a:ext cx="0" cy="9842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167750</xdr:colOff>
      <xdr:row>14</xdr:row>
      <xdr:rowOff>90267</xdr:rowOff>
    </xdr:from>
    <xdr:to>
      <xdr:col>65</xdr:col>
      <xdr:colOff>147674</xdr:colOff>
      <xdr:row>14</xdr:row>
      <xdr:rowOff>90267</xdr:rowOff>
    </xdr:to>
    <xdr:cxnSp macro="">
      <xdr:nvCxnSpPr>
        <xdr:cNvPr id="292" name="Straight Connector 291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CxnSpPr/>
      </xdr:nvCxnSpPr>
      <xdr:spPr>
        <a:xfrm>
          <a:off x="13812866" y="2984686"/>
          <a:ext cx="2741436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294" name="Straight Connector 293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24967</xdr:colOff>
      <xdr:row>27</xdr:row>
      <xdr:rowOff>163503</xdr:rowOff>
    </xdr:from>
    <xdr:to>
      <xdr:col>61</xdr:col>
      <xdr:colOff>9470</xdr:colOff>
      <xdr:row>38</xdr:row>
      <xdr:rowOff>58974</xdr:rowOff>
    </xdr:to>
    <xdr:grpSp>
      <xdr:nvGrpSpPr>
        <xdr:cNvPr id="295" name="Group 29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GrpSpPr/>
      </xdr:nvGrpSpPr>
      <xdr:grpSpPr>
        <a:xfrm>
          <a:off x="14579167" y="5649903"/>
          <a:ext cx="1000503" cy="2130671"/>
          <a:chOff x="9331439" y="5595260"/>
          <a:chExt cx="1009223" cy="2113883"/>
        </a:xfrm>
      </xdr:grpSpPr>
      <xdr:grpSp>
        <xdr:nvGrpSpPr>
          <xdr:cNvPr id="296" name="Group 295" descr="Inverter">
            <a:extLst>
              <a:ext uri="{FF2B5EF4-FFF2-40B4-BE49-F238E27FC236}">
                <a16:creationId xmlns:a16="http://schemas.microsoft.com/office/drawing/2014/main" id="{00000000-0008-0000-0400-00002801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311" name="Group 310">
              <a:extLst>
                <a:ext uri="{FF2B5EF4-FFF2-40B4-BE49-F238E27FC236}">
                  <a16:creationId xmlns:a16="http://schemas.microsoft.com/office/drawing/2014/main" id="{00000000-0008-0000-0400-00003701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317" name="Shape 5">
                <a:extLst>
                  <a:ext uri="{FF2B5EF4-FFF2-40B4-BE49-F238E27FC236}">
                    <a16:creationId xmlns:a16="http://schemas.microsoft.com/office/drawing/2014/main" id="{00000000-0008-0000-0400-00003D01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8" name="Shape 6">
                <a:extLst>
                  <a:ext uri="{FF2B5EF4-FFF2-40B4-BE49-F238E27FC236}">
                    <a16:creationId xmlns:a16="http://schemas.microsoft.com/office/drawing/2014/main" id="{00000000-0008-0000-0400-00003E01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9" name="Shape 7">
                <a:extLst>
                  <a:ext uri="{FF2B5EF4-FFF2-40B4-BE49-F238E27FC236}">
                    <a16:creationId xmlns:a16="http://schemas.microsoft.com/office/drawing/2014/main" id="{00000000-0008-0000-0400-00003F01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20" name="Shape 8">
                <a:extLst>
                  <a:ext uri="{FF2B5EF4-FFF2-40B4-BE49-F238E27FC236}">
                    <a16:creationId xmlns:a16="http://schemas.microsoft.com/office/drawing/2014/main" id="{00000000-0008-0000-0400-00004001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12" name="Rectangle 311">
              <a:extLst>
                <a:ext uri="{FF2B5EF4-FFF2-40B4-BE49-F238E27FC236}">
                  <a16:creationId xmlns:a16="http://schemas.microsoft.com/office/drawing/2014/main" id="{00000000-0008-0000-0400-00003801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3" name="Rectangle 312">
              <a:extLst>
                <a:ext uri="{FF2B5EF4-FFF2-40B4-BE49-F238E27FC236}">
                  <a16:creationId xmlns:a16="http://schemas.microsoft.com/office/drawing/2014/main" id="{00000000-0008-0000-0400-00003901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4" name="Rectangle 313">
              <a:extLst>
                <a:ext uri="{FF2B5EF4-FFF2-40B4-BE49-F238E27FC236}">
                  <a16:creationId xmlns:a16="http://schemas.microsoft.com/office/drawing/2014/main" id="{00000000-0008-0000-0400-00003A01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5" name="Rectangle 314">
              <a:extLst>
                <a:ext uri="{FF2B5EF4-FFF2-40B4-BE49-F238E27FC236}">
                  <a16:creationId xmlns:a16="http://schemas.microsoft.com/office/drawing/2014/main" id="{00000000-0008-0000-0400-00003B01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6" name="Rectangle 315">
              <a:extLst>
                <a:ext uri="{FF2B5EF4-FFF2-40B4-BE49-F238E27FC236}">
                  <a16:creationId xmlns:a16="http://schemas.microsoft.com/office/drawing/2014/main" id="{00000000-0008-0000-0400-00003C01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297" name="Group 296">
            <a:extLst>
              <a:ext uri="{FF2B5EF4-FFF2-40B4-BE49-F238E27FC236}">
                <a16:creationId xmlns:a16="http://schemas.microsoft.com/office/drawing/2014/main" id="{00000000-0008-0000-0400-00002901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303" name="Shape 9">
              <a:extLst>
                <a:ext uri="{FF2B5EF4-FFF2-40B4-BE49-F238E27FC236}">
                  <a16:creationId xmlns:a16="http://schemas.microsoft.com/office/drawing/2014/main" id="{00000000-0008-0000-0400-00002F01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4" name="Shape 38">
              <a:extLst>
                <a:ext uri="{FF2B5EF4-FFF2-40B4-BE49-F238E27FC236}">
                  <a16:creationId xmlns:a16="http://schemas.microsoft.com/office/drawing/2014/main" id="{00000000-0008-0000-0400-00003001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5" name="Shape 39">
              <a:extLst>
                <a:ext uri="{FF2B5EF4-FFF2-40B4-BE49-F238E27FC236}">
                  <a16:creationId xmlns:a16="http://schemas.microsoft.com/office/drawing/2014/main" id="{00000000-0008-0000-0400-00003101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6" name="Shape 13">
              <a:extLst>
                <a:ext uri="{FF2B5EF4-FFF2-40B4-BE49-F238E27FC236}">
                  <a16:creationId xmlns:a16="http://schemas.microsoft.com/office/drawing/2014/main" id="{00000000-0008-0000-0400-00003201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7" name="Shape 37">
              <a:extLst>
                <a:ext uri="{FF2B5EF4-FFF2-40B4-BE49-F238E27FC236}">
                  <a16:creationId xmlns:a16="http://schemas.microsoft.com/office/drawing/2014/main" id="{00000000-0008-0000-0400-00003301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8" name="Shape 9">
              <a:extLst>
                <a:ext uri="{FF2B5EF4-FFF2-40B4-BE49-F238E27FC236}">
                  <a16:creationId xmlns:a16="http://schemas.microsoft.com/office/drawing/2014/main" id="{00000000-0008-0000-0400-00003401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9" name="Shape 9">
              <a:extLst>
                <a:ext uri="{FF2B5EF4-FFF2-40B4-BE49-F238E27FC236}">
                  <a16:creationId xmlns:a16="http://schemas.microsoft.com/office/drawing/2014/main" id="{00000000-0008-0000-0400-00003501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10" name="Shape 9">
              <a:extLst>
                <a:ext uri="{FF2B5EF4-FFF2-40B4-BE49-F238E27FC236}">
                  <a16:creationId xmlns:a16="http://schemas.microsoft.com/office/drawing/2014/main" id="{00000000-0008-0000-0400-00003601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400-00002A01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299" name="Shape 18">
            <a:extLst>
              <a:ext uri="{FF2B5EF4-FFF2-40B4-BE49-F238E27FC236}">
                <a16:creationId xmlns:a16="http://schemas.microsoft.com/office/drawing/2014/main" id="{00000000-0008-0000-0400-00002B01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0" name="Shape 18">
            <a:extLst>
              <a:ext uri="{FF2B5EF4-FFF2-40B4-BE49-F238E27FC236}">
                <a16:creationId xmlns:a16="http://schemas.microsoft.com/office/drawing/2014/main" id="{00000000-0008-0000-0400-00002C01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1" name="Shape 18">
            <a:extLst>
              <a:ext uri="{FF2B5EF4-FFF2-40B4-BE49-F238E27FC236}">
                <a16:creationId xmlns:a16="http://schemas.microsoft.com/office/drawing/2014/main" id="{00000000-0008-0000-0400-00002D01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2" name="Shape 18">
            <a:extLst>
              <a:ext uri="{FF2B5EF4-FFF2-40B4-BE49-F238E27FC236}">
                <a16:creationId xmlns:a16="http://schemas.microsoft.com/office/drawing/2014/main" id="{00000000-0008-0000-0400-00002E01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33</xdr:col>
      <xdr:colOff>111566</xdr:colOff>
      <xdr:row>14</xdr:row>
      <xdr:rowOff>127002</xdr:rowOff>
    </xdr:from>
    <xdr:to>
      <xdr:col>36</xdr:col>
      <xdr:colOff>165920</xdr:colOff>
      <xdr:row>19</xdr:row>
      <xdr:rowOff>81127</xdr:rowOff>
    </xdr:to>
    <xdr:grpSp>
      <xdr:nvGrpSpPr>
        <xdr:cNvPr id="457" name="Group 456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GrpSpPr/>
      </xdr:nvGrpSpPr>
      <xdr:grpSpPr>
        <a:xfrm>
          <a:off x="8493566" y="2971802"/>
          <a:ext cx="816354" cy="970125"/>
          <a:chOff x="8797753" y="2911821"/>
          <a:chExt cx="834716" cy="948704"/>
        </a:xfrm>
      </xdr:grpSpPr>
      <xdr:sp macro="" textlink="">
        <xdr:nvSpPr>
          <xdr:cNvPr id="321" name="Shape 18">
            <a:extLst>
              <a:ext uri="{FF2B5EF4-FFF2-40B4-BE49-F238E27FC236}">
                <a16:creationId xmlns:a16="http://schemas.microsoft.com/office/drawing/2014/main" id="{00000000-0008-0000-0400-000041010000}"/>
              </a:ext>
            </a:extLst>
          </xdr:cNvPr>
          <xdr:cNvSpPr/>
        </xdr:nvSpPr>
        <xdr:spPr>
          <a:xfrm flipH="1">
            <a:off x="8862831" y="3665361"/>
            <a:ext cx="0" cy="37702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400-000042010000}"/>
              </a:ext>
            </a:extLst>
          </xdr:cNvPr>
          <xdr:cNvSpPr txBox="1"/>
        </xdr:nvSpPr>
        <xdr:spPr>
          <a:xfrm>
            <a:off x="8965571" y="3354924"/>
            <a:ext cx="666898" cy="505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Normal</a:t>
            </a:r>
          </a:p>
          <a:p>
            <a:r>
              <a:rPr lang="en-GB" sz="1100"/>
              <a:t>Loads</a:t>
            </a:r>
          </a:p>
          <a:p>
            <a:endParaRPr lang="en-GB" sz="1100"/>
          </a:p>
          <a:p>
            <a:endParaRPr lang="en-GB" sz="1800"/>
          </a:p>
        </xdr:txBody>
      </xdr:sp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400-000047010000}"/>
              </a:ext>
            </a:extLst>
          </xdr:cNvPr>
          <xdr:cNvGrpSpPr/>
        </xdr:nvGrpSpPr>
        <xdr:grpSpPr>
          <a:xfrm>
            <a:off x="8797753" y="2911821"/>
            <a:ext cx="320161" cy="731654"/>
            <a:chOff x="9589750" y="4547522"/>
            <a:chExt cx="310215" cy="752063"/>
          </a:xfrm>
        </xdr:grpSpPr>
        <xdr:sp macro="" textlink="">
          <xdr:nvSpPr>
            <xdr:cNvPr id="328" name="Shape 27">
              <a:extLst>
                <a:ext uri="{FF2B5EF4-FFF2-40B4-BE49-F238E27FC236}">
                  <a16:creationId xmlns:a16="http://schemas.microsoft.com/office/drawing/2014/main" id="{00000000-0008-0000-0400-000048010000}"/>
                </a:ext>
              </a:extLst>
            </xdr:cNvPr>
            <xdr:cNvSpPr/>
          </xdr:nvSpPr>
          <xdr:spPr>
            <a:xfrm>
              <a:off x="9593489" y="4963526"/>
              <a:ext cx="95175" cy="10034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29" name="Shape 27">
              <a:extLst>
                <a:ext uri="{FF2B5EF4-FFF2-40B4-BE49-F238E27FC236}">
                  <a16:creationId xmlns:a16="http://schemas.microsoft.com/office/drawing/2014/main" id="{00000000-0008-0000-0400-000049010000}"/>
                </a:ext>
              </a:extLst>
            </xdr:cNvPr>
            <xdr:cNvSpPr/>
          </xdr:nvSpPr>
          <xdr:spPr>
            <a:xfrm>
              <a:off x="9589750" y="4736233"/>
              <a:ext cx="95175" cy="100343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30" name="Shape 26">
              <a:extLst>
                <a:ext uri="{FF2B5EF4-FFF2-40B4-BE49-F238E27FC236}">
                  <a16:creationId xmlns:a16="http://schemas.microsoft.com/office/drawing/2014/main" id="{00000000-0008-0000-0400-00004A010000}"/>
                </a:ext>
              </a:extLst>
            </xdr:cNvPr>
            <xdr:cNvSpPr/>
          </xdr:nvSpPr>
          <xdr:spPr>
            <a:xfrm flipH="1">
              <a:off x="9684192" y="4822358"/>
              <a:ext cx="215773" cy="178862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332" name="Straight Connector 331">
              <a:extLst>
                <a:ext uri="{FF2B5EF4-FFF2-40B4-BE49-F238E27FC236}">
                  <a16:creationId xmlns:a16="http://schemas.microsoft.com/office/drawing/2014/main" id="{00000000-0008-0000-0400-00004C010000}"/>
                </a:ext>
              </a:extLst>
            </xdr:cNvPr>
            <xdr:cNvCxnSpPr/>
          </xdr:nvCxnSpPr>
          <xdr:spPr>
            <a:xfrm>
              <a:off x="9642667" y="4547522"/>
              <a:ext cx="0" cy="197795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400-00004D010000}"/>
                </a:ext>
              </a:extLst>
            </xdr:cNvPr>
            <xdr:cNvCxnSpPr/>
          </xdr:nvCxnSpPr>
          <xdr:spPr>
            <a:xfrm>
              <a:off x="9647492" y="5069129"/>
              <a:ext cx="0" cy="230456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335" name="Shape 27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/>
      </xdr:nvSpPr>
      <xdr:spPr>
        <a:xfrm>
          <a:off x="3333349" y="5162621"/>
          <a:ext cx="97377" cy="98343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336" name="Shape 27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/>
      </xdr:nvSpPr>
      <xdr:spPr>
        <a:xfrm>
          <a:off x="3329523" y="4939862"/>
          <a:ext cx="97377" cy="983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337" name="Shape 26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/>
      </xdr:nvSpPr>
      <xdr:spPr>
        <a:xfrm flipH="1">
          <a:off x="3426151" y="5024269"/>
          <a:ext cx="220766" cy="175294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64" name="3PCables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3187368" y="4521089"/>
          <a:ext cx="226602" cy="374650"/>
          <a:chOff x="3201903" y="4462268"/>
          <a:chExt cx="227837" cy="369303"/>
        </a:xfrm>
      </xdr:grpSpPr>
      <xdr:sp macro="" textlink="">
        <xdr:nvSpPr>
          <xdr:cNvPr id="324" name="Shape 26">
            <a:extLst>
              <a:ext uri="{FF2B5EF4-FFF2-40B4-BE49-F238E27FC236}">
                <a16:creationId xmlns:a16="http://schemas.microsoft.com/office/drawing/2014/main" id="{00000000-0008-0000-0400-00004401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38" name="Shape 26">
            <a:extLst>
              <a:ext uri="{FF2B5EF4-FFF2-40B4-BE49-F238E27FC236}">
                <a16:creationId xmlns:a16="http://schemas.microsoft.com/office/drawing/2014/main" id="{00000000-0008-0000-0400-00005201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339" name="Straight Connector 338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CxnSpPr/>
      </xdr:nvCxnSpPr>
      <xdr:spPr>
        <a:xfrm>
          <a:off x="3392328" y="5241963"/>
          <a:ext cx="0" cy="6895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26975</xdr:colOff>
      <xdr:row>14</xdr:row>
      <xdr:rowOff>101600</xdr:rowOff>
    </xdr:from>
    <xdr:to>
      <xdr:col>65</xdr:col>
      <xdr:colOff>139200</xdr:colOff>
      <xdr:row>20</xdr:row>
      <xdr:rowOff>158327</xdr:rowOff>
    </xdr:to>
    <xdr:grpSp>
      <xdr:nvGrpSpPr>
        <xdr:cNvPr id="359" name="Group 358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GrpSpPr/>
      </xdr:nvGrpSpPr>
      <xdr:grpSpPr>
        <a:xfrm>
          <a:off x="16359175" y="2946400"/>
          <a:ext cx="366225" cy="1275927"/>
          <a:chOff x="9530059" y="3974365"/>
          <a:chExt cx="369906" cy="1275927"/>
        </a:xfrm>
      </xdr:grpSpPr>
      <xdr:sp macro="" textlink="">
        <xdr:nvSpPr>
          <xdr:cNvPr id="360" name="Shape 27">
            <a:extLst>
              <a:ext uri="{FF2B5EF4-FFF2-40B4-BE49-F238E27FC236}">
                <a16:creationId xmlns:a16="http://schemas.microsoft.com/office/drawing/2014/main" id="{00000000-0008-0000-0400-00006801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1" name="Shape 27">
            <a:extLst>
              <a:ext uri="{FF2B5EF4-FFF2-40B4-BE49-F238E27FC236}">
                <a16:creationId xmlns:a16="http://schemas.microsoft.com/office/drawing/2014/main" id="{00000000-0008-0000-0400-00006901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2" name="Shape 26">
            <a:extLst>
              <a:ext uri="{FF2B5EF4-FFF2-40B4-BE49-F238E27FC236}">
                <a16:creationId xmlns:a16="http://schemas.microsoft.com/office/drawing/2014/main" id="{00000000-0008-0000-0400-00006A01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3" name="Shape 26">
            <a:extLst>
              <a:ext uri="{FF2B5EF4-FFF2-40B4-BE49-F238E27FC236}">
                <a16:creationId xmlns:a16="http://schemas.microsoft.com/office/drawing/2014/main" id="{00000000-0008-0000-0400-00006B01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364" name="Straight Connector 363">
            <a:extLst>
              <a:ext uri="{FF2B5EF4-FFF2-40B4-BE49-F238E27FC236}">
                <a16:creationId xmlns:a16="http://schemas.microsoft.com/office/drawing/2014/main" id="{00000000-0008-0000-0400-00006C010000}"/>
              </a:ext>
            </a:extLst>
          </xdr:cNvPr>
          <xdr:cNvCxnSpPr/>
        </xdr:nvCxnSpPr>
        <xdr:spPr>
          <a:xfrm>
            <a:off x="9642667" y="3974365"/>
            <a:ext cx="0" cy="770952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5" name="Straight Connector 364">
            <a:extLst>
              <a:ext uri="{FF2B5EF4-FFF2-40B4-BE49-F238E27FC236}">
                <a16:creationId xmlns:a16="http://schemas.microsoft.com/office/drawing/2014/main" id="{00000000-0008-0000-0400-00006D01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116021</xdr:colOff>
      <xdr:row>16</xdr:row>
      <xdr:rowOff>141587</xdr:rowOff>
    </xdr:from>
    <xdr:to>
      <xdr:col>26</xdr:col>
      <xdr:colOff>112614</xdr:colOff>
      <xdr:row>18</xdr:row>
      <xdr:rowOff>6571</xdr:rowOff>
    </xdr:to>
    <xdr:grpSp>
      <xdr:nvGrpSpPr>
        <xdr:cNvPr id="576" name="3PInv1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GrpSpPr/>
      </xdr:nvGrpSpPr>
      <xdr:grpSpPr>
        <a:xfrm>
          <a:off x="6466021" y="3392787"/>
          <a:ext cx="250593" cy="271384"/>
          <a:chOff x="3200401" y="7249224"/>
          <a:chExt cx="250595" cy="281901"/>
        </a:xfrm>
      </xdr:grpSpPr>
      <xdr:cxnSp macro="">
        <xdr:nvCxnSpPr>
          <xdr:cNvPr id="577" name="2P">
            <a:extLst>
              <a:ext uri="{FF2B5EF4-FFF2-40B4-BE49-F238E27FC236}">
                <a16:creationId xmlns:a16="http://schemas.microsoft.com/office/drawing/2014/main" id="{00000000-0008-0000-0400-00004102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8" name="3P">
            <a:extLst>
              <a:ext uri="{FF2B5EF4-FFF2-40B4-BE49-F238E27FC236}">
                <a16:creationId xmlns:a16="http://schemas.microsoft.com/office/drawing/2014/main" id="{00000000-0008-0000-0400-00004202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53</xdr:col>
      <xdr:colOff>150982</xdr:colOff>
      <xdr:row>58</xdr:row>
      <xdr:rowOff>30063</xdr:rowOff>
    </xdr:from>
    <xdr:to>
      <xdr:col>55</xdr:col>
      <xdr:colOff>10160</xdr:colOff>
      <xdr:row>59</xdr:row>
      <xdr:rowOff>162560</xdr:rowOff>
    </xdr:to>
    <xdr:grpSp>
      <xdr:nvGrpSpPr>
        <xdr:cNvPr id="697" name="Ground1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GrpSpPr/>
      </xdr:nvGrpSpPr>
      <xdr:grpSpPr>
        <a:xfrm>
          <a:off x="13689182" y="11815663"/>
          <a:ext cx="367178" cy="335697"/>
          <a:chOff x="10160000" y="2820276"/>
          <a:chExt cx="508000" cy="401148"/>
        </a:xfrm>
      </xdr:grpSpPr>
      <xdr:grpSp>
        <xdr:nvGrpSpPr>
          <xdr:cNvPr id="698" name="Group 697">
            <a:extLst>
              <a:ext uri="{FF2B5EF4-FFF2-40B4-BE49-F238E27FC236}">
                <a16:creationId xmlns:a16="http://schemas.microsoft.com/office/drawing/2014/main" id="{00000000-0008-0000-0400-0000BA02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700" name="Straight Connector 699">
              <a:extLst>
                <a:ext uri="{FF2B5EF4-FFF2-40B4-BE49-F238E27FC236}">
                  <a16:creationId xmlns:a16="http://schemas.microsoft.com/office/drawing/2014/main" id="{00000000-0008-0000-0400-0000BC02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1" name="Straight Connector 700">
              <a:extLst>
                <a:ext uri="{FF2B5EF4-FFF2-40B4-BE49-F238E27FC236}">
                  <a16:creationId xmlns:a16="http://schemas.microsoft.com/office/drawing/2014/main" id="{00000000-0008-0000-0400-0000BD02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2" name="Straight Connector 701">
              <a:extLst>
                <a:ext uri="{FF2B5EF4-FFF2-40B4-BE49-F238E27FC236}">
                  <a16:creationId xmlns:a16="http://schemas.microsoft.com/office/drawing/2014/main" id="{00000000-0008-0000-0400-0000BE02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699" name="Straight Connector 698">
            <a:extLst>
              <a:ext uri="{FF2B5EF4-FFF2-40B4-BE49-F238E27FC236}">
                <a16:creationId xmlns:a16="http://schemas.microsoft.com/office/drawing/2014/main" id="{00000000-0008-0000-0400-0000BB02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380" name="Straight Connector 379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382" name="Straight Connector 381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383" name="Straight Connector 382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CxnSpPr/>
      </xdr:nvCxnSpPr>
      <xdr:spPr>
        <a:xfrm>
          <a:off x="5842001" y="3067405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62</xdr:row>
      <xdr:rowOff>63499</xdr:rowOff>
    </xdr:from>
    <xdr:to>
      <xdr:col>23</xdr:col>
      <xdr:colOff>165100</xdr:colOff>
      <xdr:row>63</xdr:row>
      <xdr:rowOff>44061</xdr:rowOff>
    </xdr:to>
    <xdr:cxnSp macro="">
      <xdr:nvCxnSpPr>
        <xdr:cNvPr id="369" name="2P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CxnSpPr/>
      </xdr:nvCxnSpPr>
      <xdr:spPr>
        <a:xfrm flipH="1">
          <a:off x="5988452" y="12396270"/>
          <a:ext cx="159419" cy="17947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375" name="2P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CxnSpPr/>
      </xdr:nvCxnSpPr>
      <xdr:spPr>
        <a:xfrm flipH="1">
          <a:off x="5354949" y="7847569"/>
          <a:ext cx="159419" cy="1818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21</xdr:col>
      <xdr:colOff>213749</xdr:colOff>
      <xdr:row>39</xdr:row>
      <xdr:rowOff>193072</xdr:rowOff>
    </xdr:to>
    <xdr:cxnSp macro="">
      <xdr:nvCxnSpPr>
        <xdr:cNvPr id="376" name="2P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CxnSpPr/>
      </xdr:nvCxnSpPr>
      <xdr:spPr>
        <a:xfrm flipH="1">
          <a:off x="5431150" y="7847569"/>
          <a:ext cx="174894" cy="1945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129775</xdr:colOff>
      <xdr:row>39</xdr:row>
      <xdr:rowOff>8367</xdr:rowOff>
    </xdr:from>
    <xdr:to>
      <xdr:col>22</xdr:col>
      <xdr:colOff>47893</xdr:colOff>
      <xdr:row>40</xdr:row>
      <xdr:rowOff>1629</xdr:rowOff>
    </xdr:to>
    <xdr:cxnSp macro="">
      <xdr:nvCxnSpPr>
        <xdr:cNvPr id="377" name="2P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CxnSpPr/>
      </xdr:nvCxnSpPr>
      <xdr:spPr>
        <a:xfrm flipH="1">
          <a:off x="5522070" y="7857383"/>
          <a:ext cx="174894" cy="1945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236388</xdr:colOff>
      <xdr:row>36</xdr:row>
      <xdr:rowOff>21783</xdr:rowOff>
    </xdr:from>
    <xdr:to>
      <xdr:col>25</xdr:col>
      <xdr:colOff>63500</xdr:colOff>
      <xdr:row>36</xdr:row>
      <xdr:rowOff>21783</xdr:rowOff>
    </xdr:to>
    <xdr:cxnSp macro="">
      <xdr:nvCxnSpPr>
        <xdr:cNvPr id="378" name="Straight Connector 377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CxnSpPr/>
      </xdr:nvCxnSpPr>
      <xdr:spPr>
        <a:xfrm flipH="1">
          <a:off x="4554388" y="7336983"/>
          <a:ext cx="1859112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68275</xdr:colOff>
      <xdr:row>35</xdr:row>
      <xdr:rowOff>60713</xdr:rowOff>
    </xdr:from>
    <xdr:to>
      <xdr:col>26</xdr:col>
      <xdr:colOff>145041</xdr:colOff>
      <xdr:row>36</xdr:row>
      <xdr:rowOff>27288</xdr:rowOff>
    </xdr:to>
    <xdr:grpSp>
      <xdr:nvGrpSpPr>
        <xdr:cNvPr id="467" name="Group 466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GrpSpPr/>
      </xdr:nvGrpSpPr>
      <xdr:grpSpPr>
        <a:xfrm>
          <a:off x="6418275" y="7172713"/>
          <a:ext cx="330766" cy="169775"/>
          <a:chOff x="10817680" y="7023878"/>
          <a:chExt cx="333698" cy="170683"/>
        </a:xfrm>
      </xdr:grpSpPr>
      <xdr:cxnSp macro="">
        <xdr:nvCxnSpPr>
          <xdr:cNvPr id="385" name="Straight Connector 384">
            <a:extLst>
              <a:ext uri="{FF2B5EF4-FFF2-40B4-BE49-F238E27FC236}">
                <a16:creationId xmlns:a16="http://schemas.microsoft.com/office/drawing/2014/main" id="{00000000-0008-0000-0400-00008101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6" name="Straight Connector 385">
            <a:extLst>
              <a:ext uri="{FF2B5EF4-FFF2-40B4-BE49-F238E27FC236}">
                <a16:creationId xmlns:a16="http://schemas.microsoft.com/office/drawing/2014/main" id="{00000000-0008-0000-0400-00008201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8" name="Straight Connector 387">
            <a:extLst>
              <a:ext uri="{FF2B5EF4-FFF2-40B4-BE49-F238E27FC236}">
                <a16:creationId xmlns:a16="http://schemas.microsoft.com/office/drawing/2014/main" id="{00000000-0008-0000-0400-00008401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9" name="Straight Connector 388">
            <a:extLst>
              <a:ext uri="{FF2B5EF4-FFF2-40B4-BE49-F238E27FC236}">
                <a16:creationId xmlns:a16="http://schemas.microsoft.com/office/drawing/2014/main" id="{00000000-0008-0000-0400-00008501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21009</xdr:colOff>
      <xdr:row>34</xdr:row>
      <xdr:rowOff>168082</xdr:rowOff>
    </xdr:from>
    <xdr:to>
      <xdr:col>26</xdr:col>
      <xdr:colOff>22777</xdr:colOff>
      <xdr:row>36</xdr:row>
      <xdr:rowOff>134029</xdr:rowOff>
    </xdr:to>
    <xdr:sp macro="" textlink="">
      <xdr:nvSpPr>
        <xdr:cNvPr id="401" name="TboxL2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863009" y="7076882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30</xdr:col>
      <xdr:colOff>253671</xdr:colOff>
      <xdr:row>14</xdr:row>
      <xdr:rowOff>118534</xdr:rowOff>
    </xdr:from>
    <xdr:to>
      <xdr:col>43</xdr:col>
      <xdr:colOff>35884</xdr:colOff>
      <xdr:row>34</xdr:row>
      <xdr:rowOff>200849</xdr:rowOff>
    </xdr:to>
    <xdr:grpSp>
      <xdr:nvGrpSpPr>
        <xdr:cNvPr id="372" name="ExtraArray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GrpSpPr/>
      </xdr:nvGrpSpPr>
      <xdr:grpSpPr>
        <a:xfrm>
          <a:off x="7873671" y="2963334"/>
          <a:ext cx="3160413" cy="4146315"/>
          <a:chOff x="2828940" y="8100298"/>
          <a:chExt cx="3087854" cy="4317755"/>
        </a:xfrm>
      </xdr:grpSpPr>
      <xdr:grpSp>
        <xdr:nvGrpSpPr>
          <xdr:cNvPr id="373" name="Group 372">
            <a:extLst>
              <a:ext uri="{FF2B5EF4-FFF2-40B4-BE49-F238E27FC236}">
                <a16:creationId xmlns:a16="http://schemas.microsoft.com/office/drawing/2014/main" id="{00000000-0008-0000-0400-00007501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394" name="Group 393">
              <a:extLst>
                <a:ext uri="{FF2B5EF4-FFF2-40B4-BE49-F238E27FC236}">
                  <a16:creationId xmlns:a16="http://schemas.microsoft.com/office/drawing/2014/main" id="{00000000-0008-0000-0400-00008A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403" name="Group 402">
                <a:extLst>
                  <a:ext uri="{FF2B5EF4-FFF2-40B4-BE49-F238E27FC236}">
                    <a16:creationId xmlns:a16="http://schemas.microsoft.com/office/drawing/2014/main" id="{00000000-0008-0000-0400-000093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405" name="Shape 5">
                  <a:extLst>
                    <a:ext uri="{FF2B5EF4-FFF2-40B4-BE49-F238E27FC236}">
                      <a16:creationId xmlns:a16="http://schemas.microsoft.com/office/drawing/2014/main" id="{00000000-0008-0000-0400-000095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6" name="Shape 6">
                  <a:extLst>
                    <a:ext uri="{FF2B5EF4-FFF2-40B4-BE49-F238E27FC236}">
                      <a16:creationId xmlns:a16="http://schemas.microsoft.com/office/drawing/2014/main" id="{00000000-0008-0000-0400-000096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7" name="Shape 7">
                  <a:extLst>
                    <a:ext uri="{FF2B5EF4-FFF2-40B4-BE49-F238E27FC236}">
                      <a16:creationId xmlns:a16="http://schemas.microsoft.com/office/drawing/2014/main" id="{00000000-0008-0000-0400-000097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8" name="Shape 8">
                  <a:extLst>
                    <a:ext uri="{FF2B5EF4-FFF2-40B4-BE49-F238E27FC236}">
                      <a16:creationId xmlns:a16="http://schemas.microsoft.com/office/drawing/2014/main" id="{00000000-0008-0000-0400-000098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404" name="Rectangle 403">
                <a:extLst>
                  <a:ext uri="{FF2B5EF4-FFF2-40B4-BE49-F238E27FC236}">
                    <a16:creationId xmlns:a16="http://schemas.microsoft.com/office/drawing/2014/main" id="{00000000-0008-0000-0400-000094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395" name="Group 394">
              <a:extLst>
                <a:ext uri="{FF2B5EF4-FFF2-40B4-BE49-F238E27FC236}">
                  <a16:creationId xmlns:a16="http://schemas.microsoft.com/office/drawing/2014/main" id="{00000000-0008-0000-0400-00008B01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396" name="Shape 27">
                <a:extLst>
                  <a:ext uri="{FF2B5EF4-FFF2-40B4-BE49-F238E27FC236}">
                    <a16:creationId xmlns:a16="http://schemas.microsoft.com/office/drawing/2014/main" id="{00000000-0008-0000-0400-00008C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7" name="Shape 27">
                <a:extLst>
                  <a:ext uri="{FF2B5EF4-FFF2-40B4-BE49-F238E27FC236}">
                    <a16:creationId xmlns:a16="http://schemas.microsoft.com/office/drawing/2014/main" id="{00000000-0008-0000-0400-00008D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8" name="Shape 26">
                <a:extLst>
                  <a:ext uri="{FF2B5EF4-FFF2-40B4-BE49-F238E27FC236}">
                    <a16:creationId xmlns:a16="http://schemas.microsoft.com/office/drawing/2014/main" id="{00000000-0008-0000-0400-00008E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99" name="Straight Connector 398">
                <a:extLst>
                  <a:ext uri="{FF2B5EF4-FFF2-40B4-BE49-F238E27FC236}">
                    <a16:creationId xmlns:a16="http://schemas.microsoft.com/office/drawing/2014/main" id="{00000000-0008-0000-0400-00008F01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0" name="Straight Connector 399">
                <a:extLst>
                  <a:ext uri="{FF2B5EF4-FFF2-40B4-BE49-F238E27FC236}">
                    <a16:creationId xmlns:a16="http://schemas.microsoft.com/office/drawing/2014/main" id="{00000000-0008-0000-0400-00009001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02" name="Rectangle 401">
                <a:extLst>
                  <a:ext uri="{FF2B5EF4-FFF2-40B4-BE49-F238E27FC236}">
                    <a16:creationId xmlns:a16="http://schemas.microsoft.com/office/drawing/2014/main" id="{00000000-0008-0000-0400-000092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79" name="Group 378">
            <a:extLst>
              <a:ext uri="{FF2B5EF4-FFF2-40B4-BE49-F238E27FC236}">
                <a16:creationId xmlns:a16="http://schemas.microsoft.com/office/drawing/2014/main" id="{00000000-0008-0000-0400-00007B01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387" name="Group 386">
              <a:extLst>
                <a:ext uri="{FF2B5EF4-FFF2-40B4-BE49-F238E27FC236}">
                  <a16:creationId xmlns:a16="http://schemas.microsoft.com/office/drawing/2014/main" id="{00000000-0008-0000-0400-00008301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391" name="Shape 27">
                <a:extLst>
                  <a:ext uri="{FF2B5EF4-FFF2-40B4-BE49-F238E27FC236}">
                    <a16:creationId xmlns:a16="http://schemas.microsoft.com/office/drawing/2014/main" id="{00000000-0008-0000-0400-00008701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2" name="Shape 27">
                <a:extLst>
                  <a:ext uri="{FF2B5EF4-FFF2-40B4-BE49-F238E27FC236}">
                    <a16:creationId xmlns:a16="http://schemas.microsoft.com/office/drawing/2014/main" id="{00000000-0008-0000-0400-00008801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3" name="Shape 26">
                <a:extLst>
                  <a:ext uri="{FF2B5EF4-FFF2-40B4-BE49-F238E27FC236}">
                    <a16:creationId xmlns:a16="http://schemas.microsoft.com/office/drawing/2014/main" id="{00000000-0008-0000-0400-00008901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90" name="Straight Connector 389">
              <a:extLst>
                <a:ext uri="{FF2B5EF4-FFF2-40B4-BE49-F238E27FC236}">
                  <a16:creationId xmlns:a16="http://schemas.microsoft.com/office/drawing/2014/main" id="{00000000-0008-0000-0400-00008601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81" name="Straight Connector 380">
            <a:extLst>
              <a:ext uri="{FF2B5EF4-FFF2-40B4-BE49-F238E27FC236}">
                <a16:creationId xmlns:a16="http://schemas.microsoft.com/office/drawing/2014/main" id="{00000000-0008-0000-0400-00007D010000}"/>
              </a:ext>
            </a:extLst>
          </xdr:cNvPr>
          <xdr:cNvCxnSpPr/>
        </xdr:nvCxnSpPr>
        <xdr:spPr>
          <a:xfrm>
            <a:off x="2870513" y="8100298"/>
            <a:ext cx="0" cy="60947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4" name="hehe">
            <a:extLst>
              <a:ext uri="{FF2B5EF4-FFF2-40B4-BE49-F238E27FC236}">
                <a16:creationId xmlns:a16="http://schemas.microsoft.com/office/drawing/2014/main" id="{00000000-0008-0000-0400-00008001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25</xdr:col>
      <xdr:colOff>184623</xdr:colOff>
      <xdr:row>14</xdr:row>
      <xdr:rowOff>122410</xdr:rowOff>
    </xdr:from>
    <xdr:to>
      <xdr:col>33</xdr:col>
      <xdr:colOff>113115</xdr:colOff>
      <xdr:row>52</xdr:row>
      <xdr:rowOff>68314</xdr:rowOff>
    </xdr:to>
    <xdr:grpSp>
      <xdr:nvGrpSpPr>
        <xdr:cNvPr id="409" name="ExtraArray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GrpSpPr/>
      </xdr:nvGrpSpPr>
      <xdr:grpSpPr>
        <a:xfrm>
          <a:off x="6534623" y="2967210"/>
          <a:ext cx="1960492" cy="7667504"/>
          <a:chOff x="2371806" y="3516835"/>
          <a:chExt cx="1956811" cy="7978355"/>
        </a:xfrm>
      </xdr:grpSpPr>
      <xdr:grpSp>
        <xdr:nvGrpSpPr>
          <xdr:cNvPr id="420" name="Group 419">
            <a:extLst>
              <a:ext uri="{FF2B5EF4-FFF2-40B4-BE49-F238E27FC236}">
                <a16:creationId xmlns:a16="http://schemas.microsoft.com/office/drawing/2014/main" id="{00000000-0008-0000-0400-0000A4010000}"/>
              </a:ext>
            </a:extLst>
          </xdr:cNvPr>
          <xdr:cNvGrpSpPr/>
        </xdr:nvGrpSpPr>
        <xdr:grpSpPr>
          <a:xfrm>
            <a:off x="2415698" y="11010818"/>
            <a:ext cx="1912919" cy="484372"/>
            <a:chOff x="5957660" y="6469460"/>
            <a:chExt cx="1865135" cy="485287"/>
          </a:xfrm>
        </xdr:grpSpPr>
        <xdr:sp macro="" textlink="">
          <xdr:nvSpPr>
            <xdr:cNvPr id="421" name="Shape 27">
              <a:extLst>
                <a:ext uri="{FF2B5EF4-FFF2-40B4-BE49-F238E27FC236}">
                  <a16:creationId xmlns:a16="http://schemas.microsoft.com/office/drawing/2014/main" id="{00000000-0008-0000-0400-0000A5010000}"/>
                </a:ext>
              </a:extLst>
            </xdr:cNvPr>
            <xdr:cNvSpPr/>
          </xdr:nvSpPr>
          <xdr:spPr>
            <a:xfrm>
              <a:off x="6975466" y="6716542"/>
              <a:ext cx="81180" cy="8463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22" name="Shape 27">
              <a:extLst>
                <a:ext uri="{FF2B5EF4-FFF2-40B4-BE49-F238E27FC236}">
                  <a16:creationId xmlns:a16="http://schemas.microsoft.com/office/drawing/2014/main" id="{00000000-0008-0000-0400-0000A6010000}"/>
                </a:ext>
              </a:extLst>
            </xdr:cNvPr>
            <xdr:cNvSpPr/>
          </xdr:nvSpPr>
          <xdr:spPr>
            <a:xfrm>
              <a:off x="7385664" y="6714697"/>
              <a:ext cx="80343" cy="8376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23" name="Shape 26">
              <a:extLst>
                <a:ext uri="{FF2B5EF4-FFF2-40B4-BE49-F238E27FC236}">
                  <a16:creationId xmlns:a16="http://schemas.microsoft.com/office/drawing/2014/main" id="{00000000-0008-0000-0400-0000A7010000}"/>
                </a:ext>
              </a:extLst>
            </xdr:cNvPr>
            <xdr:cNvSpPr/>
          </xdr:nvSpPr>
          <xdr:spPr>
            <a:xfrm flipH="1" flipV="1">
              <a:off x="7101962" y="6571814"/>
              <a:ext cx="295425" cy="18045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4" name="Straight Connector 423">
              <a:extLst>
                <a:ext uri="{FF2B5EF4-FFF2-40B4-BE49-F238E27FC236}">
                  <a16:creationId xmlns:a16="http://schemas.microsoft.com/office/drawing/2014/main" id="{00000000-0008-0000-0400-0000A8010000}"/>
                </a:ext>
              </a:extLst>
            </xdr:cNvPr>
            <xdr:cNvCxnSpPr/>
          </xdr:nvCxnSpPr>
          <xdr:spPr>
            <a:xfrm flipH="1">
              <a:off x="5957660" y="6762540"/>
              <a:ext cx="1018044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5" name="Straight Connector 424">
              <a:extLst>
                <a:ext uri="{FF2B5EF4-FFF2-40B4-BE49-F238E27FC236}">
                  <a16:creationId xmlns:a16="http://schemas.microsoft.com/office/drawing/2014/main" id="{00000000-0008-0000-0400-0000A9010000}"/>
                </a:ext>
              </a:extLst>
            </xdr:cNvPr>
            <xdr:cNvCxnSpPr/>
          </xdr:nvCxnSpPr>
          <xdr:spPr>
            <a:xfrm flipH="1">
              <a:off x="7471920" y="6756545"/>
              <a:ext cx="350875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6" name="Rectangle 425">
              <a:extLst>
                <a:ext uri="{FF2B5EF4-FFF2-40B4-BE49-F238E27FC236}">
                  <a16:creationId xmlns:a16="http://schemas.microsoft.com/office/drawing/2014/main" id="{00000000-0008-0000-0400-0000AA010000}"/>
                </a:ext>
              </a:extLst>
            </xdr:cNvPr>
            <xdr:cNvSpPr/>
          </xdr:nvSpPr>
          <xdr:spPr>
            <a:xfrm>
              <a:off x="6866438" y="6469460"/>
              <a:ext cx="668597" cy="485287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411" name="Group 410">
            <a:extLst>
              <a:ext uri="{FF2B5EF4-FFF2-40B4-BE49-F238E27FC236}">
                <a16:creationId xmlns:a16="http://schemas.microsoft.com/office/drawing/2014/main" id="{00000000-0008-0000-0400-00009B010000}"/>
              </a:ext>
            </a:extLst>
          </xdr:cNvPr>
          <xdr:cNvGrpSpPr/>
        </xdr:nvGrpSpPr>
        <xdr:grpSpPr>
          <a:xfrm>
            <a:off x="2371806" y="5135238"/>
            <a:ext cx="269229" cy="6168161"/>
            <a:chOff x="3740790" y="4635668"/>
            <a:chExt cx="275792" cy="6128789"/>
          </a:xfrm>
        </xdr:grpSpPr>
        <xdr:grpSp>
          <xdr:nvGrpSpPr>
            <xdr:cNvPr id="414" name="Group 413">
              <a:extLst>
                <a:ext uri="{FF2B5EF4-FFF2-40B4-BE49-F238E27FC236}">
                  <a16:creationId xmlns:a16="http://schemas.microsoft.com/office/drawing/2014/main" id="{00000000-0008-0000-0400-00009E010000}"/>
                </a:ext>
              </a:extLst>
            </xdr:cNvPr>
            <xdr:cNvGrpSpPr/>
          </xdr:nvGrpSpPr>
          <xdr:grpSpPr>
            <a:xfrm>
              <a:off x="3740790" y="4635668"/>
              <a:ext cx="275792" cy="318558"/>
              <a:chOff x="3740790" y="4635668"/>
              <a:chExt cx="275792" cy="318558"/>
            </a:xfrm>
          </xdr:grpSpPr>
          <xdr:sp macro="" textlink="">
            <xdr:nvSpPr>
              <xdr:cNvPr id="416" name="Shape 27">
                <a:extLst>
                  <a:ext uri="{FF2B5EF4-FFF2-40B4-BE49-F238E27FC236}">
                    <a16:creationId xmlns:a16="http://schemas.microsoft.com/office/drawing/2014/main" id="{00000000-0008-0000-0400-0000A0010000}"/>
                  </a:ext>
                </a:extLst>
              </xdr:cNvPr>
              <xdr:cNvSpPr/>
            </xdr:nvSpPr>
            <xdr:spPr>
              <a:xfrm>
                <a:off x="3740790" y="463566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17" name="Shape 27">
                <a:extLst>
                  <a:ext uri="{FF2B5EF4-FFF2-40B4-BE49-F238E27FC236}">
                    <a16:creationId xmlns:a16="http://schemas.microsoft.com/office/drawing/2014/main" id="{00000000-0008-0000-0400-0000A1010000}"/>
                  </a:ext>
                </a:extLst>
              </xdr:cNvPr>
              <xdr:cNvSpPr/>
            </xdr:nvSpPr>
            <xdr:spPr>
              <a:xfrm>
                <a:off x="3741633" y="485453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18" name="Shape 26">
                <a:extLst>
                  <a:ext uri="{FF2B5EF4-FFF2-40B4-BE49-F238E27FC236}">
                    <a16:creationId xmlns:a16="http://schemas.microsoft.com/office/drawing/2014/main" id="{00000000-0008-0000-0400-0000A2010000}"/>
                  </a:ext>
                </a:extLst>
              </xdr:cNvPr>
              <xdr:cNvSpPr/>
            </xdr:nvSpPr>
            <xdr:spPr>
              <a:xfrm flipH="1">
                <a:off x="3803883" y="4668189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415" name="Straight Connector 414">
              <a:extLst>
                <a:ext uri="{FF2B5EF4-FFF2-40B4-BE49-F238E27FC236}">
                  <a16:creationId xmlns:a16="http://schemas.microsoft.com/office/drawing/2014/main" id="{00000000-0008-0000-0400-00009F010000}"/>
                </a:ext>
              </a:extLst>
            </xdr:cNvPr>
            <xdr:cNvCxnSpPr/>
          </xdr:nvCxnSpPr>
          <xdr:spPr>
            <a:xfrm>
              <a:off x="3776449" y="4967549"/>
              <a:ext cx="0" cy="579690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12" name="Straight Connector 411">
            <a:extLst>
              <a:ext uri="{FF2B5EF4-FFF2-40B4-BE49-F238E27FC236}">
                <a16:creationId xmlns:a16="http://schemas.microsoft.com/office/drawing/2014/main" id="{00000000-0008-0000-0400-00009C010000}"/>
              </a:ext>
            </a:extLst>
          </xdr:cNvPr>
          <xdr:cNvCxnSpPr/>
        </xdr:nvCxnSpPr>
        <xdr:spPr>
          <a:xfrm>
            <a:off x="2400708" y="3516835"/>
            <a:ext cx="0" cy="161621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103978</xdr:colOff>
      <xdr:row>16</xdr:row>
      <xdr:rowOff>34436</xdr:rowOff>
    </xdr:from>
    <xdr:to>
      <xdr:col>26</xdr:col>
      <xdr:colOff>104472</xdr:colOff>
      <xdr:row>17</xdr:row>
      <xdr:rowOff>15803</xdr:rowOff>
    </xdr:to>
    <xdr:cxnSp macro="">
      <xdr:nvCxnSpPr>
        <xdr:cNvPr id="434" name="Straight Connector 433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CxnSpPr/>
      </xdr:nvCxnSpPr>
      <xdr:spPr>
        <a:xfrm flipH="1">
          <a:off x="6453978" y="3285636"/>
          <a:ext cx="254494" cy="18456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249780</xdr:colOff>
      <xdr:row>39</xdr:row>
      <xdr:rowOff>167316</xdr:rowOff>
    </xdr:from>
    <xdr:to>
      <xdr:col>54</xdr:col>
      <xdr:colOff>77626</xdr:colOff>
      <xdr:row>58</xdr:row>
      <xdr:rowOff>55556</xdr:rowOff>
    </xdr:to>
    <xdr:sp macro="" textlink="">
      <xdr:nvSpPr>
        <xdr:cNvPr id="289" name="Dash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/>
      </xdr:nvSpPr>
      <xdr:spPr>
        <a:xfrm>
          <a:off x="8377780" y="8092116"/>
          <a:ext cx="5446326" cy="3749040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33</xdr:col>
      <xdr:colOff>120202</xdr:colOff>
      <xdr:row>46</xdr:row>
      <xdr:rowOff>132080</xdr:rowOff>
    </xdr:from>
    <xdr:to>
      <xdr:col>41</xdr:col>
      <xdr:colOff>196518</xdr:colOff>
      <xdr:row>55</xdr:row>
      <xdr:rowOff>82548</xdr:rowOff>
    </xdr:to>
    <xdr:grpSp>
      <xdr:nvGrpSpPr>
        <xdr:cNvPr id="290" name="Group 289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GrpSpPr/>
      </xdr:nvGrpSpPr>
      <xdr:grpSpPr>
        <a:xfrm>
          <a:off x="8502202" y="9479280"/>
          <a:ext cx="2159116" cy="1779268"/>
          <a:chOff x="8419329" y="6896468"/>
          <a:chExt cx="2600452" cy="2754628"/>
        </a:xfrm>
      </xdr:grpSpPr>
      <xdr:grpSp>
        <xdr:nvGrpSpPr>
          <xdr:cNvPr id="293" name="Group 292">
            <a:extLst>
              <a:ext uri="{FF2B5EF4-FFF2-40B4-BE49-F238E27FC236}">
                <a16:creationId xmlns:a16="http://schemas.microsoft.com/office/drawing/2014/main" id="{00000000-0008-0000-0400-000025010000}"/>
              </a:ext>
            </a:extLst>
          </xdr:cNvPr>
          <xdr:cNvGrpSpPr/>
        </xdr:nvGrpSpPr>
        <xdr:grpSpPr>
          <a:xfrm>
            <a:off x="8419329" y="6896468"/>
            <a:ext cx="996893" cy="2754628"/>
            <a:chOff x="5588000" y="4800600"/>
            <a:chExt cx="762000" cy="1270001"/>
          </a:xfrm>
        </xdr:grpSpPr>
        <xdr:grpSp>
          <xdr:nvGrpSpPr>
            <xdr:cNvPr id="410" name="Group 409">
              <a:extLst>
                <a:ext uri="{FF2B5EF4-FFF2-40B4-BE49-F238E27FC236}">
                  <a16:creationId xmlns:a16="http://schemas.microsoft.com/office/drawing/2014/main" id="{00000000-0008-0000-0400-00009A010000}"/>
                </a:ext>
              </a:extLst>
            </xdr:cNvPr>
            <xdr:cNvGrpSpPr/>
          </xdr:nvGrpSpPr>
          <xdr:grpSpPr>
            <a:xfrm>
              <a:off x="5600699" y="4813301"/>
              <a:ext cx="736601" cy="1257300"/>
              <a:chOff x="5600699" y="4813301"/>
              <a:chExt cx="736601" cy="1257300"/>
            </a:xfrm>
          </xdr:grpSpPr>
          <xdr:sp macro="" textlink="">
            <xdr:nvSpPr>
              <xdr:cNvPr id="419" name="Shape 5">
                <a:extLst>
                  <a:ext uri="{FF2B5EF4-FFF2-40B4-BE49-F238E27FC236}">
                    <a16:creationId xmlns:a16="http://schemas.microsoft.com/office/drawing/2014/main" id="{00000000-0008-0000-0400-0000A3010000}"/>
                  </a:ext>
                </a:extLst>
              </xdr:cNvPr>
              <xdr:cNvSpPr/>
            </xdr:nvSpPr>
            <xdr:spPr>
              <a:xfrm>
                <a:off x="5600699" y="4813301"/>
                <a:ext cx="736601" cy="12573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7" name="Shape 6">
                <a:extLst>
                  <a:ext uri="{FF2B5EF4-FFF2-40B4-BE49-F238E27FC236}">
                    <a16:creationId xmlns:a16="http://schemas.microsoft.com/office/drawing/2014/main" id="{00000000-0008-0000-0400-0000AB010000}"/>
                  </a:ext>
                </a:extLst>
              </xdr:cNvPr>
              <xdr:cNvSpPr/>
            </xdr:nvSpPr>
            <xdr:spPr>
              <a:xfrm>
                <a:off x="6027997" y="4938868"/>
                <a:ext cx="212482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8" name="Shape 7">
                <a:extLst>
                  <a:ext uri="{FF2B5EF4-FFF2-40B4-BE49-F238E27FC236}">
                    <a16:creationId xmlns:a16="http://schemas.microsoft.com/office/drawing/2014/main" id="{00000000-0008-0000-0400-0000AC010000}"/>
                  </a:ext>
                </a:extLst>
              </xdr:cNvPr>
              <xdr:cNvSpPr/>
            </xdr:nvSpPr>
            <xdr:spPr>
              <a:xfrm>
                <a:off x="6018472" y="5050734"/>
                <a:ext cx="222007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9" name="Shape 8">
                <a:extLst>
                  <a:ext uri="{FF2B5EF4-FFF2-40B4-BE49-F238E27FC236}">
                    <a16:creationId xmlns:a16="http://schemas.microsoft.com/office/drawing/2014/main" id="{00000000-0008-0000-0400-0000AD010000}"/>
                  </a:ext>
                </a:extLst>
              </xdr:cNvPr>
              <xdr:cNvSpPr/>
            </xdr:nvSpPr>
            <xdr:spPr>
              <a:xfrm>
                <a:off x="5716328" y="5742770"/>
                <a:ext cx="202957" cy="171450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400-00009D010000}"/>
                </a:ext>
              </a:extLst>
            </xdr:cNvPr>
            <xdr:cNvSpPr/>
          </xdr:nvSpPr>
          <xdr:spPr>
            <a:xfrm>
              <a:off x="5588000" y="4800600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323" name="Group 322">
            <a:extLst>
              <a:ext uri="{FF2B5EF4-FFF2-40B4-BE49-F238E27FC236}">
                <a16:creationId xmlns:a16="http://schemas.microsoft.com/office/drawing/2014/main" id="{00000000-0008-0000-0400-000043010000}"/>
              </a:ext>
            </a:extLst>
          </xdr:cNvPr>
          <xdr:cNvGrpSpPr/>
        </xdr:nvGrpSpPr>
        <xdr:grpSpPr>
          <a:xfrm>
            <a:off x="9884485" y="6912966"/>
            <a:ext cx="521438" cy="839837"/>
            <a:chOff x="8312729" y="2242252"/>
            <a:chExt cx="516507" cy="808182"/>
          </a:xfrm>
        </xdr:grpSpPr>
        <xdr:grpSp>
          <xdr:nvGrpSpPr>
            <xdr:cNvPr id="355" name="Group 354">
              <a:extLst>
                <a:ext uri="{FF2B5EF4-FFF2-40B4-BE49-F238E27FC236}">
                  <a16:creationId xmlns:a16="http://schemas.microsoft.com/office/drawing/2014/main" id="{00000000-0008-0000-0400-000063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357" name="Shape 9">
                <a:extLst>
                  <a:ext uri="{FF2B5EF4-FFF2-40B4-BE49-F238E27FC236}">
                    <a16:creationId xmlns:a16="http://schemas.microsoft.com/office/drawing/2014/main" id="{00000000-0008-0000-0400-000065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8" name="Shape 38">
                <a:extLst>
                  <a:ext uri="{FF2B5EF4-FFF2-40B4-BE49-F238E27FC236}">
                    <a16:creationId xmlns:a16="http://schemas.microsoft.com/office/drawing/2014/main" id="{00000000-0008-0000-0400-000066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6" name="Shape 39">
                <a:extLst>
                  <a:ext uri="{FF2B5EF4-FFF2-40B4-BE49-F238E27FC236}">
                    <a16:creationId xmlns:a16="http://schemas.microsoft.com/office/drawing/2014/main" id="{00000000-0008-0000-0400-00006E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7" name="Shape 13">
                <a:extLst>
                  <a:ext uri="{FF2B5EF4-FFF2-40B4-BE49-F238E27FC236}">
                    <a16:creationId xmlns:a16="http://schemas.microsoft.com/office/drawing/2014/main" id="{00000000-0008-0000-0400-00006F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8" name="Shape 37">
                <a:extLst>
                  <a:ext uri="{FF2B5EF4-FFF2-40B4-BE49-F238E27FC236}">
                    <a16:creationId xmlns:a16="http://schemas.microsoft.com/office/drawing/2014/main" id="{00000000-0008-0000-0400-000070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0" name="Shape 9">
                <a:extLst>
                  <a:ext uri="{FF2B5EF4-FFF2-40B4-BE49-F238E27FC236}">
                    <a16:creationId xmlns:a16="http://schemas.microsoft.com/office/drawing/2014/main" id="{00000000-0008-0000-0400-000072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1" name="Shape 9">
                <a:extLst>
                  <a:ext uri="{FF2B5EF4-FFF2-40B4-BE49-F238E27FC236}">
                    <a16:creationId xmlns:a16="http://schemas.microsoft.com/office/drawing/2014/main" id="{00000000-0008-0000-0400-000073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4" name="Shape 9">
                <a:extLst>
                  <a:ext uri="{FF2B5EF4-FFF2-40B4-BE49-F238E27FC236}">
                    <a16:creationId xmlns:a16="http://schemas.microsoft.com/office/drawing/2014/main" id="{00000000-0008-0000-0400-000076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56" name="Rectangle 355">
              <a:extLst>
                <a:ext uri="{FF2B5EF4-FFF2-40B4-BE49-F238E27FC236}">
                  <a16:creationId xmlns:a16="http://schemas.microsoft.com/office/drawing/2014/main" id="{00000000-0008-0000-0400-000064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325" name="Straight Connector 324">
            <a:extLst>
              <a:ext uri="{FF2B5EF4-FFF2-40B4-BE49-F238E27FC236}">
                <a16:creationId xmlns:a16="http://schemas.microsoft.com/office/drawing/2014/main" id="{00000000-0008-0000-0400-000045010000}"/>
              </a:ext>
            </a:extLst>
          </xdr:cNvPr>
          <xdr:cNvCxnSpPr/>
        </xdr:nvCxnSpPr>
        <xdr:spPr>
          <a:xfrm flipH="1">
            <a:off x="10318691" y="7289385"/>
            <a:ext cx="646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6" name="Straight Connector 325">
            <a:extLst>
              <a:ext uri="{FF2B5EF4-FFF2-40B4-BE49-F238E27FC236}">
                <a16:creationId xmlns:a16="http://schemas.microsoft.com/office/drawing/2014/main" id="{00000000-0008-0000-0400-000046010000}"/>
              </a:ext>
            </a:extLst>
          </xdr:cNvPr>
          <xdr:cNvCxnSpPr/>
        </xdr:nvCxnSpPr>
        <xdr:spPr>
          <a:xfrm flipH="1">
            <a:off x="10319049" y="7510096"/>
            <a:ext cx="65846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1" name="Straight Connector 330">
            <a:extLst>
              <a:ext uri="{FF2B5EF4-FFF2-40B4-BE49-F238E27FC236}">
                <a16:creationId xmlns:a16="http://schemas.microsoft.com/office/drawing/2014/main" id="{00000000-0008-0000-0400-00004B010000}"/>
              </a:ext>
            </a:extLst>
          </xdr:cNvPr>
          <xdr:cNvCxnSpPr/>
        </xdr:nvCxnSpPr>
        <xdr:spPr>
          <a:xfrm flipH="1">
            <a:off x="9413893" y="7492565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4" name="Straight Connector 333">
            <a:extLst>
              <a:ext uri="{FF2B5EF4-FFF2-40B4-BE49-F238E27FC236}">
                <a16:creationId xmlns:a16="http://schemas.microsoft.com/office/drawing/2014/main" id="{00000000-0008-0000-0400-00004E010000}"/>
              </a:ext>
            </a:extLst>
          </xdr:cNvPr>
          <xdr:cNvCxnSpPr/>
        </xdr:nvCxnSpPr>
        <xdr:spPr>
          <a:xfrm flipH="1">
            <a:off x="9405307" y="7290460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340" name="Group 339">
            <a:extLst>
              <a:ext uri="{FF2B5EF4-FFF2-40B4-BE49-F238E27FC236}">
                <a16:creationId xmlns:a16="http://schemas.microsoft.com/office/drawing/2014/main" id="{00000000-0008-0000-0400-000054010000}"/>
              </a:ext>
            </a:extLst>
          </xdr:cNvPr>
          <xdr:cNvGrpSpPr/>
        </xdr:nvGrpSpPr>
        <xdr:grpSpPr>
          <a:xfrm>
            <a:off x="9902730" y="8722441"/>
            <a:ext cx="521438" cy="837332"/>
            <a:chOff x="8312729" y="2242252"/>
            <a:chExt cx="516507" cy="808182"/>
          </a:xfrm>
        </xdr:grpSpPr>
        <xdr:grpSp>
          <xdr:nvGrpSpPr>
            <xdr:cNvPr id="345" name="Group 344">
              <a:extLst>
                <a:ext uri="{FF2B5EF4-FFF2-40B4-BE49-F238E27FC236}">
                  <a16:creationId xmlns:a16="http://schemas.microsoft.com/office/drawing/2014/main" id="{00000000-0008-0000-0400-000059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347" name="Shape 9">
                <a:extLst>
                  <a:ext uri="{FF2B5EF4-FFF2-40B4-BE49-F238E27FC236}">
                    <a16:creationId xmlns:a16="http://schemas.microsoft.com/office/drawing/2014/main" id="{00000000-0008-0000-0400-00005B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48" name="Shape 38">
                <a:extLst>
                  <a:ext uri="{FF2B5EF4-FFF2-40B4-BE49-F238E27FC236}">
                    <a16:creationId xmlns:a16="http://schemas.microsoft.com/office/drawing/2014/main" id="{00000000-0008-0000-0400-00005C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49" name="Shape 39">
                <a:extLst>
                  <a:ext uri="{FF2B5EF4-FFF2-40B4-BE49-F238E27FC236}">
                    <a16:creationId xmlns:a16="http://schemas.microsoft.com/office/drawing/2014/main" id="{00000000-0008-0000-0400-00005D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0" name="Shape 13">
                <a:extLst>
                  <a:ext uri="{FF2B5EF4-FFF2-40B4-BE49-F238E27FC236}">
                    <a16:creationId xmlns:a16="http://schemas.microsoft.com/office/drawing/2014/main" id="{00000000-0008-0000-0400-00005E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1" name="Shape 37">
                <a:extLst>
                  <a:ext uri="{FF2B5EF4-FFF2-40B4-BE49-F238E27FC236}">
                    <a16:creationId xmlns:a16="http://schemas.microsoft.com/office/drawing/2014/main" id="{00000000-0008-0000-0400-00005F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2" name="Shape 9">
                <a:extLst>
                  <a:ext uri="{FF2B5EF4-FFF2-40B4-BE49-F238E27FC236}">
                    <a16:creationId xmlns:a16="http://schemas.microsoft.com/office/drawing/2014/main" id="{00000000-0008-0000-0400-000060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3" name="Shape 9">
                <a:extLst>
                  <a:ext uri="{FF2B5EF4-FFF2-40B4-BE49-F238E27FC236}">
                    <a16:creationId xmlns:a16="http://schemas.microsoft.com/office/drawing/2014/main" id="{00000000-0008-0000-0400-000061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4" name="Shape 9">
                <a:extLst>
                  <a:ext uri="{FF2B5EF4-FFF2-40B4-BE49-F238E27FC236}">
                    <a16:creationId xmlns:a16="http://schemas.microsoft.com/office/drawing/2014/main" id="{00000000-0008-0000-0400-000062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46" name="Rectangle 345">
              <a:extLst>
                <a:ext uri="{FF2B5EF4-FFF2-40B4-BE49-F238E27FC236}">
                  <a16:creationId xmlns:a16="http://schemas.microsoft.com/office/drawing/2014/main" id="{00000000-0008-0000-0400-00005A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341" name="Straight Connector 340">
            <a:extLst>
              <a:ext uri="{FF2B5EF4-FFF2-40B4-BE49-F238E27FC236}">
                <a16:creationId xmlns:a16="http://schemas.microsoft.com/office/drawing/2014/main" id="{00000000-0008-0000-0400-000055010000}"/>
              </a:ext>
            </a:extLst>
          </xdr:cNvPr>
          <xdr:cNvCxnSpPr/>
        </xdr:nvCxnSpPr>
        <xdr:spPr>
          <a:xfrm flipH="1">
            <a:off x="9417197" y="9316981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2" name="Straight Connector 341">
            <a:extLst>
              <a:ext uri="{FF2B5EF4-FFF2-40B4-BE49-F238E27FC236}">
                <a16:creationId xmlns:a16="http://schemas.microsoft.com/office/drawing/2014/main" id="{00000000-0008-0000-0400-000056010000}"/>
              </a:ext>
            </a:extLst>
          </xdr:cNvPr>
          <xdr:cNvCxnSpPr/>
        </xdr:nvCxnSpPr>
        <xdr:spPr>
          <a:xfrm flipH="1">
            <a:off x="9423552" y="9100669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3" name="Straight Connector 342">
            <a:extLst>
              <a:ext uri="{FF2B5EF4-FFF2-40B4-BE49-F238E27FC236}">
                <a16:creationId xmlns:a16="http://schemas.microsoft.com/office/drawing/2014/main" id="{00000000-0008-0000-0400-000057010000}"/>
              </a:ext>
            </a:extLst>
          </xdr:cNvPr>
          <xdr:cNvCxnSpPr/>
        </xdr:nvCxnSpPr>
        <xdr:spPr>
          <a:xfrm flipH="1">
            <a:off x="10334080" y="9303134"/>
            <a:ext cx="68570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4" name="Straight Connector 343">
            <a:extLst>
              <a:ext uri="{FF2B5EF4-FFF2-40B4-BE49-F238E27FC236}">
                <a16:creationId xmlns:a16="http://schemas.microsoft.com/office/drawing/2014/main" id="{00000000-0008-0000-0400-000058010000}"/>
              </a:ext>
            </a:extLst>
          </xdr:cNvPr>
          <xdr:cNvCxnSpPr/>
        </xdr:nvCxnSpPr>
        <xdr:spPr>
          <a:xfrm flipH="1">
            <a:off x="10343024" y="9101029"/>
            <a:ext cx="65994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41</xdr:col>
      <xdr:colOff>113304</xdr:colOff>
      <xdr:row>52</xdr:row>
      <xdr:rowOff>85255</xdr:rowOff>
    </xdr:from>
    <xdr:to>
      <xdr:col>42</xdr:col>
      <xdr:colOff>198986</xdr:colOff>
      <xdr:row>55</xdr:row>
      <xdr:rowOff>45261</xdr:rowOff>
    </xdr:to>
    <xdr:grpSp>
      <xdr:nvGrpSpPr>
        <xdr:cNvPr id="430" name="Group 429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GrpSpPr/>
      </xdr:nvGrpSpPr>
      <xdr:grpSpPr>
        <a:xfrm>
          <a:off x="10578104" y="10651655"/>
          <a:ext cx="365082" cy="569606"/>
          <a:chOff x="8312729" y="2242252"/>
          <a:chExt cx="516507" cy="808182"/>
        </a:xfrm>
      </xdr:grpSpPr>
      <xdr:grpSp>
        <xdr:nvGrpSpPr>
          <xdr:cNvPr id="431" name="Group 430">
            <a:extLst>
              <a:ext uri="{FF2B5EF4-FFF2-40B4-BE49-F238E27FC236}">
                <a16:creationId xmlns:a16="http://schemas.microsoft.com/office/drawing/2014/main" id="{00000000-0008-0000-0400-0000AF01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433" name="Shape 9">
              <a:extLst>
                <a:ext uri="{FF2B5EF4-FFF2-40B4-BE49-F238E27FC236}">
                  <a16:creationId xmlns:a16="http://schemas.microsoft.com/office/drawing/2014/main" id="{00000000-0008-0000-0400-0000B101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5" name="Shape 38">
              <a:extLst>
                <a:ext uri="{FF2B5EF4-FFF2-40B4-BE49-F238E27FC236}">
                  <a16:creationId xmlns:a16="http://schemas.microsoft.com/office/drawing/2014/main" id="{00000000-0008-0000-0400-0000B301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6" name="Shape 39">
              <a:extLst>
                <a:ext uri="{FF2B5EF4-FFF2-40B4-BE49-F238E27FC236}">
                  <a16:creationId xmlns:a16="http://schemas.microsoft.com/office/drawing/2014/main" id="{00000000-0008-0000-0400-0000B401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7" name="Shape 13">
              <a:extLst>
                <a:ext uri="{FF2B5EF4-FFF2-40B4-BE49-F238E27FC236}">
                  <a16:creationId xmlns:a16="http://schemas.microsoft.com/office/drawing/2014/main" id="{00000000-0008-0000-0400-0000B501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8" name="Shape 37">
              <a:extLst>
                <a:ext uri="{FF2B5EF4-FFF2-40B4-BE49-F238E27FC236}">
                  <a16:creationId xmlns:a16="http://schemas.microsoft.com/office/drawing/2014/main" id="{00000000-0008-0000-0400-0000B601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9" name="Shape 9">
              <a:extLst>
                <a:ext uri="{FF2B5EF4-FFF2-40B4-BE49-F238E27FC236}">
                  <a16:creationId xmlns:a16="http://schemas.microsoft.com/office/drawing/2014/main" id="{00000000-0008-0000-0400-0000B701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40" name="Shape 9">
              <a:extLst>
                <a:ext uri="{FF2B5EF4-FFF2-40B4-BE49-F238E27FC236}">
                  <a16:creationId xmlns:a16="http://schemas.microsoft.com/office/drawing/2014/main" id="{00000000-0008-0000-0400-0000B801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41" name="Shape 9">
              <a:extLst>
                <a:ext uri="{FF2B5EF4-FFF2-40B4-BE49-F238E27FC236}">
                  <a16:creationId xmlns:a16="http://schemas.microsoft.com/office/drawing/2014/main" id="{00000000-0008-0000-0400-0000B901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432" name="Rectangle 431">
            <a:extLst>
              <a:ext uri="{FF2B5EF4-FFF2-40B4-BE49-F238E27FC236}">
                <a16:creationId xmlns:a16="http://schemas.microsoft.com/office/drawing/2014/main" id="{00000000-0008-0000-0400-0000B001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42</xdr:col>
      <xdr:colOff>111837</xdr:colOff>
      <xdr:row>52</xdr:row>
      <xdr:rowOff>60961</xdr:rowOff>
    </xdr:from>
    <xdr:to>
      <xdr:col>52</xdr:col>
      <xdr:colOff>30788</xdr:colOff>
      <xdr:row>57</xdr:row>
      <xdr:rowOff>24829</xdr:rowOff>
    </xdr:to>
    <xdr:grpSp>
      <xdr:nvGrpSpPr>
        <xdr:cNvPr id="442" name="Group 441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GrpSpPr/>
      </xdr:nvGrpSpPr>
      <xdr:grpSpPr>
        <a:xfrm>
          <a:off x="10856037" y="10627361"/>
          <a:ext cx="2458951" cy="979868"/>
          <a:chOff x="6865001" y="3624645"/>
          <a:chExt cx="3603023" cy="1387858"/>
        </a:xfrm>
      </xdr:grpSpPr>
      <xdr:grpSp>
        <xdr:nvGrpSpPr>
          <xdr:cNvPr id="443" name="Group 442">
            <a:extLst>
              <a:ext uri="{FF2B5EF4-FFF2-40B4-BE49-F238E27FC236}">
                <a16:creationId xmlns:a16="http://schemas.microsoft.com/office/drawing/2014/main" id="{00000000-0008-0000-0400-0000BB010000}"/>
              </a:ext>
            </a:extLst>
          </xdr:cNvPr>
          <xdr:cNvGrpSpPr/>
        </xdr:nvGrpSpPr>
        <xdr:grpSpPr>
          <a:xfrm>
            <a:off x="8637589" y="3624645"/>
            <a:ext cx="1830435" cy="1387858"/>
            <a:chOff x="8637589" y="3624645"/>
            <a:chExt cx="1830435" cy="1387858"/>
          </a:xfrm>
        </xdr:grpSpPr>
        <xdr:grpSp>
          <xdr:nvGrpSpPr>
            <xdr:cNvPr id="446" name="Group 445">
              <a:extLst>
                <a:ext uri="{FF2B5EF4-FFF2-40B4-BE49-F238E27FC236}">
                  <a16:creationId xmlns:a16="http://schemas.microsoft.com/office/drawing/2014/main" id="{00000000-0008-0000-0400-0000BE010000}"/>
                </a:ext>
              </a:extLst>
            </xdr:cNvPr>
            <xdr:cNvGrpSpPr/>
          </xdr:nvGrpSpPr>
          <xdr:grpSpPr>
            <a:xfrm>
              <a:off x="8637589" y="3624645"/>
              <a:ext cx="1536437" cy="808476"/>
              <a:chOff x="8637589" y="3654424"/>
              <a:chExt cx="1536437" cy="817235"/>
            </a:xfrm>
          </xdr:grpSpPr>
          <xdr:grpSp>
            <xdr:nvGrpSpPr>
              <xdr:cNvPr id="453" name="Group 452">
                <a:extLst>
                  <a:ext uri="{FF2B5EF4-FFF2-40B4-BE49-F238E27FC236}">
                    <a16:creationId xmlns:a16="http://schemas.microsoft.com/office/drawing/2014/main" id="{00000000-0008-0000-0400-0000C5010000}"/>
                  </a:ext>
                </a:extLst>
              </xdr:cNvPr>
              <xdr:cNvGrpSpPr/>
            </xdr:nvGrpSpPr>
            <xdr:grpSpPr>
              <a:xfrm>
                <a:off x="8637589" y="3654424"/>
                <a:ext cx="521025" cy="811443"/>
                <a:chOff x="10048174" y="1594350"/>
                <a:chExt cx="525820" cy="800858"/>
              </a:xfrm>
            </xdr:grpSpPr>
            <xdr:sp macro="" textlink="">
              <xdr:nvSpPr>
                <xdr:cNvPr id="463" name="Shape 46">
                  <a:extLst>
                    <a:ext uri="{FF2B5EF4-FFF2-40B4-BE49-F238E27FC236}">
                      <a16:creationId xmlns:a16="http://schemas.microsoft.com/office/drawing/2014/main" id="{00000000-0008-0000-0400-0000CF010000}"/>
                    </a:ext>
                  </a:extLst>
                </xdr:cNvPr>
                <xdr:cNvSpPr/>
              </xdr:nvSpPr>
              <xdr:spPr>
                <a:xfrm flipH="1" flipV="1">
                  <a:off x="10048175" y="1594350"/>
                  <a:ext cx="254725" cy="29455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64" name="Rectangle 463">
                  <a:extLst>
                    <a:ext uri="{FF2B5EF4-FFF2-40B4-BE49-F238E27FC236}">
                      <a16:creationId xmlns:a16="http://schemas.microsoft.com/office/drawing/2014/main" id="{00000000-0008-0000-0400-0000D0010000}"/>
                    </a:ext>
                  </a:extLst>
                </xdr:cNvPr>
                <xdr:cNvSpPr/>
              </xdr:nvSpPr>
              <xdr:spPr>
                <a:xfrm>
                  <a:off x="10048174" y="159748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465" name="Shape 46">
                  <a:extLst>
                    <a:ext uri="{FF2B5EF4-FFF2-40B4-BE49-F238E27FC236}">
                      <a16:creationId xmlns:a16="http://schemas.microsoft.com/office/drawing/2014/main" id="{00000000-0008-0000-0400-0000D1010000}"/>
                    </a:ext>
                  </a:extLst>
                </xdr:cNvPr>
                <xdr:cNvSpPr/>
              </xdr:nvSpPr>
              <xdr:spPr>
                <a:xfrm rot="5040000" flipH="1" flipV="1">
                  <a:off x="10298614" y="1602768"/>
                  <a:ext cx="264734" cy="2860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454" name="Group 453">
                <a:extLst>
                  <a:ext uri="{FF2B5EF4-FFF2-40B4-BE49-F238E27FC236}">
                    <a16:creationId xmlns:a16="http://schemas.microsoft.com/office/drawing/2014/main" id="{00000000-0008-0000-0400-0000C6010000}"/>
                  </a:ext>
                </a:extLst>
              </xdr:cNvPr>
              <xdr:cNvGrpSpPr/>
            </xdr:nvGrpSpPr>
            <xdr:grpSpPr>
              <a:xfrm>
                <a:off x="9654262" y="3659876"/>
                <a:ext cx="519764" cy="811783"/>
                <a:chOff x="10041786" y="1591243"/>
                <a:chExt cx="522944" cy="797725"/>
              </a:xfrm>
            </xdr:grpSpPr>
            <xdr:sp macro="" textlink="">
              <xdr:nvSpPr>
                <xdr:cNvPr id="460" name="Shape 46">
                  <a:extLst>
                    <a:ext uri="{FF2B5EF4-FFF2-40B4-BE49-F238E27FC236}">
                      <a16:creationId xmlns:a16="http://schemas.microsoft.com/office/drawing/2014/main" id="{00000000-0008-0000-0400-0000CC010000}"/>
                    </a:ext>
                  </a:extLst>
                </xdr:cNvPr>
                <xdr:cNvSpPr/>
              </xdr:nvSpPr>
              <xdr:spPr>
                <a:xfrm flipH="1" flipV="1">
                  <a:off x="10048175" y="1591243"/>
                  <a:ext cx="246889" cy="3004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61" name="Rectangle 460">
                  <a:extLst>
                    <a:ext uri="{FF2B5EF4-FFF2-40B4-BE49-F238E27FC236}">
                      <a16:creationId xmlns:a16="http://schemas.microsoft.com/office/drawing/2014/main" id="{00000000-0008-0000-0400-0000CD010000}"/>
                    </a:ext>
                  </a:extLst>
                </xdr:cNvPr>
                <xdr:cNvSpPr/>
              </xdr:nvSpPr>
              <xdr:spPr>
                <a:xfrm>
                  <a:off x="10041786" y="159124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462" name="Shape 46">
                  <a:extLst>
                    <a:ext uri="{FF2B5EF4-FFF2-40B4-BE49-F238E27FC236}">
                      <a16:creationId xmlns:a16="http://schemas.microsoft.com/office/drawing/2014/main" id="{00000000-0008-0000-0400-0000CE010000}"/>
                    </a:ext>
                  </a:extLst>
                </xdr:cNvPr>
                <xdr:cNvSpPr/>
              </xdr:nvSpPr>
              <xdr:spPr>
                <a:xfrm rot="5040000" flipH="1" flipV="1">
                  <a:off x="10286902" y="1603135"/>
                  <a:ext cx="270716" cy="28494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455" name="Shape 27">
                <a:extLst>
                  <a:ext uri="{FF2B5EF4-FFF2-40B4-BE49-F238E27FC236}">
                    <a16:creationId xmlns:a16="http://schemas.microsoft.com/office/drawing/2014/main" id="{00000000-0008-0000-0400-0000C7010000}"/>
                  </a:ext>
                </a:extLst>
              </xdr:cNvPr>
              <xdr:cNvSpPr/>
            </xdr:nvSpPr>
            <xdr:spPr>
              <a:xfrm>
                <a:off x="9170863" y="4024347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6" name="Shape 27">
                <a:extLst>
                  <a:ext uri="{FF2B5EF4-FFF2-40B4-BE49-F238E27FC236}">
                    <a16:creationId xmlns:a16="http://schemas.microsoft.com/office/drawing/2014/main" id="{00000000-0008-0000-0400-0000C8010000}"/>
                  </a:ext>
                </a:extLst>
              </xdr:cNvPr>
              <xdr:cNvSpPr/>
            </xdr:nvSpPr>
            <xdr:spPr>
              <a:xfrm>
                <a:off x="9283328" y="4024989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8" name="Shape 27">
                <a:extLst>
                  <a:ext uri="{FF2B5EF4-FFF2-40B4-BE49-F238E27FC236}">
                    <a16:creationId xmlns:a16="http://schemas.microsoft.com/office/drawing/2014/main" id="{00000000-0008-0000-0400-0000CA010000}"/>
                  </a:ext>
                </a:extLst>
              </xdr:cNvPr>
              <xdr:cNvSpPr/>
            </xdr:nvSpPr>
            <xdr:spPr>
              <a:xfrm>
                <a:off x="9390981" y="4025631"/>
                <a:ext cx="74425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9" name="Shape 27">
                <a:extLst>
                  <a:ext uri="{FF2B5EF4-FFF2-40B4-BE49-F238E27FC236}">
                    <a16:creationId xmlns:a16="http://schemas.microsoft.com/office/drawing/2014/main" id="{00000000-0008-0000-0400-0000CB010000}"/>
                  </a:ext>
                </a:extLst>
              </xdr:cNvPr>
              <xdr:cNvSpPr/>
            </xdr:nvSpPr>
            <xdr:spPr>
              <a:xfrm>
                <a:off x="9497036" y="4024636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447" name="Elbow Connector 446">
              <a:extLst>
                <a:ext uri="{FF2B5EF4-FFF2-40B4-BE49-F238E27FC236}">
                  <a16:creationId xmlns:a16="http://schemas.microsoft.com/office/drawing/2014/main" id="{00000000-0008-0000-0400-0000BF010000}"/>
                </a:ext>
              </a:extLst>
            </xdr:cNvPr>
            <xdr:cNvCxnSpPr>
              <a:stCxn id="461" idx="3"/>
            </xdr:cNvCxnSpPr>
          </xdr:nvCxnSpPr>
          <xdr:spPr>
            <a:xfrm>
              <a:off x="10162347" y="4031581"/>
              <a:ext cx="305677" cy="980922"/>
            </a:xfrm>
            <a:prstGeom prst="bentConnector2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44" name="Elbow Connector 443">
            <a:extLst>
              <a:ext uri="{FF2B5EF4-FFF2-40B4-BE49-F238E27FC236}">
                <a16:creationId xmlns:a16="http://schemas.microsoft.com/office/drawing/2014/main" id="{00000000-0008-0000-0400-0000BC010000}"/>
              </a:ext>
            </a:extLst>
          </xdr:cNvPr>
          <xdr:cNvCxnSpPr>
            <a:stCxn id="441" idx="0"/>
          </xdr:cNvCxnSpPr>
        </xdr:nvCxnSpPr>
        <xdr:spPr>
          <a:xfrm>
            <a:off x="6865001" y="4226960"/>
            <a:ext cx="3553380" cy="756162"/>
          </a:xfrm>
          <a:prstGeom prst="bentConnector3">
            <a:avLst>
              <a:gd name="adj1" fmla="val 42383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5" name="Straight Connector 444">
            <a:extLst>
              <a:ext uri="{FF2B5EF4-FFF2-40B4-BE49-F238E27FC236}">
                <a16:creationId xmlns:a16="http://schemas.microsoft.com/office/drawing/2014/main" id="{00000000-0008-0000-0400-0000BD010000}"/>
              </a:ext>
            </a:extLst>
          </xdr:cNvPr>
          <xdr:cNvCxnSpPr>
            <a:cxnSpLocks/>
            <a:stCxn id="464" idx="1"/>
          </xdr:cNvCxnSpPr>
        </xdr:nvCxnSpPr>
        <xdr:spPr>
          <a:xfrm flipH="1">
            <a:off x="6900368" y="4027588"/>
            <a:ext cx="173722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41</xdr:col>
      <xdr:colOff>64720</xdr:colOff>
      <xdr:row>46</xdr:row>
      <xdr:rowOff>91439</xdr:rowOff>
    </xdr:from>
    <xdr:to>
      <xdr:col>51</xdr:col>
      <xdr:colOff>250913</xdr:colOff>
      <xdr:row>50</xdr:row>
      <xdr:rowOff>191452</xdr:rowOff>
    </xdr:to>
    <xdr:grpSp>
      <xdr:nvGrpSpPr>
        <xdr:cNvPr id="466" name="Group 465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GrpSpPr/>
      </xdr:nvGrpSpPr>
      <xdr:grpSpPr>
        <a:xfrm>
          <a:off x="10529520" y="9438639"/>
          <a:ext cx="2751593" cy="912813"/>
          <a:chOff x="6463027" y="3629024"/>
          <a:chExt cx="3950973" cy="1216296"/>
        </a:xfrm>
      </xdr:grpSpPr>
      <xdr:grpSp>
        <xdr:nvGrpSpPr>
          <xdr:cNvPr id="468" name="Group 467">
            <a:extLst>
              <a:ext uri="{FF2B5EF4-FFF2-40B4-BE49-F238E27FC236}">
                <a16:creationId xmlns:a16="http://schemas.microsoft.com/office/drawing/2014/main" id="{00000000-0008-0000-0400-0000D401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480" name="Group 479">
              <a:extLst>
                <a:ext uri="{FF2B5EF4-FFF2-40B4-BE49-F238E27FC236}">
                  <a16:creationId xmlns:a16="http://schemas.microsoft.com/office/drawing/2014/main" id="{00000000-0008-0000-0400-0000E001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483" name="Group 482">
                <a:extLst>
                  <a:ext uri="{FF2B5EF4-FFF2-40B4-BE49-F238E27FC236}">
                    <a16:creationId xmlns:a16="http://schemas.microsoft.com/office/drawing/2014/main" id="{00000000-0008-0000-0400-0000E3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485" name="Group 484">
                  <a:extLst>
                    <a:ext uri="{FF2B5EF4-FFF2-40B4-BE49-F238E27FC236}">
                      <a16:creationId xmlns:a16="http://schemas.microsoft.com/office/drawing/2014/main" id="{00000000-0008-0000-0400-0000E501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494" name="Shape 46">
                    <a:extLst>
                      <a:ext uri="{FF2B5EF4-FFF2-40B4-BE49-F238E27FC236}">
                        <a16:creationId xmlns:a16="http://schemas.microsoft.com/office/drawing/2014/main" id="{00000000-0008-0000-0400-0000EE01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95" name="Rectangle 494">
                    <a:extLst>
                      <a:ext uri="{FF2B5EF4-FFF2-40B4-BE49-F238E27FC236}">
                        <a16:creationId xmlns:a16="http://schemas.microsoft.com/office/drawing/2014/main" id="{00000000-0008-0000-0400-0000EF01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496" name="Shape 46">
                    <a:extLst>
                      <a:ext uri="{FF2B5EF4-FFF2-40B4-BE49-F238E27FC236}">
                        <a16:creationId xmlns:a16="http://schemas.microsoft.com/office/drawing/2014/main" id="{00000000-0008-0000-0400-0000F001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486" name="Group 485">
                  <a:extLst>
                    <a:ext uri="{FF2B5EF4-FFF2-40B4-BE49-F238E27FC236}">
                      <a16:creationId xmlns:a16="http://schemas.microsoft.com/office/drawing/2014/main" id="{00000000-0008-0000-0400-0000E601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491" name="Shape 46">
                    <a:extLst>
                      <a:ext uri="{FF2B5EF4-FFF2-40B4-BE49-F238E27FC236}">
                        <a16:creationId xmlns:a16="http://schemas.microsoft.com/office/drawing/2014/main" id="{00000000-0008-0000-0400-0000EB01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92" name="Rectangle 491">
                    <a:extLst>
                      <a:ext uri="{FF2B5EF4-FFF2-40B4-BE49-F238E27FC236}">
                        <a16:creationId xmlns:a16="http://schemas.microsoft.com/office/drawing/2014/main" id="{00000000-0008-0000-0400-0000EC01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493" name="Shape 46">
                    <a:extLst>
                      <a:ext uri="{FF2B5EF4-FFF2-40B4-BE49-F238E27FC236}">
                        <a16:creationId xmlns:a16="http://schemas.microsoft.com/office/drawing/2014/main" id="{00000000-0008-0000-0400-0000ED01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487" name="Shape 27">
                  <a:extLst>
                    <a:ext uri="{FF2B5EF4-FFF2-40B4-BE49-F238E27FC236}">
                      <a16:creationId xmlns:a16="http://schemas.microsoft.com/office/drawing/2014/main" id="{00000000-0008-0000-0400-0000E701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88" name="Shape 27">
                  <a:extLst>
                    <a:ext uri="{FF2B5EF4-FFF2-40B4-BE49-F238E27FC236}">
                      <a16:creationId xmlns:a16="http://schemas.microsoft.com/office/drawing/2014/main" id="{00000000-0008-0000-0400-0000E801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89" name="Shape 27">
                  <a:extLst>
                    <a:ext uri="{FF2B5EF4-FFF2-40B4-BE49-F238E27FC236}">
                      <a16:creationId xmlns:a16="http://schemas.microsoft.com/office/drawing/2014/main" id="{00000000-0008-0000-0400-0000E901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90" name="Shape 27">
                  <a:extLst>
                    <a:ext uri="{FF2B5EF4-FFF2-40B4-BE49-F238E27FC236}">
                      <a16:creationId xmlns:a16="http://schemas.microsoft.com/office/drawing/2014/main" id="{00000000-0008-0000-0400-0000EA01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484" name="Elbow Connector 483">
                <a:extLst>
                  <a:ext uri="{FF2B5EF4-FFF2-40B4-BE49-F238E27FC236}">
                    <a16:creationId xmlns:a16="http://schemas.microsoft.com/office/drawing/2014/main" id="{00000000-0008-0000-0400-0000E4010000}"/>
                  </a:ext>
                </a:extLst>
              </xdr:cNvPr>
              <xdr:cNvCxnSpPr>
                <a:stCxn id="492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481" name="Elbow Connector 480">
              <a:extLst>
                <a:ext uri="{FF2B5EF4-FFF2-40B4-BE49-F238E27FC236}">
                  <a16:creationId xmlns:a16="http://schemas.microsoft.com/office/drawing/2014/main" id="{00000000-0008-0000-0400-0000E101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2" name="Straight Connector 481">
              <a:extLst>
                <a:ext uri="{FF2B5EF4-FFF2-40B4-BE49-F238E27FC236}">
                  <a16:creationId xmlns:a16="http://schemas.microsoft.com/office/drawing/2014/main" id="{00000000-0008-0000-0400-0000E2010000}"/>
                </a:ext>
              </a:extLst>
            </xdr:cNvPr>
            <xdr:cNvCxnSpPr>
              <a:stCxn id="495" idx="1"/>
              <a:endCxn id="477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69" name="Group 468">
            <a:extLst>
              <a:ext uri="{FF2B5EF4-FFF2-40B4-BE49-F238E27FC236}">
                <a16:creationId xmlns:a16="http://schemas.microsoft.com/office/drawing/2014/main" id="{00000000-0008-0000-0400-0000D501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470" name="Group 469">
              <a:extLst>
                <a:ext uri="{FF2B5EF4-FFF2-40B4-BE49-F238E27FC236}">
                  <a16:creationId xmlns:a16="http://schemas.microsoft.com/office/drawing/2014/main" id="{00000000-0008-0000-0400-0000D6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472" name="Shape 9">
                <a:extLst>
                  <a:ext uri="{FF2B5EF4-FFF2-40B4-BE49-F238E27FC236}">
                    <a16:creationId xmlns:a16="http://schemas.microsoft.com/office/drawing/2014/main" id="{00000000-0008-0000-0400-0000D8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3" name="Shape 38">
                <a:extLst>
                  <a:ext uri="{FF2B5EF4-FFF2-40B4-BE49-F238E27FC236}">
                    <a16:creationId xmlns:a16="http://schemas.microsoft.com/office/drawing/2014/main" id="{00000000-0008-0000-0400-0000D9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4" name="Shape 39">
                <a:extLst>
                  <a:ext uri="{FF2B5EF4-FFF2-40B4-BE49-F238E27FC236}">
                    <a16:creationId xmlns:a16="http://schemas.microsoft.com/office/drawing/2014/main" id="{00000000-0008-0000-0400-0000DA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5" name="Shape 13">
                <a:extLst>
                  <a:ext uri="{FF2B5EF4-FFF2-40B4-BE49-F238E27FC236}">
                    <a16:creationId xmlns:a16="http://schemas.microsoft.com/office/drawing/2014/main" id="{00000000-0008-0000-0400-0000DB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6" name="Shape 37">
                <a:extLst>
                  <a:ext uri="{FF2B5EF4-FFF2-40B4-BE49-F238E27FC236}">
                    <a16:creationId xmlns:a16="http://schemas.microsoft.com/office/drawing/2014/main" id="{00000000-0008-0000-0400-0000DC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7" name="Shape 9">
                <a:extLst>
                  <a:ext uri="{FF2B5EF4-FFF2-40B4-BE49-F238E27FC236}">
                    <a16:creationId xmlns:a16="http://schemas.microsoft.com/office/drawing/2014/main" id="{00000000-0008-0000-0400-0000DD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8" name="Shape 9">
                <a:extLst>
                  <a:ext uri="{FF2B5EF4-FFF2-40B4-BE49-F238E27FC236}">
                    <a16:creationId xmlns:a16="http://schemas.microsoft.com/office/drawing/2014/main" id="{00000000-0008-0000-0400-0000DE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9" name="Shape 9">
                <a:extLst>
                  <a:ext uri="{FF2B5EF4-FFF2-40B4-BE49-F238E27FC236}">
                    <a16:creationId xmlns:a16="http://schemas.microsoft.com/office/drawing/2014/main" id="{00000000-0008-0000-0400-0000DF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471" name="Rectangle 470">
              <a:extLst>
                <a:ext uri="{FF2B5EF4-FFF2-40B4-BE49-F238E27FC236}">
                  <a16:creationId xmlns:a16="http://schemas.microsoft.com/office/drawing/2014/main" id="{00000000-0008-0000-0400-0000D7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44</xdr:col>
      <xdr:colOff>216256</xdr:colOff>
      <xdr:row>40</xdr:row>
      <xdr:rowOff>91440</xdr:rowOff>
    </xdr:from>
    <xdr:to>
      <xdr:col>52</xdr:col>
      <xdr:colOff>37552</xdr:colOff>
      <xdr:row>48</xdr:row>
      <xdr:rowOff>166857</xdr:rowOff>
    </xdr:to>
    <xdr:grpSp>
      <xdr:nvGrpSpPr>
        <xdr:cNvPr id="497" name="Parra.A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GrpSpPr/>
      </xdr:nvGrpSpPr>
      <xdr:grpSpPr>
        <a:xfrm>
          <a:off x="11468456" y="8219440"/>
          <a:ext cx="1853296" cy="1701017"/>
          <a:chOff x="12083808" y="1681201"/>
          <a:chExt cx="2787353" cy="2508138"/>
        </a:xfrm>
      </xdr:grpSpPr>
      <xdr:grpSp>
        <xdr:nvGrpSpPr>
          <xdr:cNvPr id="498" name="Group 497">
            <a:extLst>
              <a:ext uri="{FF2B5EF4-FFF2-40B4-BE49-F238E27FC236}">
                <a16:creationId xmlns:a16="http://schemas.microsoft.com/office/drawing/2014/main" id="{00000000-0008-0000-0400-0000F2010000}"/>
              </a:ext>
            </a:extLst>
          </xdr:cNvPr>
          <xdr:cNvGrpSpPr/>
        </xdr:nvGrpSpPr>
        <xdr:grpSpPr>
          <a:xfrm>
            <a:off x="12083808" y="1681201"/>
            <a:ext cx="2785223" cy="2508138"/>
            <a:chOff x="8135888" y="6041149"/>
            <a:chExt cx="2785236" cy="2340562"/>
          </a:xfrm>
        </xdr:grpSpPr>
        <xdr:grpSp>
          <xdr:nvGrpSpPr>
            <xdr:cNvPr id="500" name="Group 499">
              <a:extLst>
                <a:ext uri="{FF2B5EF4-FFF2-40B4-BE49-F238E27FC236}">
                  <a16:creationId xmlns:a16="http://schemas.microsoft.com/office/drawing/2014/main" id="{00000000-0008-0000-0400-0000F4010000}"/>
                </a:ext>
              </a:extLst>
            </xdr:cNvPr>
            <xdr:cNvGrpSpPr/>
          </xdr:nvGrpSpPr>
          <xdr:grpSpPr>
            <a:xfrm>
              <a:off x="8162425" y="6041149"/>
              <a:ext cx="2758699" cy="1214493"/>
              <a:chOff x="7655301" y="3624645"/>
              <a:chExt cx="2758699" cy="1214493"/>
            </a:xfrm>
          </xdr:grpSpPr>
          <xdr:grpSp>
            <xdr:nvGrpSpPr>
              <xdr:cNvPr id="505" name="Group 504">
                <a:extLst>
                  <a:ext uri="{FF2B5EF4-FFF2-40B4-BE49-F238E27FC236}">
                    <a16:creationId xmlns:a16="http://schemas.microsoft.com/office/drawing/2014/main" id="{00000000-0008-0000-0400-0000F9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507" name="Group 506">
                  <a:extLst>
                    <a:ext uri="{FF2B5EF4-FFF2-40B4-BE49-F238E27FC236}">
                      <a16:creationId xmlns:a16="http://schemas.microsoft.com/office/drawing/2014/main" id="{00000000-0008-0000-0400-0000FB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509" name="Group 508">
                    <a:extLst>
                      <a:ext uri="{FF2B5EF4-FFF2-40B4-BE49-F238E27FC236}">
                        <a16:creationId xmlns:a16="http://schemas.microsoft.com/office/drawing/2014/main" id="{00000000-0008-0000-0400-0000FD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518" name="Shape 46">
                      <a:extLst>
                        <a:ext uri="{FF2B5EF4-FFF2-40B4-BE49-F238E27FC236}">
                          <a16:creationId xmlns:a16="http://schemas.microsoft.com/office/drawing/2014/main" id="{00000000-0008-0000-0400-000006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519" name="Rectangle 518">
                      <a:extLst>
                        <a:ext uri="{FF2B5EF4-FFF2-40B4-BE49-F238E27FC236}">
                          <a16:creationId xmlns:a16="http://schemas.microsoft.com/office/drawing/2014/main" id="{00000000-0008-0000-0400-00000702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520" name="Shape 46">
                      <a:extLst>
                        <a:ext uri="{FF2B5EF4-FFF2-40B4-BE49-F238E27FC236}">
                          <a16:creationId xmlns:a16="http://schemas.microsoft.com/office/drawing/2014/main" id="{00000000-0008-0000-0400-000008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510" name="Group 509">
                    <a:extLst>
                      <a:ext uri="{FF2B5EF4-FFF2-40B4-BE49-F238E27FC236}">
                        <a16:creationId xmlns:a16="http://schemas.microsoft.com/office/drawing/2014/main" id="{00000000-0008-0000-0400-0000FE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515" name="Shape 46">
                      <a:extLst>
                        <a:ext uri="{FF2B5EF4-FFF2-40B4-BE49-F238E27FC236}">
                          <a16:creationId xmlns:a16="http://schemas.microsoft.com/office/drawing/2014/main" id="{00000000-0008-0000-0400-000003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516" name="Rectangle 515">
                      <a:extLst>
                        <a:ext uri="{FF2B5EF4-FFF2-40B4-BE49-F238E27FC236}">
                          <a16:creationId xmlns:a16="http://schemas.microsoft.com/office/drawing/2014/main" id="{00000000-0008-0000-0400-00000402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517" name="Shape 46">
                      <a:extLst>
                        <a:ext uri="{FF2B5EF4-FFF2-40B4-BE49-F238E27FC236}">
                          <a16:creationId xmlns:a16="http://schemas.microsoft.com/office/drawing/2014/main" id="{00000000-0008-0000-0400-000005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511" name="Shape 27">
                    <a:extLst>
                      <a:ext uri="{FF2B5EF4-FFF2-40B4-BE49-F238E27FC236}">
                        <a16:creationId xmlns:a16="http://schemas.microsoft.com/office/drawing/2014/main" id="{00000000-0008-0000-0400-0000FF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2" name="Shape 27">
                    <a:extLst>
                      <a:ext uri="{FF2B5EF4-FFF2-40B4-BE49-F238E27FC236}">
                        <a16:creationId xmlns:a16="http://schemas.microsoft.com/office/drawing/2014/main" id="{00000000-0008-0000-0400-00000002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3" name="Shape 27">
                    <a:extLst>
                      <a:ext uri="{FF2B5EF4-FFF2-40B4-BE49-F238E27FC236}">
                        <a16:creationId xmlns:a16="http://schemas.microsoft.com/office/drawing/2014/main" id="{00000000-0008-0000-0400-00000102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4" name="Shape 27">
                    <a:extLst>
                      <a:ext uri="{FF2B5EF4-FFF2-40B4-BE49-F238E27FC236}">
                        <a16:creationId xmlns:a16="http://schemas.microsoft.com/office/drawing/2014/main" id="{00000000-0008-0000-0400-00000202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508" name="Elbow Connector 507">
                  <a:extLst>
                    <a:ext uri="{FF2B5EF4-FFF2-40B4-BE49-F238E27FC236}">
                      <a16:creationId xmlns:a16="http://schemas.microsoft.com/office/drawing/2014/main" id="{00000000-0008-0000-0400-0000FC010000}"/>
                    </a:ext>
                  </a:extLst>
                </xdr:cNvPr>
                <xdr:cNvCxnSpPr>
                  <a:stCxn id="516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506" name="Straight Connector 505">
                <a:extLst>
                  <a:ext uri="{FF2B5EF4-FFF2-40B4-BE49-F238E27FC236}">
                    <a16:creationId xmlns:a16="http://schemas.microsoft.com/office/drawing/2014/main" id="{00000000-0008-0000-0400-0000FA010000}"/>
                  </a:ext>
                </a:extLst>
              </xdr:cNvPr>
              <xdr:cNvCxnSpPr>
                <a:stCxn id="519" idx="1"/>
              </xdr:cNvCxnSpPr>
            </xdr:nvCxnSpPr>
            <xdr:spPr>
              <a:xfrm flipH="1">
                <a:off x="7655301" y="4027589"/>
                <a:ext cx="982288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501" name="Straight Connector 500">
              <a:extLst>
                <a:ext uri="{FF2B5EF4-FFF2-40B4-BE49-F238E27FC236}">
                  <a16:creationId xmlns:a16="http://schemas.microsoft.com/office/drawing/2014/main" id="{00000000-0008-0000-0400-0000F5010000}"/>
                </a:ext>
              </a:extLst>
            </xdr:cNvPr>
            <xdr:cNvCxnSpPr/>
          </xdr:nvCxnSpPr>
          <xdr:spPr>
            <a:xfrm>
              <a:off x="8386972" y="7250396"/>
              <a:ext cx="0" cy="109627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2" name="Straight Connector 501">
              <a:extLst>
                <a:ext uri="{FF2B5EF4-FFF2-40B4-BE49-F238E27FC236}">
                  <a16:creationId xmlns:a16="http://schemas.microsoft.com/office/drawing/2014/main" id="{00000000-0008-0000-0400-0000F6010000}"/>
                </a:ext>
              </a:extLst>
            </xdr:cNvPr>
            <xdr:cNvCxnSpPr/>
          </xdr:nvCxnSpPr>
          <xdr:spPr>
            <a:xfrm>
              <a:off x="8166544" y="6445150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03" name="Shape 27">
              <a:extLst>
                <a:ext uri="{FF2B5EF4-FFF2-40B4-BE49-F238E27FC236}">
                  <a16:creationId xmlns:a16="http://schemas.microsoft.com/office/drawing/2014/main" id="{00000000-0008-0000-0400-0000F7010000}"/>
                </a:ext>
              </a:extLst>
            </xdr:cNvPr>
            <xdr:cNvSpPr/>
          </xdr:nvSpPr>
          <xdr:spPr>
            <a:xfrm>
              <a:off x="8135888" y="8114456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4" name="Shape 27">
              <a:extLst>
                <a:ext uri="{FF2B5EF4-FFF2-40B4-BE49-F238E27FC236}">
                  <a16:creationId xmlns:a16="http://schemas.microsoft.com/office/drawing/2014/main" id="{00000000-0008-0000-0400-0000F8010000}"/>
                </a:ext>
              </a:extLst>
            </xdr:cNvPr>
            <xdr:cNvSpPr/>
          </xdr:nvSpPr>
          <xdr:spPr>
            <a:xfrm>
              <a:off x="8361038" y="8315979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499" name="Straight Connector 498">
            <a:extLst>
              <a:ext uri="{FF2B5EF4-FFF2-40B4-BE49-F238E27FC236}">
                <a16:creationId xmlns:a16="http://schemas.microsoft.com/office/drawing/2014/main" id="{00000000-0008-0000-0400-0000F3010000}"/>
              </a:ext>
            </a:extLst>
          </xdr:cNvPr>
          <xdr:cNvCxnSpPr/>
        </xdr:nvCxnSpPr>
        <xdr:spPr>
          <a:xfrm flipH="1">
            <a:off x="12333861" y="2978366"/>
            <a:ext cx="25373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58</xdr:col>
      <xdr:colOff>25400</xdr:colOff>
      <xdr:row>19</xdr:row>
      <xdr:rowOff>12700</xdr:rowOff>
    </xdr:from>
    <xdr:to>
      <xdr:col>59</xdr:col>
      <xdr:colOff>241300</xdr:colOff>
      <xdr:row>24</xdr:row>
      <xdr:rowOff>50800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 rot="16200000">
          <a:off x="14541500" y="4165600"/>
          <a:ext cx="1054100" cy="46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6mm</a:t>
          </a:r>
          <a:r>
            <a:rPr lang="en-GB" sz="1100" baseline="0"/>
            <a:t> 2C+E</a:t>
          </a:r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37"/>
  <sheetViews>
    <sheetView topLeftCell="A8" zoomScale="99" workbookViewId="0">
      <selection activeCell="B21" sqref="B21"/>
    </sheetView>
  </sheetViews>
  <sheetFormatPr baseColWidth="10" defaultRowHeight="16" x14ac:dyDescent="0.2"/>
  <cols>
    <col min="1" max="1" width="22.1640625" style="87" customWidth="1"/>
    <col min="2" max="2" width="37.1640625" style="30" customWidth="1"/>
    <col min="3" max="3" width="19.1640625" style="30" customWidth="1"/>
    <col min="4" max="4" width="19.83203125" style="30" customWidth="1"/>
    <col min="5" max="5" width="16.6640625" style="64" customWidth="1"/>
    <col min="6" max="6" width="18" style="69" customWidth="1"/>
    <col min="7" max="7" width="21.1640625" style="69" customWidth="1"/>
    <col min="8" max="8" width="15.5" style="87" customWidth="1"/>
  </cols>
  <sheetData>
    <row r="1" spans="1:8" x14ac:dyDescent="0.2">
      <c r="A1" s="152" t="s">
        <v>64</v>
      </c>
      <c r="B1" s="152"/>
      <c r="C1" s="93"/>
    </row>
    <row r="2" spans="1:8" x14ac:dyDescent="0.2">
      <c r="A2" s="65" t="s">
        <v>65</v>
      </c>
      <c r="B2" s="65">
        <v>26305</v>
      </c>
      <c r="C2" s="90"/>
    </row>
    <row r="3" spans="1:8" ht="34" x14ac:dyDescent="0.2">
      <c r="A3" s="66" t="s">
        <v>67</v>
      </c>
      <c r="B3" s="66" t="s">
        <v>161</v>
      </c>
      <c r="C3" s="90"/>
    </row>
    <row r="4" spans="1:8" ht="24" customHeight="1" x14ac:dyDescent="0.2">
      <c r="A4" s="65" t="s">
        <v>66</v>
      </c>
      <c r="B4" s="65" t="s">
        <v>162</v>
      </c>
      <c r="C4" s="90"/>
    </row>
    <row r="5" spans="1:8" x14ac:dyDescent="0.2">
      <c r="A5" s="65" t="s">
        <v>50</v>
      </c>
      <c r="B5" s="65">
        <v>3</v>
      </c>
      <c r="C5" s="90"/>
    </row>
    <row r="6" spans="1:8" x14ac:dyDescent="0.2">
      <c r="A6" s="93"/>
      <c r="B6" s="93"/>
      <c r="C6" s="86"/>
    </row>
    <row r="7" spans="1:8" x14ac:dyDescent="0.2">
      <c r="A7" s="93"/>
      <c r="B7" s="93"/>
    </row>
    <row r="8" spans="1:8" x14ac:dyDescent="0.2">
      <c r="A8" s="93"/>
      <c r="B8" s="93"/>
    </row>
    <row r="10" spans="1:8" x14ac:dyDescent="0.2">
      <c r="A10" s="153" t="s">
        <v>73</v>
      </c>
      <c r="B10" s="154"/>
      <c r="C10" s="86"/>
      <c r="D10" s="86"/>
      <c r="E10" s="88"/>
      <c r="F10" s="90"/>
    </row>
    <row r="11" spans="1:8" x14ac:dyDescent="0.2">
      <c r="A11" s="89" t="s">
        <v>68</v>
      </c>
      <c r="B11" s="68" t="s">
        <v>59</v>
      </c>
      <c r="C11" s="86"/>
      <c r="D11" s="86"/>
      <c r="E11" s="88"/>
      <c r="F11" s="90"/>
      <c r="G11" s="90"/>
      <c r="H11" s="90"/>
    </row>
    <row r="12" spans="1:8" x14ac:dyDescent="0.2">
      <c r="A12" s="89" t="s">
        <v>69</v>
      </c>
      <c r="B12" s="68" t="s">
        <v>63</v>
      </c>
      <c r="C12" s="86"/>
      <c r="D12" s="86"/>
      <c r="E12" s="88"/>
      <c r="F12" s="90"/>
      <c r="G12" s="90"/>
      <c r="H12" s="90"/>
    </row>
    <row r="13" spans="1:8" x14ac:dyDescent="0.2">
      <c r="A13" s="89" t="s">
        <v>70</v>
      </c>
      <c r="B13" s="68">
        <v>5</v>
      </c>
      <c r="C13" s="91"/>
      <c r="D13" s="91"/>
      <c r="E13" s="91"/>
      <c r="F13" s="85"/>
      <c r="G13" s="85"/>
      <c r="H13" s="86"/>
    </row>
    <row r="14" spans="1:8" x14ac:dyDescent="0.2">
      <c r="A14" s="65" t="s">
        <v>74</v>
      </c>
      <c r="B14" s="68">
        <v>365</v>
      </c>
    </row>
    <row r="15" spans="1:8" x14ac:dyDescent="0.2">
      <c r="A15" s="65" t="s">
        <v>75</v>
      </c>
      <c r="B15" s="67">
        <v>41.7</v>
      </c>
      <c r="D15" s="152" t="s">
        <v>77</v>
      </c>
      <c r="E15" s="152"/>
    </row>
    <row r="16" spans="1:8" x14ac:dyDescent="0.2">
      <c r="A16" s="65" t="s">
        <v>76</v>
      </c>
      <c r="B16" s="67">
        <v>10.88</v>
      </c>
      <c r="C16" s="92"/>
      <c r="D16" s="65" t="s">
        <v>71</v>
      </c>
      <c r="E16" s="65" t="s">
        <v>78</v>
      </c>
      <c r="F16" s="92"/>
    </row>
    <row r="17" spans="1:6" x14ac:dyDescent="0.2">
      <c r="B17" s="92"/>
      <c r="C17" s="92"/>
      <c r="D17" s="65" t="s">
        <v>72</v>
      </c>
      <c r="E17" s="65" t="s">
        <v>79</v>
      </c>
      <c r="F17" s="92"/>
    </row>
    <row r="18" spans="1:6" x14ac:dyDescent="0.2">
      <c r="A18" s="152" t="s">
        <v>77</v>
      </c>
      <c r="B18" s="152"/>
      <c r="C18" s="92"/>
      <c r="D18" s="65" t="s">
        <v>143</v>
      </c>
      <c r="E18" s="65">
        <v>1</v>
      </c>
      <c r="F18" s="92"/>
    </row>
    <row r="19" spans="1:6" x14ac:dyDescent="0.2">
      <c r="A19" s="65" t="s">
        <v>71</v>
      </c>
      <c r="B19" s="65" t="s">
        <v>163</v>
      </c>
      <c r="C19" s="92"/>
      <c r="D19" s="65" t="s">
        <v>144</v>
      </c>
      <c r="E19" s="65">
        <v>22</v>
      </c>
      <c r="F19" s="92"/>
    </row>
    <row r="20" spans="1:6" ht="16" customHeight="1" x14ac:dyDescent="0.2">
      <c r="A20" s="65" t="s">
        <v>72</v>
      </c>
      <c r="B20" s="65" t="s">
        <v>164</v>
      </c>
      <c r="C20" s="92"/>
      <c r="D20" s="65" t="s">
        <v>38</v>
      </c>
      <c r="E20" s="65">
        <v>4</v>
      </c>
      <c r="F20" s="92"/>
    </row>
    <row r="21" spans="1:6" ht="16" customHeight="1" x14ac:dyDescent="0.2">
      <c r="A21" s="65" t="s">
        <v>38</v>
      </c>
      <c r="B21" s="65">
        <v>0.35</v>
      </c>
      <c r="C21" s="92"/>
      <c r="D21" s="65" t="s">
        <v>145</v>
      </c>
      <c r="E21" s="65">
        <v>12</v>
      </c>
      <c r="F21" s="92"/>
    </row>
    <row r="22" spans="1:6" x14ac:dyDescent="0.2">
      <c r="A22" s="65" t="s">
        <v>93</v>
      </c>
      <c r="B22" s="65">
        <v>1</v>
      </c>
      <c r="C22" s="92"/>
      <c r="D22" s="65" t="s">
        <v>146</v>
      </c>
      <c r="E22" s="65"/>
      <c r="F22" s="92"/>
    </row>
    <row r="23" spans="1:6" x14ac:dyDescent="0.2">
      <c r="A23" s="65" t="s">
        <v>94</v>
      </c>
      <c r="B23" s="65">
        <v>2</v>
      </c>
      <c r="C23" s="92"/>
      <c r="D23" s="65" t="s">
        <v>147</v>
      </c>
      <c r="E23" s="65">
        <v>12</v>
      </c>
      <c r="F23" s="92"/>
    </row>
    <row r="24" spans="1:6" x14ac:dyDescent="0.2">
      <c r="A24" s="65" t="s">
        <v>95</v>
      </c>
      <c r="B24" s="65">
        <v>2</v>
      </c>
      <c r="C24" s="92"/>
      <c r="D24" s="143" t="s">
        <v>148</v>
      </c>
      <c r="E24" s="143"/>
      <c r="F24" s="92"/>
    </row>
    <row r="25" spans="1:6" x14ac:dyDescent="0.2">
      <c r="A25" s="112" t="s">
        <v>85</v>
      </c>
      <c r="B25" s="112">
        <v>3</v>
      </c>
      <c r="C25" s="92"/>
      <c r="D25" s="142"/>
      <c r="E25" s="142"/>
      <c r="F25" s="92"/>
    </row>
    <row r="26" spans="1:6" x14ac:dyDescent="0.2">
      <c r="A26" s="93"/>
      <c r="B26" s="93"/>
    </row>
    <row r="27" spans="1:6" x14ac:dyDescent="0.2">
      <c r="A27" s="155" t="s">
        <v>80</v>
      </c>
      <c r="B27" s="156"/>
    </row>
    <row r="28" spans="1:6" x14ac:dyDescent="0.2">
      <c r="A28" s="65" t="s">
        <v>81</v>
      </c>
      <c r="B28" s="65">
        <v>60</v>
      </c>
    </row>
    <row r="29" spans="1:6" x14ac:dyDescent="0.2">
      <c r="A29" s="65" t="s">
        <v>82</v>
      </c>
      <c r="B29" s="65">
        <v>0</v>
      </c>
    </row>
    <row r="30" spans="1:6" x14ac:dyDescent="0.2">
      <c r="A30" s="65" t="s">
        <v>83</v>
      </c>
      <c r="B30" s="65">
        <v>15</v>
      </c>
    </row>
    <row r="31" spans="1:6" x14ac:dyDescent="0.2">
      <c r="A31" s="65" t="s">
        <v>84</v>
      </c>
      <c r="B31" s="65">
        <v>4</v>
      </c>
    </row>
    <row r="32" spans="1:6" x14ac:dyDescent="0.2">
      <c r="A32" s="65" t="s">
        <v>92</v>
      </c>
      <c r="B32" s="65">
        <v>19.399999999999999</v>
      </c>
    </row>
    <row r="33" spans="1:2" x14ac:dyDescent="0.2">
      <c r="A33" s="65" t="s">
        <v>99</v>
      </c>
      <c r="B33" s="65">
        <v>3</v>
      </c>
    </row>
    <row r="34" spans="1:2" x14ac:dyDescent="0.2">
      <c r="A34" s="65" t="s">
        <v>160</v>
      </c>
      <c r="B34" s="65" t="s">
        <v>165</v>
      </c>
    </row>
    <row r="35" spans="1:2" x14ac:dyDescent="0.2">
      <c r="A35" s="152" t="s">
        <v>96</v>
      </c>
      <c r="B35" s="152"/>
    </row>
    <row r="36" spans="1:2" x14ac:dyDescent="0.2">
      <c r="A36" s="65" t="s">
        <v>97</v>
      </c>
      <c r="B36" s="65">
        <v>11.6</v>
      </c>
    </row>
    <row r="37" spans="1:2" x14ac:dyDescent="0.2">
      <c r="A37" s="65" t="s">
        <v>98</v>
      </c>
      <c r="B37" s="65">
        <v>0</v>
      </c>
    </row>
  </sheetData>
  <mergeCells count="6">
    <mergeCell ref="D15:E15"/>
    <mergeCell ref="A1:B1"/>
    <mergeCell ref="A10:B10"/>
    <mergeCell ref="A18:B18"/>
    <mergeCell ref="A35:B35"/>
    <mergeCell ref="A27:B27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1" workbookViewId="0">
      <selection activeCell="C41" sqref="C41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63"/>
      <c r="C29" s="63"/>
      <c r="D29" s="63"/>
      <c r="E29" s="63"/>
      <c r="F29" s="63"/>
      <c r="G29" s="63"/>
    </row>
    <row r="30" spans="2:7" ht="17" thickBot="1" x14ac:dyDescent="0.25">
      <c r="B30" s="31" t="s">
        <v>46</v>
      </c>
      <c r="C30" s="32" t="str">
        <f>Param!B3</f>
        <v xml:space="preserve">Wood, Ben
</v>
      </c>
      <c r="D30" s="31" t="s">
        <v>47</v>
      </c>
      <c r="E30" s="157" t="str">
        <f>Param!B4</f>
        <v>54 CHARLTON ST Barnsley</v>
      </c>
      <c r="F30" s="158"/>
      <c r="G30" s="159"/>
    </row>
    <row r="31" spans="2:7" ht="17" thickBot="1" x14ac:dyDescent="0.25">
      <c r="B31" s="160" t="str">
        <f>IF(Param!B12&lt;&gt;0,"Service Main","Service+Consumer Main")</f>
        <v>Service Main</v>
      </c>
      <c r="C31" s="161"/>
      <c r="D31" s="160" t="s">
        <v>48</v>
      </c>
      <c r="E31" s="161"/>
      <c r="F31" s="162" t="s">
        <v>49</v>
      </c>
      <c r="G31" s="163"/>
    </row>
    <row r="32" spans="2:7" x14ac:dyDescent="0.2">
      <c r="B32" s="33" t="s">
        <v>50</v>
      </c>
      <c r="C32" s="34">
        <f>Param!B33</f>
        <v>3</v>
      </c>
      <c r="D32" s="33" t="s">
        <v>50</v>
      </c>
      <c r="E32" s="34">
        <f>Param!B33</f>
        <v>3</v>
      </c>
      <c r="F32" s="35" t="s">
        <v>50</v>
      </c>
      <c r="G32" s="36">
        <f>Param!B33</f>
        <v>3</v>
      </c>
    </row>
    <row r="33" spans="2:7" x14ac:dyDescent="0.2">
      <c r="B33" s="33" t="s">
        <v>51</v>
      </c>
      <c r="C33" s="37" t="s">
        <v>52</v>
      </c>
      <c r="D33" s="33" t="s">
        <v>51</v>
      </c>
      <c r="E33" s="38" t="s">
        <v>52</v>
      </c>
      <c r="F33" s="39" t="s">
        <v>51</v>
      </c>
      <c r="G33" s="40" t="s">
        <v>52</v>
      </c>
    </row>
    <row r="34" spans="2:7" x14ac:dyDescent="0.2">
      <c r="B34" s="41" t="s">
        <v>53</v>
      </c>
      <c r="C34" s="42">
        <v>16</v>
      </c>
      <c r="D34" s="41" t="s">
        <v>53</v>
      </c>
      <c r="E34" s="42">
        <v>16</v>
      </c>
      <c r="F34" s="41" t="s">
        <v>53</v>
      </c>
      <c r="G34" s="43">
        <f>Param!B31</f>
        <v>4</v>
      </c>
    </row>
    <row r="35" spans="2:7" x14ac:dyDescent="0.2">
      <c r="B35" s="44" t="s">
        <v>54</v>
      </c>
      <c r="C35" s="45">
        <f>Param!B28</f>
        <v>60</v>
      </c>
      <c r="D35" s="44" t="s">
        <v>54</v>
      </c>
      <c r="E35" s="46">
        <f>Param!B29</f>
        <v>0</v>
      </c>
      <c r="F35" s="44" t="s">
        <v>54</v>
      </c>
      <c r="G35" s="46">
        <f>Param!B30</f>
        <v>15</v>
      </c>
    </row>
    <row r="36" spans="2:7" x14ac:dyDescent="0.2">
      <c r="B36" s="44" t="s">
        <v>55</v>
      </c>
      <c r="C36" s="47">
        <f>Param!B32</f>
        <v>19.399999999999999</v>
      </c>
      <c r="D36" s="44" t="s">
        <v>55</v>
      </c>
      <c r="E36" s="48">
        <f>Param!B32</f>
        <v>19.399999999999999</v>
      </c>
      <c r="F36" s="44" t="s">
        <v>55</v>
      </c>
      <c r="G36" s="48">
        <f>Param!B32</f>
        <v>19.399999999999999</v>
      </c>
    </row>
    <row r="37" spans="2:7" ht="17" thickBot="1" x14ac:dyDescent="0.25">
      <c r="B37" s="49" t="s">
        <v>56</v>
      </c>
      <c r="C37" s="50" cm="1">
        <f t="array" ref="C37">AmPerPcntVd(C34,C32)</f>
        <v>1643</v>
      </c>
      <c r="D37" s="51" t="s">
        <v>56</v>
      </c>
      <c r="E37" s="50" cm="1">
        <f t="array" ref="E37">AmPerPcntVd(E34,E32)</f>
        <v>1643</v>
      </c>
      <c r="F37" s="51" t="s">
        <v>56</v>
      </c>
      <c r="G37" s="52" cm="1">
        <f t="array" ref="G37">AmPerPcntVd(G34,G32)</f>
        <v>412</v>
      </c>
    </row>
    <row r="38" spans="2:7" ht="17" thickBot="1" x14ac:dyDescent="0.25">
      <c r="B38" s="53" t="s">
        <v>57</v>
      </c>
      <c r="C38" s="54" cm="1">
        <f t="array" ref="C38">VoltageDrop(C36,C34,C35,C32)/100</f>
        <v>7.0846013390139986E-3</v>
      </c>
      <c r="D38" s="55" t="s">
        <v>57</v>
      </c>
      <c r="E38" s="54" cm="1">
        <f t="array" ref="E38">VoltageDrop(E36,E34,E35,E32)/100</f>
        <v>0</v>
      </c>
      <c r="F38" s="55" t="s">
        <v>57</v>
      </c>
      <c r="G38" s="62" cm="1">
        <f t="array" ref="G38">VoltageDrop(G36,G34,G35,G32)/100</f>
        <v>7.0631067961165047E-3</v>
      </c>
    </row>
    <row r="39" spans="2:7" ht="17" thickBot="1" x14ac:dyDescent="0.25">
      <c r="B39" s="53" t="s">
        <v>58</v>
      </c>
      <c r="C39" s="56">
        <f>C38*IF(C32=1,230,400)</f>
        <v>2.8338405356055993</v>
      </c>
      <c r="D39" s="53" t="s">
        <v>58</v>
      </c>
      <c r="E39" s="56">
        <f>E38*IF(E32=1,230,400)</f>
        <v>0</v>
      </c>
      <c r="F39" s="53" t="s">
        <v>58</v>
      </c>
      <c r="G39" s="61">
        <f>G38*IF(G32=1,230,400)</f>
        <v>2.825242718446602</v>
      </c>
    </row>
    <row r="40" spans="2:7" x14ac:dyDescent="0.2">
      <c r="B40" s="164" t="s">
        <v>30</v>
      </c>
      <c r="C40" s="57" t="str">
        <f>_xlfn.CONCAT(Param!B34)</f>
        <v>19.4 = (13 * 0.29 + 2* 0.35)/ 0.2319.4 = (13 * 0.29 + 2* 0.35)/ 0.2319.4 = (13 * 0.29 + 2* 0.35)/ 0.2319.4 = (13 * 0.29 + 2* 0.35)/ 0.2319.4 = (13 * 0.29 + 2* 0.35)/ 0.2319.4 = (13 * 0.29 + 2* 0.35)/ 0.2319.4 = (13 * 0.29 + 2* 0.35)/ 0.2319.4 = (13 * 0.29 + 2* 0.35)/ 0.23</v>
      </c>
      <c r="D40" s="58"/>
      <c r="E40" s="58"/>
      <c r="F40" s="166">
        <f>C38+G38+E38</f>
        <v>1.4147708135130502E-2</v>
      </c>
      <c r="G40" s="168">
        <f>G39+E39+C39</f>
        <v>5.6590832540522014</v>
      </c>
    </row>
    <row r="41" spans="2:7" ht="17" thickBot="1" x14ac:dyDescent="0.25">
      <c r="B41" s="165"/>
      <c r="C41" s="59"/>
      <c r="D41" s="60"/>
      <c r="E41" s="60"/>
      <c r="F41" s="167"/>
      <c r="G41" s="169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20" priority="7" operator="greaterThan">
      <formula>0.01</formula>
    </cfRule>
    <cfRule type="cellIs" dxfId="19" priority="8" operator="lessThanOrEqual">
      <formula>0.01</formula>
    </cfRule>
  </conditionalFormatting>
  <conditionalFormatting sqref="C30 E30 C32:C33 C35:C36 E35:E36 G35:G36 E32:E33 G32:G33">
    <cfRule type="containsBlanks" dxfId="18" priority="9">
      <formula>LEN(TRIM(C30))=0</formula>
    </cfRule>
  </conditionalFormatting>
  <conditionalFormatting sqref="C39">
    <cfRule type="cellIs" dxfId="17" priority="5" operator="greaterThan">
      <formula>0.01</formula>
    </cfRule>
    <cfRule type="cellIs" dxfId="16" priority="6" operator="lessThanOrEqual">
      <formula>0.01</formula>
    </cfRule>
  </conditionalFormatting>
  <conditionalFormatting sqref="E39 K39">
    <cfRule type="cellIs" dxfId="15" priority="3" operator="greaterThan">
      <formula>0.01</formula>
    </cfRule>
    <cfRule type="cellIs" dxfId="14" priority="4" operator="lessThanOrEqual">
      <formula>0.01</formula>
    </cfRule>
  </conditionalFormatting>
  <conditionalFormatting sqref="G39 M39">
    <cfRule type="cellIs" dxfId="13" priority="1" operator="greaterThan">
      <formula>0.01</formula>
    </cfRule>
    <cfRule type="cellIs" dxfId="12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0C343-0955-4247-B5B5-B37103C65BA5}">
  <sheetPr codeName="Feuil5">
    <pageSetUpPr fitToPage="1"/>
  </sheetPr>
  <dimension ref="B5:CD74"/>
  <sheetViews>
    <sheetView showGridLines="0" tabSelected="1" topLeftCell="K1" zoomScale="94" zoomScaleNormal="227" workbookViewId="0">
      <selection activeCell="BL17" sqref="BL17"/>
    </sheetView>
  </sheetViews>
  <sheetFormatPr baseColWidth="10" defaultRowHeight="16" x14ac:dyDescent="0.2"/>
  <cols>
    <col min="1" max="24" width="3.33203125" style="119" customWidth="1"/>
    <col min="25" max="25" width="3.1640625" style="119" customWidth="1"/>
    <col min="26" max="73" width="3.33203125" style="119" customWidth="1"/>
    <col min="74" max="74" width="4.1640625" style="119" bestFit="1" customWidth="1"/>
    <col min="75" max="83" width="3.33203125" style="119" customWidth="1"/>
    <col min="84" max="16384" width="10.83203125" style="119"/>
  </cols>
  <sheetData>
    <row r="5" spans="4:81" x14ac:dyDescent="0.2">
      <c r="D5" s="100" t="s">
        <v>61</v>
      </c>
      <c r="BR5" s="27" t="s">
        <v>45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BR6" s="24" t="s">
        <v>40</v>
      </c>
      <c r="BS6" s="18"/>
      <c r="BT6" s="18"/>
      <c r="BU6" s="18"/>
      <c r="BV6" s="176" t="str">
        <f>Param!B11</f>
        <v>LG Electronics</v>
      </c>
      <c r="BW6" s="176"/>
      <c r="BX6" s="176"/>
      <c r="BY6" s="176"/>
      <c r="BZ6" s="177"/>
    </row>
    <row r="7" spans="4:81" x14ac:dyDescent="0.2">
      <c r="BR7" s="24" t="s">
        <v>39</v>
      </c>
      <c r="BS7" s="18"/>
      <c r="BT7" s="18"/>
      <c r="BU7" s="18"/>
      <c r="BV7" s="178" t="str">
        <f>Param!B12</f>
        <v>LG NeON 2</v>
      </c>
      <c r="BW7" s="178"/>
      <c r="BX7" s="178"/>
      <c r="BY7" s="178"/>
      <c r="BZ7" s="179"/>
    </row>
    <row r="8" spans="4:81" x14ac:dyDescent="0.2">
      <c r="BR8" s="24" t="s">
        <v>157</v>
      </c>
      <c r="BS8" s="145"/>
      <c r="BT8" s="145"/>
      <c r="BU8" s="145"/>
      <c r="BV8" s="145"/>
      <c r="BW8" s="180">
        <f>Param!B13</f>
        <v>5</v>
      </c>
      <c r="BX8" s="180"/>
      <c r="BY8" s="180"/>
      <c r="BZ8" s="181"/>
    </row>
    <row r="9" spans="4:81" x14ac:dyDescent="0.2">
      <c r="BR9" s="24" t="s">
        <v>44</v>
      </c>
      <c r="BS9" s="18"/>
      <c r="BT9" s="18"/>
      <c r="BU9" s="18"/>
      <c r="BV9" s="18"/>
      <c r="BW9" s="18"/>
      <c r="BX9" s="208">
        <f>Param!B14</f>
        <v>365</v>
      </c>
      <c r="BY9" s="208"/>
      <c r="BZ9" s="210"/>
    </row>
    <row r="10" spans="4:81" x14ac:dyDescent="0.2">
      <c r="BR10" s="24" t="s">
        <v>43</v>
      </c>
      <c r="BS10" s="18"/>
      <c r="BT10" s="18"/>
      <c r="BU10" s="18"/>
      <c r="BV10" s="18"/>
      <c r="BW10" s="18"/>
      <c r="BX10" s="209">
        <f>Param!B15</f>
        <v>41.7</v>
      </c>
      <c r="BY10" s="209"/>
      <c r="BZ10" s="211"/>
    </row>
    <row r="11" spans="4:81" x14ac:dyDescent="0.2">
      <c r="BR11" s="24" t="s">
        <v>42</v>
      </c>
      <c r="BS11" s="18"/>
      <c r="BT11" s="18"/>
      <c r="BU11" s="18"/>
      <c r="BV11" s="18"/>
      <c r="BW11" s="18"/>
      <c r="BX11" s="182">
        <f>Param!B16</f>
        <v>10.88</v>
      </c>
      <c r="BY11" s="182"/>
      <c r="BZ11" s="183"/>
      <c r="CA11" s="207"/>
      <c r="CB11" s="207"/>
      <c r="CC11" s="207"/>
    </row>
    <row r="12" spans="4:81" x14ac:dyDescent="0.2">
      <c r="BR12" s="28" t="s">
        <v>158</v>
      </c>
      <c r="BS12" s="19"/>
      <c r="BT12" s="19"/>
      <c r="BU12" s="19"/>
      <c r="BV12" s="184" t="str">
        <f>_xlfn.CONCAT(BX9*BW8/1000," kWdc")</f>
        <v>1.825 kWdc</v>
      </c>
      <c r="BW12" s="184"/>
      <c r="BX12" s="184"/>
      <c r="BY12" s="184"/>
      <c r="BZ12" s="185"/>
      <c r="CC12" s="78"/>
    </row>
    <row r="13" spans="4:81" x14ac:dyDescent="0.2">
      <c r="Y13" s="100" t="s">
        <v>132</v>
      </c>
      <c r="AQ13" s="100" t="s">
        <v>131</v>
      </c>
      <c r="CC13" s="78"/>
    </row>
    <row r="14" spans="4:81" x14ac:dyDescent="0.2">
      <c r="BE14" s="101"/>
      <c r="BF14" s="101"/>
      <c r="BR14" s="27" t="s">
        <v>100</v>
      </c>
      <c r="BS14" s="26"/>
      <c r="BT14" s="26"/>
      <c r="BU14" s="26"/>
      <c r="BV14" s="26"/>
      <c r="BW14" s="26"/>
      <c r="BX14" s="26"/>
      <c r="BY14" s="26"/>
      <c r="BZ14" s="25"/>
      <c r="CC14" s="78"/>
    </row>
    <row r="15" spans="4:81" x14ac:dyDescent="0.2">
      <c r="BE15" s="101"/>
      <c r="BK15" s="78"/>
      <c r="BL15" s="78"/>
      <c r="BM15" s="78"/>
      <c r="BR15" s="75" t="s">
        <v>101</v>
      </c>
      <c r="BV15" s="180">
        <v>1</v>
      </c>
      <c r="BW15" s="180"/>
      <c r="BX15" s="180"/>
      <c r="BY15" s="180"/>
      <c r="BZ15" s="181"/>
      <c r="CC15" s="78"/>
    </row>
    <row r="16" spans="4:81" x14ac:dyDescent="0.2">
      <c r="BR16" s="24" t="s">
        <v>40</v>
      </c>
      <c r="BS16" s="18"/>
      <c r="BT16" s="18"/>
      <c r="BU16" s="18"/>
      <c r="BV16" s="172" t="s">
        <v>102</v>
      </c>
      <c r="BW16" s="172"/>
      <c r="BX16" s="172"/>
      <c r="BY16" s="172"/>
      <c r="BZ16" s="173"/>
      <c r="CC16" s="78"/>
    </row>
    <row r="17" spans="10:81" x14ac:dyDescent="0.2">
      <c r="AN17" s="79" t="s">
        <v>60</v>
      </c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R17" s="24" t="s">
        <v>39</v>
      </c>
      <c r="BS17" s="18"/>
      <c r="BT17" s="18"/>
      <c r="BU17" s="18"/>
      <c r="BV17" s="212" t="s">
        <v>103</v>
      </c>
      <c r="BW17" s="212"/>
      <c r="BX17" s="212"/>
      <c r="BY17" s="212"/>
      <c r="BZ17" s="213"/>
      <c r="CA17" s="78"/>
      <c r="CB17" s="78"/>
      <c r="CC17" s="78"/>
    </row>
    <row r="18" spans="10:81" ht="16" customHeight="1" x14ac:dyDescent="0.2">
      <c r="AB18" s="119" t="str">
        <f>IF(Param!B25="","","Q Relay")</f>
        <v>Q Relay</v>
      </c>
      <c r="AN18" s="79" t="s">
        <v>167</v>
      </c>
      <c r="BE18" s="79"/>
      <c r="BF18" s="79"/>
      <c r="BI18" s="79"/>
      <c r="BJ18" s="79"/>
      <c r="BK18" s="79"/>
      <c r="BL18" s="79"/>
      <c r="BM18" s="79"/>
      <c r="BN18" s="79"/>
      <c r="BO18" s="79"/>
      <c r="BR18" s="24" t="s">
        <v>104</v>
      </c>
      <c r="BS18" s="18"/>
      <c r="BT18" s="18"/>
      <c r="BU18" s="18"/>
      <c r="BV18" s="18"/>
      <c r="BW18" s="212">
        <f>5</f>
        <v>5</v>
      </c>
      <c r="BX18" s="212"/>
      <c r="BY18" s="209" t="s">
        <v>105</v>
      </c>
      <c r="BZ18" s="211"/>
      <c r="CA18" s="18"/>
      <c r="CB18" s="18"/>
      <c r="CC18" s="18"/>
    </row>
    <row r="19" spans="10:81" ht="16" customHeight="1" x14ac:dyDescent="0.2">
      <c r="AN19" s="79" t="s">
        <v>168</v>
      </c>
      <c r="BE19" s="79"/>
      <c r="BF19" s="79"/>
      <c r="BI19" s="79"/>
      <c r="BJ19" s="79"/>
      <c r="BK19" s="79"/>
      <c r="BL19" s="79"/>
      <c r="BM19" s="79"/>
      <c r="BN19" s="79"/>
      <c r="BO19" s="79"/>
      <c r="BR19" s="24" t="s">
        <v>106</v>
      </c>
      <c r="BS19" s="18"/>
      <c r="BT19" s="18"/>
      <c r="BU19" s="18"/>
      <c r="BV19" s="18"/>
      <c r="BW19" s="214">
        <v>13.5</v>
      </c>
      <c r="BX19" s="214"/>
      <c r="BY19" s="182" t="s">
        <v>107</v>
      </c>
      <c r="BZ19" s="183"/>
      <c r="CA19" s="18"/>
      <c r="CB19" s="18"/>
      <c r="CC19" s="18"/>
    </row>
    <row r="20" spans="10:81" x14ac:dyDescent="0.2">
      <c r="Y20" s="79"/>
      <c r="AC20" s="119" t="str">
        <f>IF(Param!B25="","","Envoy  Supply ")</f>
        <v xml:space="preserve">Envoy  Supply </v>
      </c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R20" s="102" t="s">
        <v>135</v>
      </c>
      <c r="BS20" s="10"/>
      <c r="BT20" s="144"/>
      <c r="BU20" s="18"/>
      <c r="BV20" s="18"/>
      <c r="BW20" s="118"/>
      <c r="BX20" s="146">
        <v>32</v>
      </c>
      <c r="BY20" s="146"/>
      <c r="BZ20" s="115" t="s">
        <v>108</v>
      </c>
      <c r="CA20" s="18"/>
      <c r="CB20" s="18"/>
      <c r="CC20" s="18"/>
    </row>
    <row r="21" spans="10:81" x14ac:dyDescent="0.2">
      <c r="AC21" s="119" t="str">
        <f>IF(Param!B25="","","Switch")</f>
        <v>Switch</v>
      </c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103" t="s">
        <v>110</v>
      </c>
      <c r="BS21" s="104"/>
      <c r="BT21" s="105"/>
      <c r="BU21" s="19"/>
      <c r="BV21" s="19"/>
      <c r="BW21" s="116"/>
      <c r="BX21" s="147">
        <v>50</v>
      </c>
      <c r="BY21" s="147"/>
      <c r="BZ21" s="117" t="s">
        <v>111</v>
      </c>
      <c r="CA21" s="208"/>
      <c r="CB21" s="208"/>
      <c r="CC21" s="208"/>
    </row>
    <row r="22" spans="10:81" x14ac:dyDescent="0.2">
      <c r="BR22" s="145"/>
      <c r="BS22" s="145"/>
      <c r="BT22" s="145"/>
      <c r="BU22" s="145"/>
      <c r="BV22" s="145"/>
      <c r="BW22" s="145"/>
      <c r="BX22" s="145"/>
      <c r="BY22" s="145"/>
      <c r="BZ22" s="145"/>
      <c r="CA22" s="209"/>
      <c r="CB22" s="209"/>
      <c r="CC22" s="209"/>
    </row>
    <row r="23" spans="10:81" x14ac:dyDescent="0.2">
      <c r="AJ23" s="7"/>
      <c r="AX23" s="119" t="s">
        <v>112</v>
      </c>
      <c r="BR23" s="27" t="s">
        <v>41</v>
      </c>
      <c r="BS23" s="26"/>
      <c r="BT23" s="26"/>
      <c r="BU23" s="26"/>
      <c r="BV23" s="26"/>
      <c r="BW23" s="26"/>
      <c r="BX23" s="26"/>
      <c r="BY23" s="26"/>
      <c r="BZ23" s="25"/>
      <c r="CA23" s="182"/>
      <c r="CB23" s="182"/>
      <c r="CC23" s="182"/>
    </row>
    <row r="24" spans="10:81" x14ac:dyDescent="0.2">
      <c r="AX24" s="119" t="s">
        <v>113</v>
      </c>
      <c r="BR24" s="24" t="s">
        <v>114</v>
      </c>
      <c r="BS24" s="18"/>
      <c r="BT24" s="18"/>
      <c r="BU24" s="18"/>
      <c r="BV24" s="172">
        <f>Param!B13</f>
        <v>5</v>
      </c>
      <c r="BW24" s="172"/>
      <c r="BX24" s="172"/>
      <c r="BY24" s="172"/>
      <c r="BZ24" s="173"/>
      <c r="CB24" s="17"/>
      <c r="CC24" s="17"/>
    </row>
    <row r="25" spans="10:81" x14ac:dyDescent="0.2">
      <c r="BR25" s="24" t="s">
        <v>40</v>
      </c>
      <c r="BS25" s="18"/>
      <c r="BT25" s="18"/>
      <c r="BU25" s="18"/>
      <c r="BV25" s="172" t="str">
        <f>Param!B19</f>
        <v>Enphase</v>
      </c>
      <c r="BW25" s="172"/>
      <c r="BX25" s="172"/>
      <c r="BY25" s="172"/>
      <c r="BZ25" s="173"/>
      <c r="CC25" s="17"/>
    </row>
    <row r="26" spans="10:81" x14ac:dyDescent="0.2">
      <c r="J26" s="119" t="s">
        <v>112</v>
      </c>
      <c r="BR26" s="22" t="s">
        <v>39</v>
      </c>
      <c r="BS26" s="21"/>
      <c r="BT26" s="18"/>
      <c r="BU26" s="18"/>
      <c r="BV26" s="174" t="str">
        <f>Param!B20</f>
        <v>IQ7A</v>
      </c>
      <c r="BW26" s="174"/>
      <c r="BX26" s="174"/>
      <c r="BY26" s="174"/>
      <c r="BZ26" s="175"/>
      <c r="CC26" s="17"/>
    </row>
    <row r="27" spans="10:81" x14ac:dyDescent="0.2">
      <c r="BR27" s="22" t="s">
        <v>159</v>
      </c>
      <c r="BS27" s="150"/>
      <c r="BT27" s="150"/>
      <c r="BU27" s="150"/>
      <c r="BV27" s="150"/>
      <c r="BW27" s="215" t="str">
        <f>_xlfn.CONCAT(Param!B21," kWac")</f>
        <v>0.35 kWac</v>
      </c>
      <c r="BX27" s="215"/>
      <c r="BY27" s="215"/>
      <c r="BZ27" s="216"/>
      <c r="CC27" s="123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20" t="s">
        <v>115</v>
      </c>
      <c r="BS28" s="19"/>
      <c r="BT28" s="19"/>
      <c r="BU28" s="19"/>
      <c r="BV28" s="19"/>
      <c r="BW28" s="217" t="str">
        <f>_xlfn.CONCAT(Param!B21*BV24, " kWac")</f>
        <v>1.75 kWac</v>
      </c>
      <c r="BX28" s="217"/>
      <c r="BY28" s="217"/>
      <c r="BZ28" s="218"/>
      <c r="CC28" s="123"/>
    </row>
    <row r="29" spans="10:81" x14ac:dyDescent="0.2">
      <c r="L29" s="16"/>
      <c r="M29" s="15"/>
      <c r="BK29" s="79"/>
      <c r="BL29" s="79"/>
      <c r="BN29" s="79"/>
      <c r="BO29" s="79"/>
      <c r="BP29" s="79"/>
      <c r="BQ29" s="79"/>
      <c r="BR29" s="98"/>
      <c r="BS29" s="98"/>
      <c r="BT29" s="120"/>
      <c r="BU29" s="120"/>
      <c r="BV29" s="121"/>
      <c r="BW29" s="121"/>
      <c r="BX29" s="122"/>
      <c r="BY29" s="122"/>
      <c r="BZ29" s="122"/>
      <c r="CA29" s="122"/>
      <c r="CB29" s="123"/>
      <c r="CC29" s="123"/>
    </row>
    <row r="30" spans="10:81" x14ac:dyDescent="0.2">
      <c r="AX30" s="100" t="str">
        <f>IF(Param!B36&lt;&gt;"","ENP 01 - Existing array","")</f>
        <v>ENP 01 - Existing array</v>
      </c>
      <c r="BK30" s="79"/>
      <c r="BL30" s="79"/>
      <c r="BN30" s="79"/>
      <c r="BO30" s="79"/>
      <c r="BP30" s="79"/>
      <c r="BQ30" s="79"/>
      <c r="BR30" s="98"/>
      <c r="BS30" s="98"/>
      <c r="BT30" s="120"/>
      <c r="BU30" s="120"/>
      <c r="BV30" s="121"/>
      <c r="BW30" s="121"/>
      <c r="BX30" s="122"/>
      <c r="BY30" s="122"/>
      <c r="BZ30" s="122"/>
      <c r="CA30" s="122"/>
      <c r="CB30" s="123"/>
      <c r="CC30" s="123"/>
    </row>
    <row r="31" spans="10:81" x14ac:dyDescent="0.2">
      <c r="AX31" s="119" t="s">
        <v>172</v>
      </c>
      <c r="BK31" s="79"/>
      <c r="BL31" s="79"/>
      <c r="BN31" s="79"/>
      <c r="BO31" s="79"/>
      <c r="BP31" s="79"/>
      <c r="BQ31" s="79"/>
      <c r="BR31" s="10"/>
      <c r="BS31" s="10"/>
      <c r="BT31" s="206"/>
      <c r="BU31" s="206"/>
      <c r="BV31" s="180"/>
      <c r="BW31" s="180"/>
      <c r="BX31" s="180"/>
      <c r="BY31" s="180"/>
      <c r="BZ31" s="180"/>
      <c r="CA31" s="180"/>
      <c r="CB31" s="171"/>
      <c r="CC31" s="171"/>
    </row>
    <row r="32" spans="10:81" x14ac:dyDescent="0.2">
      <c r="AX32" s="119" t="s">
        <v>173</v>
      </c>
      <c r="BJ32" s="14"/>
      <c r="BK32" s="14"/>
      <c r="BL32" s="14"/>
      <c r="BN32" s="79"/>
      <c r="BO32" s="79"/>
      <c r="BP32" s="79"/>
      <c r="BQ32" s="79"/>
      <c r="BR32" s="10"/>
      <c r="BS32" s="10"/>
      <c r="BT32" s="206"/>
      <c r="BU32" s="206"/>
      <c r="BV32" s="180"/>
      <c r="BW32" s="180"/>
      <c r="BX32" s="180"/>
      <c r="BY32" s="180"/>
      <c r="BZ32" s="180"/>
      <c r="CA32" s="180"/>
      <c r="CB32" s="171"/>
      <c r="CC32" s="171"/>
    </row>
    <row r="33" spans="40:82" x14ac:dyDescent="0.2">
      <c r="BK33" s="79"/>
      <c r="BL33" s="79"/>
      <c r="BN33" s="79"/>
      <c r="BO33" s="79"/>
      <c r="BP33" s="79"/>
      <c r="BQ33" s="79"/>
      <c r="BR33" s="10"/>
      <c r="BS33" s="10"/>
      <c r="BT33" s="206"/>
      <c r="BU33" s="206"/>
      <c r="BV33" s="180"/>
      <c r="BW33" s="180"/>
      <c r="BX33" s="180"/>
      <c r="BY33" s="180"/>
      <c r="BZ33" s="180"/>
      <c r="CA33" s="180"/>
      <c r="CB33" s="171"/>
      <c r="CC33" s="171"/>
    </row>
    <row r="34" spans="40:82" x14ac:dyDescent="0.2">
      <c r="BK34" s="79"/>
      <c r="BL34" s="79"/>
      <c r="BN34" s="79"/>
      <c r="BO34" s="79"/>
      <c r="BP34" s="79"/>
      <c r="BQ34" s="79"/>
      <c r="BR34" s="200" t="s">
        <v>86</v>
      </c>
      <c r="BS34" s="205"/>
      <c r="BT34" s="205"/>
      <c r="BU34" s="205" t="s">
        <v>87</v>
      </c>
      <c r="BV34" s="201"/>
      <c r="BW34" s="205" t="s">
        <v>88</v>
      </c>
      <c r="BX34" s="205"/>
      <c r="BY34" s="205" t="s">
        <v>89</v>
      </c>
      <c r="BZ34" s="205"/>
      <c r="CA34" s="205" t="s">
        <v>90</v>
      </c>
      <c r="CB34" s="201"/>
      <c r="CC34" s="123"/>
    </row>
    <row r="35" spans="40:82" x14ac:dyDescent="0.2">
      <c r="BK35" s="79"/>
      <c r="BL35" s="79"/>
      <c r="BM35" s="79"/>
      <c r="BN35" s="79"/>
      <c r="BO35" s="79"/>
      <c r="BP35" s="79"/>
      <c r="BQ35" s="79"/>
      <c r="BR35" s="202" t="s">
        <v>91</v>
      </c>
      <c r="BS35" s="203"/>
      <c r="BT35" s="203"/>
      <c r="BU35" s="189" t="s">
        <v>164</v>
      </c>
      <c r="BV35" s="204"/>
      <c r="BW35" s="180">
        <v>0.35</v>
      </c>
      <c r="BX35" s="180"/>
      <c r="BY35" s="180">
        <v>0.7</v>
      </c>
      <c r="BZ35" s="180"/>
      <c r="CA35" s="180">
        <v>0.7</v>
      </c>
      <c r="CB35" s="181"/>
      <c r="CC35" s="123"/>
    </row>
    <row r="36" spans="40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202" t="s">
        <v>166</v>
      </c>
      <c r="BS36" s="203"/>
      <c r="BT36" s="203"/>
      <c r="BU36" s="203" t="s">
        <v>118</v>
      </c>
      <c r="BV36" s="203"/>
      <c r="BW36" s="202">
        <v>4.0599999999999996</v>
      </c>
      <c r="BX36" s="203"/>
      <c r="BY36" s="203">
        <v>3.77</v>
      </c>
      <c r="BZ36" s="180"/>
      <c r="CA36" s="180">
        <v>3.77</v>
      </c>
      <c r="CB36" s="181"/>
      <c r="CC36" s="170"/>
      <c r="CD36" s="171"/>
    </row>
    <row r="37" spans="40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91" t="s">
        <v>119</v>
      </c>
      <c r="BS37" s="192"/>
      <c r="BT37" s="192"/>
      <c r="BU37" s="192" t="s">
        <v>120</v>
      </c>
      <c r="BV37" s="193"/>
      <c r="BW37" s="192">
        <v>5</v>
      </c>
      <c r="BX37" s="192"/>
      <c r="BY37" s="192"/>
      <c r="BZ37" s="192"/>
      <c r="CA37" s="192"/>
      <c r="CB37" s="193"/>
      <c r="CC37" s="123"/>
    </row>
    <row r="38" spans="40:82" x14ac:dyDescent="0.2">
      <c r="BR38" s="191" t="s">
        <v>121</v>
      </c>
      <c r="BS38" s="192"/>
      <c r="BT38" s="192"/>
      <c r="BU38" s="192"/>
      <c r="BV38" s="193"/>
      <c r="BW38" s="191">
        <f>SUM(BW35:BX37)</f>
        <v>9.41</v>
      </c>
      <c r="BX38" s="192"/>
      <c r="BY38" s="191">
        <f t="shared" ref="BY38" si="0">SUM(BY35:BZ37)</f>
        <v>4.47</v>
      </c>
      <c r="BZ38" s="192"/>
      <c r="CA38" s="200">
        <f t="shared" ref="CA38" si="1">SUM(CA35:CB37)</f>
        <v>4.47</v>
      </c>
      <c r="CB38" s="201"/>
      <c r="CC38" s="123"/>
    </row>
    <row r="39" spans="40:82" x14ac:dyDescent="0.2">
      <c r="AN39" s="119" t="s">
        <v>133</v>
      </c>
    </row>
    <row r="40" spans="40:82" x14ac:dyDescent="0.2">
      <c r="AT40" s="199"/>
      <c r="BR40" s="180"/>
      <c r="BS40" s="180"/>
      <c r="BT40" s="180"/>
      <c r="BU40" s="180"/>
      <c r="BV40" s="180"/>
      <c r="BW40" s="180"/>
      <c r="BX40" s="180"/>
      <c r="BY40" s="180"/>
      <c r="BZ40" s="180"/>
      <c r="CA40" s="180"/>
      <c r="CB40" s="180"/>
    </row>
    <row r="41" spans="40:82" x14ac:dyDescent="0.2">
      <c r="AO41" s="79"/>
      <c r="AT41" s="199"/>
      <c r="BB41" s="100" t="s">
        <v>170</v>
      </c>
      <c r="BR41" s="180"/>
      <c r="BS41" s="180"/>
      <c r="BT41" s="180"/>
      <c r="BU41" s="180"/>
      <c r="BV41" s="180"/>
      <c r="BW41" s="180"/>
      <c r="BX41" s="180"/>
      <c r="BY41" s="180"/>
      <c r="BZ41" s="180"/>
      <c r="CA41" s="180"/>
      <c r="CB41" s="180"/>
    </row>
    <row r="42" spans="40:82" x14ac:dyDescent="0.2">
      <c r="AO42" s="79"/>
      <c r="BB42" s="151" t="s">
        <v>171</v>
      </c>
      <c r="BK42" s="120"/>
      <c r="BR42" s="180"/>
      <c r="BS42" s="180"/>
      <c r="BT42" s="180"/>
      <c r="BU42" s="180"/>
      <c r="BV42" s="180"/>
      <c r="BW42" s="180"/>
      <c r="BX42" s="180"/>
      <c r="BY42" s="180"/>
      <c r="BZ42" s="180"/>
      <c r="CA42" s="180"/>
      <c r="CB42" s="180"/>
    </row>
    <row r="43" spans="40:82" x14ac:dyDescent="0.2">
      <c r="AO43" s="106"/>
      <c r="AT43" s="100"/>
      <c r="BB43" s="151" t="s">
        <v>174</v>
      </c>
      <c r="BN43" s="119" t="str">
        <f>IF(Param!B22&lt;&gt;"", _xlfn.CONCAT(Param!B22," Panels"),"")</f>
        <v>1 Panels</v>
      </c>
    </row>
    <row r="44" spans="40:82" x14ac:dyDescent="0.2">
      <c r="AO44" s="107"/>
      <c r="BT44" s="77"/>
      <c r="BU44" s="77"/>
      <c r="BV44" s="77"/>
      <c r="BW44" s="77"/>
      <c r="BX44" s="77"/>
      <c r="BY44" s="77"/>
      <c r="BZ44" s="77"/>
      <c r="CA44" s="77"/>
      <c r="CB44" s="77"/>
    </row>
    <row r="45" spans="40:82" x14ac:dyDescent="0.2">
      <c r="BR45" s="13" t="s">
        <v>37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40:82" x14ac:dyDescent="0.2">
      <c r="BR46" s="80" t="s">
        <v>36</v>
      </c>
      <c r="BS46" s="70"/>
      <c r="BV46" s="109" t="s">
        <v>35</v>
      </c>
      <c r="BW46" s="119" t="s">
        <v>34</v>
      </c>
    </row>
    <row r="47" spans="40:82" x14ac:dyDescent="0.2">
      <c r="BR47" s="71" t="s">
        <v>33</v>
      </c>
      <c r="BS47" s="79"/>
      <c r="BV47" s="110">
        <f>BV24</f>
        <v>5</v>
      </c>
      <c r="BW47" s="71" t="str">
        <f>_xlfn.CONCAT(, BV7, " ", BX9, "W")</f>
        <v>LG NeON 2 365W</v>
      </c>
      <c r="BY47" s="79"/>
      <c r="BZ47" s="79"/>
    </row>
    <row r="48" spans="40:82" x14ac:dyDescent="0.2">
      <c r="BR48" s="71" t="s">
        <v>122</v>
      </c>
      <c r="BS48" s="79"/>
      <c r="BV48" s="109">
        <f>BV47</f>
        <v>5</v>
      </c>
      <c r="BW48" s="71" t="str">
        <f>BU35</f>
        <v>IQ7A</v>
      </c>
      <c r="BY48" s="79"/>
      <c r="BZ48" s="79"/>
    </row>
    <row r="49" spans="46:82" x14ac:dyDescent="0.2">
      <c r="BR49" s="71" t="s">
        <v>123</v>
      </c>
      <c r="BS49" s="79"/>
      <c r="BV49" s="109">
        <v>1</v>
      </c>
      <c r="BW49" s="197" t="s">
        <v>124</v>
      </c>
      <c r="BX49" s="198"/>
      <c r="BY49" s="198"/>
      <c r="BZ49" s="198"/>
      <c r="CA49" s="198"/>
      <c r="CB49" s="198"/>
      <c r="CC49" s="198"/>
      <c r="CD49" s="198"/>
    </row>
    <row r="50" spans="46:82" x14ac:dyDescent="0.2">
      <c r="BN50" s="119" t="str">
        <f>IF(Param!B23&lt;&gt;"", _xlfn.CONCAT(Param!B23," Panels"),"")</f>
        <v>2 Panels</v>
      </c>
      <c r="BR50" s="71" t="s">
        <v>125</v>
      </c>
      <c r="BS50" s="79"/>
      <c r="BV50" s="109">
        <v>1</v>
      </c>
      <c r="BW50" s="71" t="s">
        <v>126</v>
      </c>
      <c r="BY50" s="79"/>
      <c r="BZ50" s="79"/>
    </row>
    <row r="51" spans="46:82" x14ac:dyDescent="0.2">
      <c r="BR51" s="71" t="s">
        <v>127</v>
      </c>
      <c r="BS51" s="79"/>
      <c r="BV51" s="109">
        <v>2</v>
      </c>
      <c r="BW51" s="71" t="s">
        <v>128</v>
      </c>
      <c r="BY51" s="79"/>
      <c r="BZ51" s="79"/>
    </row>
    <row r="52" spans="46:82" x14ac:dyDescent="0.2">
      <c r="BR52" s="71" t="s">
        <v>129</v>
      </c>
      <c r="BS52" s="79"/>
      <c r="BV52" s="109">
        <v>1</v>
      </c>
      <c r="BW52" s="71" t="s">
        <v>130</v>
      </c>
      <c r="BY52" s="79"/>
      <c r="BZ52" s="79"/>
    </row>
    <row r="53" spans="46:82" x14ac:dyDescent="0.2">
      <c r="AU53" s="119" t="str">
        <f>IF(Param!B22&lt;&gt;"",_xlfn.CONCAT(Param!B31,"mm 4C+E"),_xlfn.CONCAT(Param!B31,"mm 2C+E"))</f>
        <v>4mm 4C+E</v>
      </c>
      <c r="BR53" s="83" t="s">
        <v>32</v>
      </c>
      <c r="BS53" s="84"/>
      <c r="BT53" s="77"/>
      <c r="BU53" s="77"/>
      <c r="BV53" s="111"/>
      <c r="BW53" s="83" t="s">
        <v>31</v>
      </c>
      <c r="BY53" s="84"/>
      <c r="BZ53" s="84"/>
      <c r="CA53" s="77"/>
      <c r="CB53" s="77"/>
      <c r="CC53" s="77"/>
      <c r="CD53" s="77"/>
    </row>
    <row r="54" spans="46:82" x14ac:dyDescent="0.2">
      <c r="BX54" s="74"/>
    </row>
    <row r="55" spans="46:82" x14ac:dyDescent="0.2">
      <c r="AT55" s="100"/>
      <c r="BX55" s="77"/>
    </row>
    <row r="56" spans="46:82" x14ac:dyDescent="0.2">
      <c r="BN56" s="119" t="str">
        <f>IF(Param!B24&lt;&gt;"", _xlfn.CONCAT(Param!B24," Panels"),"")</f>
        <v>2 Panels</v>
      </c>
      <c r="BR56" s="11" t="s">
        <v>30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46:82" x14ac:dyDescent="0.2">
      <c r="BR57" s="71" t="s">
        <v>29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46:82" x14ac:dyDescent="0.2">
      <c r="BR58" s="71" t="s">
        <v>28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46:82" x14ac:dyDescent="0.2">
      <c r="AZ59" s="180"/>
      <c r="BA59" s="180"/>
      <c r="BB59" s="180"/>
      <c r="BC59" s="180"/>
      <c r="BD59" s="180"/>
      <c r="BE59" s="180"/>
      <c r="BF59" s="180"/>
      <c r="BG59" s="180"/>
      <c r="BH59" s="180"/>
      <c r="BI59" s="180"/>
      <c r="BJ59" s="180"/>
      <c r="BR59" s="71" t="s">
        <v>27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46:82" x14ac:dyDescent="0.2">
      <c r="BR60" s="71" t="s">
        <v>26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46:82" x14ac:dyDescent="0.2">
      <c r="BR61" s="71" t="s">
        <v>25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46:82" x14ac:dyDescent="0.2">
      <c r="AZ62" s="10"/>
      <c r="BA62" s="10"/>
      <c r="BD62" s="9"/>
      <c r="BE62" s="9"/>
      <c r="BJ62" s="8"/>
      <c r="BR62" s="71" t="s">
        <v>24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46:82" x14ac:dyDescent="0.2">
      <c r="AZ63" s="10"/>
      <c r="BA63" s="10"/>
      <c r="BD63" s="9"/>
      <c r="BE63" s="9"/>
      <c r="BJ63" s="8"/>
      <c r="BR63" s="71" t="s">
        <v>23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46:82" x14ac:dyDescent="0.2">
      <c r="AZ64" s="10"/>
      <c r="BA64" s="10"/>
      <c r="BD64" s="9"/>
      <c r="BE64" s="9"/>
      <c r="BJ64" s="8"/>
      <c r="BR64" s="71" t="s">
        <v>22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21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C66" s="119" t="s">
        <v>134</v>
      </c>
      <c r="AO66" s="7"/>
      <c r="BR66" s="83" t="s">
        <v>20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AO67" s="7"/>
      <c r="BR67" s="73" t="s">
        <v>19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18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119" t="s">
        <v>17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16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86" t="s">
        <v>15</v>
      </c>
      <c r="AZ69" s="186"/>
      <c r="BA69" s="187"/>
      <c r="BB69" s="73" t="str">
        <f>Param!B3</f>
        <v xml:space="preserve">Wood, Ben
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">
        <v>59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190">
        <f>SUM(BW38:CB38)</f>
        <v>18.349999999999998</v>
      </c>
      <c r="CC69" s="190"/>
      <c r="CD69" s="190"/>
    </row>
    <row r="70" spans="2:82" x14ac:dyDescent="0.2">
      <c r="J70" s="5"/>
      <c r="K70" s="75"/>
      <c r="W70" s="5"/>
      <c r="X70" s="76"/>
      <c r="Y70" s="77" t="s">
        <v>6</v>
      </c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14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13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86" t="s">
        <v>12</v>
      </c>
      <c r="AZ71" s="186"/>
      <c r="BA71" s="187"/>
      <c r="BB71" s="73" t="str">
        <f>Param!B4</f>
        <v>54 CHARLTON ST Barnsley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11</v>
      </c>
      <c r="BO71" s="74"/>
      <c r="BP71" s="4"/>
      <c r="BQ71" s="73" t="s">
        <v>10</v>
      </c>
      <c r="BR71" s="74"/>
      <c r="BS71" s="4"/>
      <c r="BT71" s="73" t="s">
        <v>9</v>
      </c>
      <c r="BU71" s="74"/>
      <c r="BV71" s="74"/>
      <c r="BW71" s="4"/>
      <c r="BX71" s="73" t="s">
        <v>8</v>
      </c>
      <c r="BY71" s="74"/>
      <c r="BZ71" s="4"/>
      <c r="CA71" s="73" t="s">
        <v>7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 t="s">
        <v>6</v>
      </c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1" t="s">
        <v>62</v>
      </c>
      <c r="BO72" s="192"/>
      <c r="BP72" s="193"/>
      <c r="BQ72" s="191" t="s">
        <v>5</v>
      </c>
      <c r="BR72" s="192"/>
      <c r="BS72" s="193"/>
      <c r="BT72" s="191" t="s">
        <v>5</v>
      </c>
      <c r="BU72" s="192"/>
      <c r="BV72" s="192"/>
      <c r="BW72" s="1"/>
      <c r="BX72" s="194">
        <f ca="1">TODAY()</f>
        <v>44218</v>
      </c>
      <c r="BY72" s="195"/>
      <c r="BZ72" s="196"/>
      <c r="CA72" s="6" t="s">
        <v>4</v>
      </c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86" t="s">
        <v>3</v>
      </c>
      <c r="AZ73" s="186"/>
      <c r="BA73" s="187"/>
      <c r="BB73" s="188">
        <f>Param!B2</f>
        <v>26305</v>
      </c>
      <c r="BC73" s="189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2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1</v>
      </c>
      <c r="BO74" s="77"/>
      <c r="BP74" s="77"/>
      <c r="BQ74" s="3" t="s">
        <v>169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94">
    <mergeCell ref="CA36:CB36"/>
    <mergeCell ref="BR36:BT36"/>
    <mergeCell ref="BU36:BV36"/>
    <mergeCell ref="BW27:BZ27"/>
    <mergeCell ref="BW28:BZ28"/>
    <mergeCell ref="BW36:BX36"/>
    <mergeCell ref="BY36:BZ36"/>
    <mergeCell ref="BT32:BU32"/>
    <mergeCell ref="BV32:BW32"/>
    <mergeCell ref="BX32:BY32"/>
    <mergeCell ref="BZ32:CA32"/>
    <mergeCell ref="CB32:CC32"/>
    <mergeCell ref="BT31:BU31"/>
    <mergeCell ref="BV31:BW31"/>
    <mergeCell ref="BX31:BY31"/>
    <mergeCell ref="BZ31:CA31"/>
    <mergeCell ref="BY18:BZ18"/>
    <mergeCell ref="BY19:BZ19"/>
    <mergeCell ref="BV16:BZ16"/>
    <mergeCell ref="BV17:BZ17"/>
    <mergeCell ref="BV15:BZ15"/>
    <mergeCell ref="BW18:BX18"/>
    <mergeCell ref="BW19:BX19"/>
    <mergeCell ref="BT33:BU33"/>
    <mergeCell ref="BV33:BW33"/>
    <mergeCell ref="BX33:BY33"/>
    <mergeCell ref="BZ33:CA33"/>
    <mergeCell ref="CB33:CC33"/>
    <mergeCell ref="BR34:BT34"/>
    <mergeCell ref="BU34:BV34"/>
    <mergeCell ref="BW34:BX34"/>
    <mergeCell ref="BY34:BZ34"/>
    <mergeCell ref="CA34:CB34"/>
    <mergeCell ref="BR37:BT37"/>
    <mergeCell ref="BU37:BV37"/>
    <mergeCell ref="BW37:BX37"/>
    <mergeCell ref="BY37:BZ37"/>
    <mergeCell ref="CA37:CB37"/>
    <mergeCell ref="BR35:BT35"/>
    <mergeCell ref="BU35:BV35"/>
    <mergeCell ref="BW35:BX35"/>
    <mergeCell ref="BY35:BZ35"/>
    <mergeCell ref="CA35:CB35"/>
    <mergeCell ref="CA40:CB40"/>
    <mergeCell ref="BW38:BX38"/>
    <mergeCell ref="BY38:BZ38"/>
    <mergeCell ref="CA38:CB38"/>
    <mergeCell ref="BR38:BV38"/>
    <mergeCell ref="AT40:AT41"/>
    <mergeCell ref="BR40:BT40"/>
    <mergeCell ref="BU40:BV40"/>
    <mergeCell ref="BW40:BX40"/>
    <mergeCell ref="BY40:BZ40"/>
    <mergeCell ref="CA41:CB41"/>
    <mergeCell ref="BR42:BT42"/>
    <mergeCell ref="BU42:BV42"/>
    <mergeCell ref="BW42:BX42"/>
    <mergeCell ref="BY42:BZ42"/>
    <mergeCell ref="CA42:CB42"/>
    <mergeCell ref="BR41:BT41"/>
    <mergeCell ref="BU41:BV41"/>
    <mergeCell ref="BW41:BX41"/>
    <mergeCell ref="BY41:BZ41"/>
    <mergeCell ref="BW49:CD49"/>
    <mergeCell ref="AZ59:BB59"/>
    <mergeCell ref="BC59:BD59"/>
    <mergeCell ref="BE59:BF59"/>
    <mergeCell ref="BG59:BH59"/>
    <mergeCell ref="BI59:BJ59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CC36:CD36"/>
    <mergeCell ref="BV24:BZ24"/>
    <mergeCell ref="BV25:BZ25"/>
    <mergeCell ref="BV26:BZ26"/>
    <mergeCell ref="BV6:BZ6"/>
    <mergeCell ref="BV7:BZ7"/>
    <mergeCell ref="BW8:BZ8"/>
    <mergeCell ref="BX11:BZ11"/>
    <mergeCell ref="BV12:BZ12"/>
    <mergeCell ref="CB31:CC31"/>
    <mergeCell ref="CA11:CC11"/>
    <mergeCell ref="CA21:CC21"/>
    <mergeCell ref="CA22:CC22"/>
    <mergeCell ref="CA23:CC23"/>
    <mergeCell ref="BX9:BZ9"/>
    <mergeCell ref="BX10:BZ10"/>
  </mergeCells>
  <conditionalFormatting sqref="BH62:BI65">
    <cfRule type="cellIs" dxfId="11" priority="4" operator="greaterThan">
      <formula>600</formula>
    </cfRule>
  </conditionalFormatting>
  <conditionalFormatting sqref="CA24">
    <cfRule type="cellIs" dxfId="10" priority="1" operator="greaterThan">
      <formula>600</formula>
    </cfRule>
  </conditionalFormatting>
  <conditionalFormatting sqref="BZ31:CA33">
    <cfRule type="cellIs" dxfId="9" priority="3" operator="greaterThan">
      <formula>600</formula>
    </cfRule>
  </conditionalFormatting>
  <conditionalFormatting sqref="BZ29:CA30">
    <cfRule type="cellIs" dxfId="8" priority="2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9A165-32AA-834D-AA1A-9A8089B21294}">
  <sheetPr codeName="Feuil6">
    <pageSetUpPr fitToPage="1"/>
  </sheetPr>
  <dimension ref="B5:CD74"/>
  <sheetViews>
    <sheetView showGridLines="0" topLeftCell="B1" zoomScale="66" zoomScaleNormal="227" workbookViewId="0">
      <selection activeCell="BR5" sqref="BR5:BZ12"/>
    </sheetView>
  </sheetViews>
  <sheetFormatPr baseColWidth="10" defaultRowHeight="16" x14ac:dyDescent="0.2"/>
  <cols>
    <col min="1" max="73" width="3.33203125" style="128" customWidth="1"/>
    <col min="74" max="74" width="4.1640625" style="128" bestFit="1" customWidth="1"/>
    <col min="75" max="75" width="3.33203125" style="128" customWidth="1"/>
    <col min="76" max="76" width="4.33203125" style="128" customWidth="1"/>
    <col min="77" max="83" width="3.33203125" style="128" customWidth="1"/>
    <col min="84" max="16384" width="10.83203125" style="128"/>
  </cols>
  <sheetData>
    <row r="5" spans="4:81" x14ac:dyDescent="0.2">
      <c r="D5" s="100" t="s">
        <v>61</v>
      </c>
      <c r="BR5" s="27" t="s">
        <v>45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BR6" s="24" t="s">
        <v>40</v>
      </c>
      <c r="BS6" s="18"/>
      <c r="BT6" s="18"/>
      <c r="BU6" s="18"/>
      <c r="BV6" s="176" t="str">
        <f>Param!B11</f>
        <v>LG Electronics</v>
      </c>
      <c r="BW6" s="176"/>
      <c r="BX6" s="176"/>
      <c r="BY6" s="176"/>
      <c r="BZ6" s="177"/>
    </row>
    <row r="7" spans="4:81" x14ac:dyDescent="0.2">
      <c r="BR7" s="24" t="s">
        <v>39</v>
      </c>
      <c r="BS7" s="18"/>
      <c r="BT7" s="18"/>
      <c r="BU7" s="18"/>
      <c r="BV7" s="178" t="str">
        <f>Param!B12</f>
        <v>LG NeON 2</v>
      </c>
      <c r="BW7" s="178"/>
      <c r="BX7" s="178"/>
      <c r="BY7" s="178"/>
      <c r="BZ7" s="179"/>
    </row>
    <row r="8" spans="4:81" x14ac:dyDescent="0.2">
      <c r="BR8" s="24" t="s">
        <v>157</v>
      </c>
      <c r="BS8" s="137"/>
      <c r="BT8" s="137"/>
      <c r="BU8" s="137"/>
      <c r="BV8" s="137"/>
      <c r="BW8" s="180">
        <f>Param!B13</f>
        <v>5</v>
      </c>
      <c r="BX8" s="180"/>
      <c r="BY8" s="180"/>
      <c r="BZ8" s="181"/>
    </row>
    <row r="9" spans="4:81" x14ac:dyDescent="0.2">
      <c r="BR9" s="24" t="s">
        <v>44</v>
      </c>
      <c r="BS9" s="18"/>
      <c r="BT9" s="18"/>
      <c r="BU9" s="18"/>
      <c r="BV9" s="18"/>
      <c r="BW9" s="18"/>
      <c r="BX9" s="208">
        <f>Param!B14</f>
        <v>365</v>
      </c>
      <c r="BY9" s="208"/>
      <c r="BZ9" s="210"/>
    </row>
    <row r="10" spans="4:81" x14ac:dyDescent="0.2">
      <c r="BR10" s="24" t="s">
        <v>43</v>
      </c>
      <c r="BS10" s="18"/>
      <c r="BT10" s="18"/>
      <c r="BU10" s="18"/>
      <c r="BV10" s="18"/>
      <c r="BW10" s="18"/>
      <c r="BX10" s="209">
        <f>Param!B15</f>
        <v>41.7</v>
      </c>
      <c r="BY10" s="209"/>
      <c r="BZ10" s="211"/>
    </row>
    <row r="11" spans="4:81" x14ac:dyDescent="0.2">
      <c r="BR11" s="24" t="s">
        <v>42</v>
      </c>
      <c r="BS11" s="18"/>
      <c r="BT11" s="18"/>
      <c r="BU11" s="18"/>
      <c r="BV11" s="18"/>
      <c r="BW11" s="18"/>
      <c r="BX11" s="182">
        <f>Param!B16</f>
        <v>10.88</v>
      </c>
      <c r="BY11" s="182"/>
      <c r="BZ11" s="183"/>
      <c r="CA11" s="207"/>
      <c r="CB11" s="207"/>
      <c r="CC11" s="207"/>
    </row>
    <row r="12" spans="4:81" x14ac:dyDescent="0.2">
      <c r="BR12" s="28" t="s">
        <v>158</v>
      </c>
      <c r="BS12" s="19"/>
      <c r="BT12" s="19"/>
      <c r="BU12" s="19"/>
      <c r="BV12" s="219">
        <f>Param!B14*BW8/1000</f>
        <v>1.825</v>
      </c>
      <c r="BW12" s="219"/>
      <c r="BX12" s="219"/>
      <c r="BY12" s="219"/>
      <c r="BZ12" s="220"/>
      <c r="CC12" s="78"/>
    </row>
    <row r="13" spans="4:81" x14ac:dyDescent="0.2">
      <c r="Y13" s="100" t="s">
        <v>132</v>
      </c>
      <c r="AZ13" s="100" t="s">
        <v>131</v>
      </c>
      <c r="CC13" s="78"/>
    </row>
    <row r="14" spans="4:81" x14ac:dyDescent="0.2">
      <c r="BE14" s="101"/>
      <c r="BF14" s="101"/>
      <c r="BR14" s="27" t="s">
        <v>100</v>
      </c>
      <c r="BS14" s="26"/>
      <c r="BT14" s="26"/>
      <c r="BU14" s="26"/>
      <c r="BV14" s="26"/>
      <c r="BW14" s="26"/>
      <c r="BX14" s="26"/>
      <c r="BY14" s="26"/>
      <c r="BZ14" s="25"/>
      <c r="CC14" s="78"/>
    </row>
    <row r="15" spans="4:81" x14ac:dyDescent="0.2">
      <c r="BE15" s="101"/>
      <c r="BK15" s="78"/>
      <c r="BL15" s="78"/>
      <c r="BM15" s="78"/>
      <c r="BR15" s="75" t="s">
        <v>101</v>
      </c>
      <c r="BV15" s="128">
        <v>1</v>
      </c>
      <c r="BZ15" s="5"/>
      <c r="CC15" s="78"/>
    </row>
    <row r="16" spans="4:81" x14ac:dyDescent="0.2">
      <c r="BR16" s="24" t="s">
        <v>40</v>
      </c>
      <c r="BS16" s="18"/>
      <c r="BT16" s="18"/>
      <c r="BU16" s="18"/>
      <c r="BV16" s="18" t="s">
        <v>102</v>
      </c>
      <c r="BW16" s="18"/>
      <c r="BX16" s="18"/>
      <c r="BY16" s="18"/>
      <c r="BZ16" s="23"/>
      <c r="CC16" s="78"/>
    </row>
    <row r="17" spans="10:81" x14ac:dyDescent="0.2"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R17" s="24" t="s">
        <v>39</v>
      </c>
      <c r="BS17" s="18"/>
      <c r="BT17" s="18"/>
      <c r="BU17" s="18"/>
      <c r="BV17" s="29" t="s">
        <v>103</v>
      </c>
      <c r="BW17" s="18"/>
      <c r="BX17" s="18"/>
      <c r="BY17" s="18"/>
      <c r="BZ17" s="23"/>
      <c r="CA17" s="78"/>
      <c r="CB17" s="78"/>
      <c r="CC17" s="78"/>
    </row>
    <row r="18" spans="10:81" ht="16" customHeight="1" x14ac:dyDescent="0.2">
      <c r="AA18" s="128" t="str">
        <f>IF(Param!B36&lt;&gt;"","Main","")</f>
        <v>Main</v>
      </c>
      <c r="AU18" s="128" t="s">
        <v>60</v>
      </c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R18" s="24" t="s">
        <v>104</v>
      </c>
      <c r="BS18" s="18"/>
      <c r="BT18" s="18"/>
      <c r="BU18" s="18"/>
      <c r="BV18" s="18"/>
      <c r="BW18" s="212">
        <f>5</f>
        <v>5</v>
      </c>
      <c r="BX18" s="212"/>
      <c r="BY18" s="138" t="s">
        <v>105</v>
      </c>
      <c r="BZ18" s="139"/>
      <c r="CA18" s="18"/>
      <c r="CB18" s="18"/>
      <c r="CC18" s="18"/>
    </row>
    <row r="19" spans="10:81" ht="16" customHeight="1" x14ac:dyDescent="0.2">
      <c r="AA19" s="128" t="str">
        <f>IF(Param!B36&lt;&gt;"","Switch","")</f>
        <v>Switch</v>
      </c>
      <c r="AU19" s="128" t="s">
        <v>109</v>
      </c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R19" s="24" t="s">
        <v>106</v>
      </c>
      <c r="BS19" s="18"/>
      <c r="BT19" s="18"/>
      <c r="BU19" s="18"/>
      <c r="BV19" s="18"/>
      <c r="BW19" s="212">
        <v>13.5</v>
      </c>
      <c r="BX19" s="212"/>
      <c r="BY19" s="140" t="s">
        <v>107</v>
      </c>
      <c r="BZ19" s="141"/>
      <c r="CA19" s="18"/>
      <c r="CB19" s="18"/>
      <c r="CC19" s="18"/>
    </row>
    <row r="20" spans="10:81" x14ac:dyDescent="0.2">
      <c r="Y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R20" s="102" t="s">
        <v>135</v>
      </c>
      <c r="BS20" s="10"/>
      <c r="BT20" s="136"/>
      <c r="BU20" s="18"/>
      <c r="BV20" s="18"/>
      <c r="BW20" s="118"/>
      <c r="BX20" s="172">
        <v>32</v>
      </c>
      <c r="BY20" s="172"/>
      <c r="BZ20" s="115" t="s">
        <v>108</v>
      </c>
      <c r="CA20" s="18"/>
      <c r="CB20" s="18"/>
      <c r="CC20" s="18"/>
    </row>
    <row r="21" spans="10:81" x14ac:dyDescent="0.2"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103" t="s">
        <v>110</v>
      </c>
      <c r="BS21" s="104"/>
      <c r="BT21" s="105"/>
      <c r="BU21" s="19"/>
      <c r="BV21" s="19"/>
      <c r="BW21" s="116"/>
      <c r="BX21" s="221">
        <v>50</v>
      </c>
      <c r="BY21" s="221"/>
      <c r="BZ21" s="117" t="s">
        <v>111</v>
      </c>
      <c r="CA21" s="208"/>
      <c r="CB21" s="208"/>
      <c r="CC21" s="208"/>
    </row>
    <row r="22" spans="10:81" x14ac:dyDescent="0.2">
      <c r="BR22" s="137"/>
      <c r="BS22" s="137"/>
      <c r="BT22" s="137"/>
      <c r="BU22" s="137"/>
      <c r="BV22" s="137"/>
      <c r="BW22" s="137"/>
      <c r="BX22" s="137"/>
      <c r="BY22" s="137"/>
      <c r="BZ22" s="137"/>
      <c r="CA22" s="209"/>
      <c r="CB22" s="209"/>
      <c r="CC22" s="209"/>
    </row>
    <row r="23" spans="10:81" x14ac:dyDescent="0.2">
      <c r="AA23" s="128" t="s">
        <v>112</v>
      </c>
      <c r="AJ23" s="7"/>
      <c r="BR23" s="27" t="s">
        <v>41</v>
      </c>
      <c r="BS23" s="26"/>
      <c r="BT23" s="26"/>
      <c r="BU23" s="26"/>
      <c r="BV23" s="26"/>
      <c r="BW23" s="26"/>
      <c r="BX23" s="26"/>
      <c r="BY23" s="26"/>
      <c r="BZ23" s="25"/>
      <c r="CA23" s="182"/>
      <c r="CB23" s="182"/>
      <c r="CC23" s="182"/>
    </row>
    <row r="24" spans="10:81" x14ac:dyDescent="0.2">
      <c r="AA24" s="128" t="s">
        <v>113</v>
      </c>
      <c r="BR24" s="24" t="s">
        <v>114</v>
      </c>
      <c r="BS24" s="18"/>
      <c r="BT24" s="18"/>
      <c r="BU24" s="18"/>
      <c r="BV24" s="224">
        <v>1</v>
      </c>
      <c r="BW24" s="224"/>
      <c r="BX24" s="224"/>
      <c r="BY24" s="224"/>
      <c r="BZ24" s="225"/>
      <c r="CB24" s="17"/>
      <c r="CC24" s="17"/>
    </row>
    <row r="25" spans="10:81" x14ac:dyDescent="0.2">
      <c r="BR25" s="24" t="s">
        <v>40</v>
      </c>
      <c r="BS25" s="18"/>
      <c r="BT25" s="18"/>
      <c r="BU25" s="18"/>
      <c r="BV25" s="222" t="str">
        <f>Param!E16</f>
        <v>SMA</v>
      </c>
      <c r="BW25" s="222"/>
      <c r="BX25" s="222"/>
      <c r="BY25" s="222"/>
      <c r="BZ25" s="223"/>
      <c r="CC25" s="17"/>
    </row>
    <row r="26" spans="10:81" x14ac:dyDescent="0.2">
      <c r="J26" s="128" t="s">
        <v>112</v>
      </c>
      <c r="BR26" s="22" t="s">
        <v>39</v>
      </c>
      <c r="BS26" s="21"/>
      <c r="BT26" s="18"/>
      <c r="BU26" s="18"/>
      <c r="BV26" s="174" t="str">
        <f>Param!E17</f>
        <v>SB4.0-1AV-40</v>
      </c>
      <c r="BW26" s="174"/>
      <c r="BX26" s="174"/>
      <c r="BY26" s="174"/>
      <c r="BZ26" s="175"/>
      <c r="CC26" s="17"/>
    </row>
    <row r="27" spans="10:81" x14ac:dyDescent="0.2">
      <c r="BR27" s="20" t="s">
        <v>115</v>
      </c>
      <c r="BS27" s="19"/>
      <c r="BT27" s="19"/>
      <c r="BU27" s="19"/>
      <c r="BV27" s="19"/>
      <c r="BW27" s="226">
        <f>Param!E20</f>
        <v>4</v>
      </c>
      <c r="BX27" s="226"/>
      <c r="BY27" s="226"/>
      <c r="BZ27" s="227"/>
      <c r="CC27" s="132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CC28" s="132"/>
    </row>
    <row r="29" spans="10:81" x14ac:dyDescent="0.2">
      <c r="L29" s="16"/>
      <c r="M29" s="15"/>
      <c r="AB29" s="100" t="str">
        <f>IF(Param!B36&lt;&gt;"","Existing array","")</f>
        <v>Existing array</v>
      </c>
      <c r="BB29" s="128" t="s">
        <v>133</v>
      </c>
      <c r="BE29" s="79"/>
      <c r="BF29" s="79"/>
      <c r="BG29" s="79"/>
      <c r="BH29" s="79"/>
      <c r="BI29" s="79"/>
      <c r="BK29" s="79"/>
      <c r="BL29" s="79"/>
      <c r="BM29" s="79"/>
      <c r="BN29" s="79"/>
      <c r="BO29" s="79"/>
      <c r="BP29" s="79"/>
      <c r="BQ29" s="79"/>
      <c r="BR29" s="133"/>
      <c r="BS29" s="133"/>
      <c r="BT29" s="129"/>
      <c r="BU29" s="129"/>
      <c r="BV29" s="130"/>
      <c r="BW29" s="130"/>
      <c r="BX29" s="131"/>
      <c r="BY29" s="131"/>
      <c r="BZ29" s="131"/>
      <c r="CA29" s="131"/>
      <c r="CB29" s="132"/>
      <c r="CC29" s="132"/>
    </row>
    <row r="30" spans="10:81" x14ac:dyDescent="0.2">
      <c r="AB30" s="128" t="str">
        <f>IF(Param!B36&lt;&gt;"",_xlfn.CONCAT(Param!B36," Kwac"),"")</f>
        <v>11.6 Kwac</v>
      </c>
      <c r="BE30" s="79"/>
      <c r="BF30" s="79"/>
      <c r="BG30" s="79"/>
      <c r="BH30" s="79"/>
      <c r="BI30" s="79"/>
      <c r="BK30" s="79"/>
      <c r="BL30" s="79"/>
      <c r="BM30" s="79"/>
      <c r="BN30" s="79"/>
      <c r="BO30" s="79"/>
      <c r="BP30" s="79"/>
      <c r="BQ30" s="79"/>
      <c r="BR30" s="133"/>
      <c r="BS30" s="133"/>
      <c r="BT30" s="129"/>
      <c r="BU30" s="129"/>
      <c r="BV30" s="130"/>
      <c r="BW30" s="130"/>
      <c r="BX30" s="131"/>
      <c r="BY30" s="131"/>
      <c r="BZ30" s="131"/>
      <c r="CA30" s="131"/>
      <c r="CB30" s="132"/>
      <c r="CC30" s="132"/>
    </row>
    <row r="31" spans="10:81" x14ac:dyDescent="0.2">
      <c r="BE31" s="79"/>
      <c r="BF31" s="79"/>
      <c r="BG31" s="79"/>
      <c r="BH31" s="79"/>
      <c r="BI31" s="79"/>
      <c r="BK31" s="79"/>
      <c r="BL31" s="79"/>
      <c r="BM31" s="79"/>
      <c r="BN31" s="79"/>
      <c r="BO31" s="79"/>
      <c r="BP31" s="79"/>
      <c r="BQ31" s="79"/>
      <c r="BR31" s="10"/>
      <c r="BS31" s="10"/>
      <c r="BT31" s="206"/>
      <c r="BU31" s="206"/>
      <c r="BV31" s="180"/>
      <c r="BW31" s="180"/>
      <c r="BX31" s="180"/>
      <c r="BY31" s="180"/>
      <c r="BZ31" s="180"/>
      <c r="CA31" s="180"/>
      <c r="CB31" s="171"/>
      <c r="CC31" s="171"/>
    </row>
    <row r="32" spans="10:81" x14ac:dyDescent="0.2">
      <c r="BE32" s="79"/>
      <c r="BF32" s="79"/>
      <c r="BG32" s="79"/>
      <c r="BH32" s="79"/>
      <c r="BI32" s="14"/>
      <c r="BJ32" s="14"/>
      <c r="BK32" s="14"/>
      <c r="BL32" s="14"/>
      <c r="BM32" s="79"/>
      <c r="BN32" s="79"/>
      <c r="BO32" s="79"/>
      <c r="BP32" s="79"/>
      <c r="BQ32" s="79"/>
      <c r="BR32" s="200" t="s">
        <v>139</v>
      </c>
      <c r="BS32" s="205"/>
      <c r="BT32" s="205"/>
      <c r="BU32" s="205" t="s">
        <v>150</v>
      </c>
      <c r="BV32" s="205"/>
      <c r="BW32" s="205" t="s">
        <v>140</v>
      </c>
      <c r="BX32" s="205"/>
      <c r="BY32" s="205" t="s">
        <v>141</v>
      </c>
      <c r="BZ32" s="205"/>
      <c r="CA32" s="205" t="s">
        <v>142</v>
      </c>
      <c r="CB32" s="201"/>
      <c r="CC32" s="10"/>
    </row>
    <row r="33" spans="28:82" x14ac:dyDescent="0.2">
      <c r="BB33" s="106" t="s">
        <v>116</v>
      </c>
      <c r="BE33" s="79"/>
      <c r="BF33" s="79"/>
      <c r="BG33" s="79"/>
      <c r="BH33" s="79"/>
      <c r="BI33" s="79"/>
      <c r="BK33" s="79"/>
      <c r="BL33" s="79"/>
      <c r="BM33" s="79"/>
      <c r="BN33" s="79"/>
      <c r="BO33" s="79"/>
      <c r="BP33" s="79"/>
      <c r="BQ33" s="79"/>
      <c r="BR33" s="234" t="s">
        <v>136</v>
      </c>
      <c r="BS33" s="235"/>
      <c r="BT33" s="235"/>
      <c r="BU33" s="235">
        <v>1</v>
      </c>
      <c r="BV33" s="235"/>
      <c r="BW33" s="235">
        <f>Param!E21</f>
        <v>12</v>
      </c>
      <c r="BX33" s="235"/>
      <c r="BY33" s="240">
        <f>IF(Param!E16="SolarEdge",380,Param!E21*Param!B15)</f>
        <v>500.40000000000003</v>
      </c>
      <c r="BZ33" s="240"/>
      <c r="CA33" s="235">
        <f>IF(Param!E16="SolarEdge",(BW33*BX9)/BY33,Param!B16)</f>
        <v>10.88</v>
      </c>
      <c r="CB33" s="242"/>
      <c r="CC33" s="10"/>
    </row>
    <row r="34" spans="28:82" x14ac:dyDescent="0.2">
      <c r="AB34" s="128" t="str">
        <f>IF(Param!B36&lt;&gt;"","Inverter supply ","")</f>
        <v xml:space="preserve">Inverter supply </v>
      </c>
      <c r="BB34" s="107" t="s">
        <v>117</v>
      </c>
      <c r="BE34" s="79"/>
      <c r="BF34" s="79"/>
      <c r="BG34" s="79"/>
      <c r="BH34" s="79"/>
      <c r="BI34" s="79"/>
      <c r="BK34" s="79"/>
      <c r="BL34" s="79"/>
      <c r="BM34" s="79"/>
      <c r="BN34" s="79"/>
      <c r="BO34" s="79"/>
      <c r="BP34" s="79"/>
      <c r="BQ34" s="79"/>
      <c r="BR34" s="236"/>
      <c r="BS34" s="237"/>
      <c r="BT34" s="237"/>
      <c r="BU34" s="237"/>
      <c r="BV34" s="237"/>
      <c r="BW34" s="239"/>
      <c r="BX34" s="239"/>
      <c r="BY34" s="241"/>
      <c r="BZ34" s="241"/>
      <c r="CA34" s="239"/>
      <c r="CB34" s="243"/>
      <c r="CC34" s="10"/>
    </row>
    <row r="35" spans="28:82" x14ac:dyDescent="0.2">
      <c r="AB35" s="128" t="str">
        <f>IF(Param!B36&lt;&gt;"","Ac Isolator","")</f>
        <v>Ac Isolator</v>
      </c>
      <c r="AG35" s="128" t="str">
        <f>IF(Param!B36&lt;&gt;"","Grid connect inverter","")</f>
        <v>Grid connect inverter</v>
      </c>
      <c r="BE35" s="79"/>
      <c r="BF35" s="79"/>
      <c r="BG35" s="79"/>
      <c r="BH35" s="79"/>
      <c r="BI35" s="79"/>
      <c r="BK35" s="79"/>
      <c r="BL35" s="79"/>
      <c r="BM35" s="79"/>
      <c r="BN35" s="79"/>
      <c r="BO35" s="79"/>
      <c r="BP35" s="79"/>
      <c r="BQ35" s="79"/>
      <c r="BR35" s="236"/>
      <c r="BS35" s="237"/>
      <c r="BT35" s="237"/>
      <c r="BU35" s="228">
        <v>2</v>
      </c>
      <c r="BV35" s="228"/>
      <c r="BW35" s="228">
        <f>Param!E22</f>
        <v>0</v>
      </c>
      <c r="BX35" s="228"/>
      <c r="BY35" s="229" cm="1">
        <f t="array" ref="BY35">_xlfn.IFS(Param!E22="",0,Param!E16="SolarEdge",380,Param!E16&lt;&gt;"SolarEdge",Param!E21*Param!B15)</f>
        <v>0</v>
      </c>
      <c r="BZ35" s="229"/>
      <c r="CA35" s="230" cm="1">
        <f t="array" ref="CA35">_xlfn.IFS(Param!E22="",0,Param!E16="SolarEdge",(BW33*BX9)/BY33,Param!E16&lt;&gt;"SolarEdge",Param!B16)</f>
        <v>0</v>
      </c>
      <c r="CB35" s="231"/>
      <c r="CC35" s="10"/>
    </row>
    <row r="36" spans="28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238"/>
      <c r="BS36" s="228"/>
      <c r="BT36" s="228"/>
      <c r="BU36" s="228"/>
      <c r="BV36" s="228"/>
      <c r="BW36" s="228"/>
      <c r="BX36" s="228"/>
      <c r="BY36" s="229"/>
      <c r="BZ36" s="229"/>
      <c r="CA36" s="232"/>
      <c r="CB36" s="233"/>
      <c r="CC36" s="10"/>
    </row>
    <row r="37" spans="28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</row>
    <row r="38" spans="28:82" x14ac:dyDescent="0.2"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</row>
    <row r="39" spans="28:82" x14ac:dyDescent="0.2"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</row>
    <row r="40" spans="28:82" x14ac:dyDescent="0.2">
      <c r="AT40" s="199"/>
      <c r="BR40" s="180"/>
      <c r="BS40" s="180"/>
      <c r="BT40" s="180"/>
      <c r="BU40" s="180"/>
      <c r="BV40" s="180"/>
      <c r="BW40" s="180"/>
      <c r="BX40" s="180"/>
      <c r="BY40" s="180"/>
      <c r="BZ40" s="180"/>
      <c r="CA40" s="180"/>
      <c r="CB40" s="180"/>
    </row>
    <row r="41" spans="28:82" x14ac:dyDescent="0.2">
      <c r="AT41" s="199"/>
      <c r="AZ41" s="100"/>
      <c r="BR41" s="180"/>
      <c r="BS41" s="180"/>
      <c r="BT41" s="180"/>
      <c r="BU41" s="180"/>
      <c r="BV41" s="180"/>
      <c r="BW41" s="180"/>
      <c r="BX41" s="180"/>
      <c r="BY41" s="180"/>
      <c r="BZ41" s="180"/>
      <c r="CA41" s="180"/>
      <c r="CB41" s="180"/>
    </row>
    <row r="42" spans="28:82" x14ac:dyDescent="0.2">
      <c r="BK42" s="129"/>
      <c r="BR42" s="180"/>
      <c r="BS42" s="180"/>
      <c r="BT42" s="180"/>
      <c r="BU42" s="180"/>
      <c r="BV42" s="180"/>
      <c r="BW42" s="180"/>
      <c r="BX42" s="180"/>
      <c r="BY42" s="180"/>
      <c r="BZ42" s="180"/>
      <c r="CA42" s="180"/>
      <c r="CB42" s="180"/>
    </row>
    <row r="43" spans="28:82" x14ac:dyDescent="0.2">
      <c r="AT43" s="100"/>
    </row>
    <row r="44" spans="28:82" x14ac:dyDescent="0.2">
      <c r="BT44" s="77"/>
      <c r="BU44" s="77"/>
      <c r="BV44" s="77"/>
      <c r="BW44" s="77"/>
      <c r="BX44" s="77"/>
      <c r="BY44" s="77"/>
      <c r="BZ44" s="77"/>
      <c r="CA44" s="77"/>
      <c r="CB44" s="77"/>
    </row>
    <row r="45" spans="28:82" x14ac:dyDescent="0.2">
      <c r="BR45" s="13" t="s">
        <v>37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28:82" x14ac:dyDescent="0.2">
      <c r="BR46" s="80" t="s">
        <v>36</v>
      </c>
      <c r="BS46" s="70"/>
      <c r="BV46" s="109" t="s">
        <v>35</v>
      </c>
      <c r="BW46" s="128" t="s">
        <v>34</v>
      </c>
    </row>
    <row r="47" spans="28:82" x14ac:dyDescent="0.2">
      <c r="BR47" s="71" t="s">
        <v>33</v>
      </c>
      <c r="BS47" s="79"/>
      <c r="BV47" s="110">
        <f>Param!B13</f>
        <v>5</v>
      </c>
      <c r="BW47" s="71" t="str">
        <f>_xlfn.CONCAT(, BV7, " ", BX9, "W")</f>
        <v>LG NeON 2 365W</v>
      </c>
      <c r="BY47" s="79"/>
      <c r="BZ47" s="79"/>
    </row>
    <row r="48" spans="28:82" x14ac:dyDescent="0.2">
      <c r="BR48" s="71" t="s">
        <v>122</v>
      </c>
      <c r="BS48" s="79"/>
      <c r="BV48" s="109">
        <v>1</v>
      </c>
      <c r="BW48" s="71" t="str">
        <f>BV26</f>
        <v>SB4.0-1AV-40</v>
      </c>
      <c r="BY48" s="79"/>
      <c r="BZ48" s="79"/>
    </row>
    <row r="49" spans="27:82" x14ac:dyDescent="0.2">
      <c r="BR49" s="71" t="s">
        <v>127</v>
      </c>
      <c r="BS49" s="79"/>
      <c r="BT49" s="145"/>
      <c r="BU49" s="145"/>
      <c r="BV49" s="109">
        <v>2</v>
      </c>
      <c r="BW49" s="71" t="s">
        <v>128</v>
      </c>
      <c r="BX49" s="145"/>
      <c r="BY49" s="79"/>
      <c r="BZ49" s="79"/>
      <c r="CA49" s="145"/>
      <c r="CB49" s="145"/>
      <c r="CC49" s="145"/>
      <c r="CD49" s="145"/>
    </row>
    <row r="50" spans="27:82" x14ac:dyDescent="0.2">
      <c r="AJ50" s="124" t="s">
        <v>136</v>
      </c>
      <c r="AX50" s="128" t="str">
        <f>IF(Param!E22&lt;&gt;"",Param!E22,"")</f>
        <v/>
      </c>
      <c r="AY50" s="128" t="str">
        <f>IF(Param!E22&lt;&gt;"","Panels","")</f>
        <v/>
      </c>
      <c r="BK50" s="128" t="str">
        <f>IF(Param!B23&lt;&gt;"", _xlfn.CONCAT(Param!B23," Panels"),"")</f>
        <v>2 Panels</v>
      </c>
      <c r="BR50" s="71" t="s">
        <v>32</v>
      </c>
      <c r="BS50" s="148"/>
      <c r="BT50" s="149"/>
      <c r="BU50" s="149"/>
      <c r="BV50" s="109"/>
      <c r="BW50" s="71" t="s">
        <v>31</v>
      </c>
      <c r="BX50" s="145"/>
      <c r="BY50" s="148"/>
      <c r="BZ50" s="148"/>
      <c r="CA50" s="149"/>
      <c r="CB50" s="149"/>
      <c r="CC50" s="149"/>
      <c r="CD50" s="149"/>
    </row>
    <row r="51" spans="27:82" x14ac:dyDescent="0.2">
      <c r="BR51" s="70"/>
      <c r="BS51" s="70"/>
      <c r="BT51" s="74"/>
      <c r="BU51" s="74"/>
      <c r="BV51" s="74"/>
      <c r="BW51" s="70"/>
      <c r="BX51" s="74"/>
      <c r="BY51" s="70"/>
      <c r="BZ51" s="70"/>
      <c r="CA51" s="74"/>
      <c r="CB51" s="74"/>
      <c r="CC51" s="74"/>
      <c r="CD51" s="74"/>
    </row>
    <row r="52" spans="27:82" x14ac:dyDescent="0.2">
      <c r="BR52" s="148"/>
      <c r="BS52" s="148"/>
      <c r="BT52" s="149"/>
      <c r="BU52" s="149"/>
      <c r="BV52" s="149"/>
      <c r="BW52" s="148"/>
      <c r="BX52" s="149"/>
      <c r="BY52" s="148"/>
      <c r="BZ52" s="148"/>
      <c r="CA52" s="149"/>
      <c r="CB52" s="149"/>
      <c r="CC52" s="149"/>
      <c r="CD52" s="149"/>
    </row>
    <row r="53" spans="27:82" x14ac:dyDescent="0.2">
      <c r="BR53" s="148"/>
      <c r="BS53" s="148"/>
      <c r="BT53" s="149"/>
      <c r="BU53" s="149"/>
      <c r="BV53" s="149"/>
      <c r="BW53" s="148"/>
      <c r="BX53" s="149"/>
      <c r="BY53" s="148"/>
      <c r="BZ53" s="148"/>
      <c r="CA53" s="149"/>
      <c r="CB53" s="149"/>
      <c r="CC53" s="149"/>
      <c r="CD53" s="149"/>
    </row>
    <row r="54" spans="27:82" x14ac:dyDescent="0.2">
      <c r="AA54" s="128" t="str">
        <f>IF(Param!E18=3,_xlfn.CONCAT(Param!B31,"mm 4C+E"),_xlfn.CONCAT(Param!B31,"mm 2C+E"))</f>
        <v>4mm 2C+E</v>
      </c>
      <c r="BX54" s="149"/>
    </row>
    <row r="55" spans="27:82" x14ac:dyDescent="0.2">
      <c r="AT55" s="100"/>
      <c r="BX55" s="77"/>
    </row>
    <row r="56" spans="27:82" x14ac:dyDescent="0.2">
      <c r="AD56" s="10" t="s">
        <v>138</v>
      </c>
      <c r="AM56" s="129" t="s">
        <v>151</v>
      </c>
      <c r="AP56" s="129" t="s">
        <v>151</v>
      </c>
      <c r="BR56" s="11" t="s">
        <v>30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27:82" x14ac:dyDescent="0.2">
      <c r="AE57" s="128" t="s">
        <v>137</v>
      </c>
      <c r="AM57" s="129" t="s">
        <v>152</v>
      </c>
      <c r="AP57" s="129" t="s">
        <v>152</v>
      </c>
      <c r="AX57" s="128">
        <f>Param!E21</f>
        <v>12</v>
      </c>
      <c r="AY57" s="128" t="s">
        <v>149</v>
      </c>
      <c r="BR57" s="71" t="s">
        <v>29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27:82" x14ac:dyDescent="0.2">
      <c r="AI58" s="128" t="s">
        <v>153</v>
      </c>
      <c r="BR58" s="71" t="s">
        <v>28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27:82" x14ac:dyDescent="0.2">
      <c r="AI59" s="128" t="s">
        <v>154</v>
      </c>
      <c r="AZ59" s="180"/>
      <c r="BA59" s="180"/>
      <c r="BB59" s="180"/>
      <c r="BC59" s="180"/>
      <c r="BD59" s="180"/>
      <c r="BE59" s="180"/>
      <c r="BF59" s="180"/>
      <c r="BG59" s="180"/>
      <c r="BH59" s="180"/>
      <c r="BI59" s="180"/>
      <c r="BJ59" s="180"/>
      <c r="BR59" s="71" t="s">
        <v>27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27:82" x14ac:dyDescent="0.2">
      <c r="BR60" s="71" t="s">
        <v>26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27:82" x14ac:dyDescent="0.2">
      <c r="BR61" s="71" t="s">
        <v>25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27:82" x14ac:dyDescent="0.2">
      <c r="BA62" s="10"/>
      <c r="BD62" s="9"/>
      <c r="BE62" s="9"/>
      <c r="BJ62" s="8"/>
      <c r="BR62" s="71" t="s">
        <v>24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27:82" x14ac:dyDescent="0.2">
      <c r="BA63" s="10"/>
      <c r="BE63" s="9"/>
      <c r="BJ63" s="8"/>
      <c r="BR63" s="71" t="s">
        <v>23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27:82" x14ac:dyDescent="0.2">
      <c r="AZ64" s="10"/>
      <c r="BA64" s="10"/>
      <c r="BD64" s="9"/>
      <c r="BE64" s="9"/>
      <c r="BJ64" s="8"/>
      <c r="BR64" s="71" t="s">
        <v>22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21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C66" s="128" t="s">
        <v>134</v>
      </c>
      <c r="AO66" s="7"/>
      <c r="BR66" s="83" t="s">
        <v>20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AO67" s="7"/>
      <c r="BR67" s="73" t="s">
        <v>19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18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128" t="s">
        <v>17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16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86" t="s">
        <v>15</v>
      </c>
      <c r="AZ69" s="186"/>
      <c r="BA69" s="187"/>
      <c r="BB69" s="73" t="str">
        <f>Param!B3</f>
        <v xml:space="preserve">Wood, Ben
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tr">
        <f>_xlfn.CONCAT(BV26," &amp; Tesla Gateway + Powerwall 2")</f>
        <v>SB4.0-1AV-40 &amp; Tesla Gateway + Powerwall 2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190">
        <f>BW27+BV15*BW18</f>
        <v>9</v>
      </c>
      <c r="CC69" s="190"/>
      <c r="CD69" s="190"/>
    </row>
    <row r="70" spans="2:82" x14ac:dyDescent="0.2">
      <c r="J70" s="5"/>
      <c r="K70" s="75"/>
      <c r="W70" s="5"/>
      <c r="X70" s="76"/>
      <c r="Y70" s="77" t="s">
        <v>6</v>
      </c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14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13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86" t="s">
        <v>12</v>
      </c>
      <c r="AZ71" s="186"/>
      <c r="BA71" s="187"/>
      <c r="BB71" s="73" t="str">
        <f>Param!B4</f>
        <v>54 CHARLTON ST Barnsley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11</v>
      </c>
      <c r="BO71" s="74"/>
      <c r="BP71" s="4"/>
      <c r="BQ71" s="73" t="s">
        <v>10</v>
      </c>
      <c r="BR71" s="74"/>
      <c r="BS71" s="4"/>
      <c r="BT71" s="73" t="s">
        <v>9</v>
      </c>
      <c r="BU71" s="74"/>
      <c r="BV71" s="74"/>
      <c r="BW71" s="4"/>
      <c r="BX71" s="73" t="s">
        <v>8</v>
      </c>
      <c r="BY71" s="74"/>
      <c r="BZ71" s="4"/>
      <c r="CA71" s="73" t="s">
        <v>7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 t="s">
        <v>6</v>
      </c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1" t="s">
        <v>62</v>
      </c>
      <c r="BO72" s="192"/>
      <c r="BP72" s="193"/>
      <c r="BQ72" s="191" t="s">
        <v>5</v>
      </c>
      <c r="BR72" s="192"/>
      <c r="BS72" s="193"/>
      <c r="BT72" s="191" t="s">
        <v>5</v>
      </c>
      <c r="BU72" s="192"/>
      <c r="BV72" s="192"/>
      <c r="BW72" s="1"/>
      <c r="BX72" s="194">
        <f ca="1">TODAY()</f>
        <v>44218</v>
      </c>
      <c r="BY72" s="195"/>
      <c r="BZ72" s="196"/>
      <c r="CA72" s="6" t="s">
        <v>4</v>
      </c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86" t="s">
        <v>3</v>
      </c>
      <c r="AZ73" s="186"/>
      <c r="BA73" s="187"/>
      <c r="BB73" s="188">
        <f>Param!B2</f>
        <v>26305</v>
      </c>
      <c r="BC73" s="189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2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1</v>
      </c>
      <c r="BO74" s="77"/>
      <c r="BP74" s="77"/>
      <c r="BQ74" s="3" t="s">
        <v>0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68"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U41:BV41"/>
    <mergeCell ref="BW41:BX41"/>
    <mergeCell ref="BY41:BZ41"/>
    <mergeCell ref="CA41:CB41"/>
    <mergeCell ref="AZ59:BB59"/>
    <mergeCell ref="BC59:BD59"/>
    <mergeCell ref="BE59:BF59"/>
    <mergeCell ref="BG59:BH59"/>
    <mergeCell ref="BI59:BJ59"/>
    <mergeCell ref="BR42:BT42"/>
    <mergeCell ref="BU42:BV42"/>
    <mergeCell ref="BW42:BX42"/>
    <mergeCell ref="BY42:BZ42"/>
    <mergeCell ref="CA42:CB42"/>
    <mergeCell ref="BU35:BV36"/>
    <mergeCell ref="BW35:BX36"/>
    <mergeCell ref="BY35:BZ36"/>
    <mergeCell ref="CA35:CB36"/>
    <mergeCell ref="AT40:AT41"/>
    <mergeCell ref="BR40:BT40"/>
    <mergeCell ref="BU40:BV40"/>
    <mergeCell ref="BW40:BX40"/>
    <mergeCell ref="BY40:BZ40"/>
    <mergeCell ref="CA40:CB40"/>
    <mergeCell ref="BR33:BT36"/>
    <mergeCell ref="BU33:BV34"/>
    <mergeCell ref="BW33:BX34"/>
    <mergeCell ref="BY33:BZ34"/>
    <mergeCell ref="CA33:CB34"/>
    <mergeCell ref="BR41:BT41"/>
    <mergeCell ref="BR32:BT32"/>
    <mergeCell ref="BU32:BV32"/>
    <mergeCell ref="BW32:BX32"/>
    <mergeCell ref="BY32:BZ32"/>
    <mergeCell ref="CA32:CB32"/>
    <mergeCell ref="CA11:CC11"/>
    <mergeCell ref="BT31:BU31"/>
    <mergeCell ref="BV31:BW31"/>
    <mergeCell ref="BX31:BY31"/>
    <mergeCell ref="BZ31:CA31"/>
    <mergeCell ref="CB31:CC31"/>
    <mergeCell ref="CA21:CC21"/>
    <mergeCell ref="CA22:CC22"/>
    <mergeCell ref="CA23:CC23"/>
    <mergeCell ref="BW19:BX19"/>
    <mergeCell ref="BX20:BY20"/>
    <mergeCell ref="BX21:BY21"/>
    <mergeCell ref="BV25:BZ25"/>
    <mergeCell ref="BV24:BZ24"/>
    <mergeCell ref="BV26:BZ26"/>
    <mergeCell ref="BW27:BZ27"/>
    <mergeCell ref="BW18:BX18"/>
    <mergeCell ref="BV6:BZ6"/>
    <mergeCell ref="BV7:BZ7"/>
    <mergeCell ref="BW8:BZ8"/>
    <mergeCell ref="BX11:BZ11"/>
    <mergeCell ref="BV12:BZ12"/>
    <mergeCell ref="BX9:BZ9"/>
    <mergeCell ref="BX10:BZ10"/>
  </mergeCells>
  <conditionalFormatting sqref="BH62:BI65">
    <cfRule type="cellIs" dxfId="7" priority="4" operator="greaterThan">
      <formula>600</formula>
    </cfRule>
  </conditionalFormatting>
  <conditionalFormatting sqref="CA24">
    <cfRule type="cellIs" dxfId="6" priority="1" operator="greaterThan">
      <formula>600</formula>
    </cfRule>
  </conditionalFormatting>
  <conditionalFormatting sqref="BZ31:CA31">
    <cfRule type="cellIs" dxfId="5" priority="3" operator="greaterThan">
      <formula>600</formula>
    </cfRule>
  </conditionalFormatting>
  <conditionalFormatting sqref="BZ29:CA30">
    <cfRule type="cellIs" dxfId="4" priority="2" operator="greaterThan">
      <formula>600</formula>
    </cfRule>
  </conditionalFormatting>
  <pageMargins left="0.5" right="0.5" top="0.5" bottom="0.5" header="0" footer="0"/>
  <pageSetup paperSize="9" scale="44" orientation="landscape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6BF74-4C90-1646-97ED-407ABE7FCB33}">
  <sheetPr codeName="Feuil4">
    <pageSetUpPr fitToPage="1"/>
  </sheetPr>
  <dimension ref="B5:CD74"/>
  <sheetViews>
    <sheetView showGridLines="0" topLeftCell="W16" zoomScaleNormal="227" workbookViewId="0">
      <selection activeCell="AD38" sqref="AD38"/>
    </sheetView>
  </sheetViews>
  <sheetFormatPr baseColWidth="10" defaultRowHeight="16" x14ac:dyDescent="0.2"/>
  <cols>
    <col min="1" max="40" width="3.33203125" style="99" customWidth="1"/>
    <col min="41" max="41" width="4" style="99" customWidth="1"/>
    <col min="42" max="42" width="3.6640625" style="99" customWidth="1"/>
    <col min="43" max="73" width="3.33203125" style="99" customWidth="1"/>
    <col min="74" max="74" width="4.1640625" style="99" bestFit="1" customWidth="1"/>
    <col min="75" max="75" width="3.33203125" style="99" customWidth="1"/>
    <col min="76" max="76" width="4.33203125" style="99" customWidth="1"/>
    <col min="77" max="83" width="3.33203125" style="99" customWidth="1"/>
    <col min="84" max="16384" width="10.83203125" style="99"/>
  </cols>
  <sheetData>
    <row r="5" spans="4:81" x14ac:dyDescent="0.2">
      <c r="D5" s="100" t="s">
        <v>61</v>
      </c>
      <c r="BR5" s="27" t="s">
        <v>45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BR6" s="24" t="s">
        <v>40</v>
      </c>
      <c r="BS6" s="18"/>
      <c r="BT6" s="18"/>
      <c r="BU6" s="18"/>
      <c r="BV6" s="18" t="str">
        <f>Param!B11</f>
        <v>LG Electronics</v>
      </c>
      <c r="BW6" s="18"/>
      <c r="BX6" s="18"/>
      <c r="BY6" s="18"/>
      <c r="BZ6" s="23"/>
    </row>
    <row r="7" spans="4:81" x14ac:dyDescent="0.2">
      <c r="BR7" s="24" t="s">
        <v>39</v>
      </c>
      <c r="BS7" s="18"/>
      <c r="BT7" s="18"/>
      <c r="BU7" s="18"/>
      <c r="BV7" s="29" t="str">
        <f>Param!B12</f>
        <v>LG NeON 2</v>
      </c>
      <c r="BW7" s="18"/>
      <c r="BX7" s="18"/>
      <c r="BY7" s="18"/>
      <c r="BZ7" s="23"/>
    </row>
    <row r="8" spans="4:81" x14ac:dyDescent="0.2">
      <c r="BR8" s="24" t="s">
        <v>44</v>
      </c>
      <c r="BS8" s="18"/>
      <c r="BT8" s="18"/>
      <c r="BU8" s="18"/>
      <c r="BV8" s="18"/>
      <c r="BW8" s="18"/>
      <c r="BX8" s="208">
        <f>Param!B14</f>
        <v>365</v>
      </c>
      <c r="BY8" s="208"/>
      <c r="BZ8" s="210"/>
    </row>
    <row r="9" spans="4:81" x14ac:dyDescent="0.2">
      <c r="BR9" s="24" t="s">
        <v>43</v>
      </c>
      <c r="BS9" s="18"/>
      <c r="BT9" s="18"/>
      <c r="BU9" s="18"/>
      <c r="BV9" s="18"/>
      <c r="BW9" s="18"/>
      <c r="BX9" s="209">
        <f>Param!B15</f>
        <v>41.7</v>
      </c>
      <c r="BY9" s="209"/>
      <c r="BZ9" s="211"/>
    </row>
    <row r="10" spans="4:81" x14ac:dyDescent="0.2">
      <c r="BR10" s="28" t="s">
        <v>42</v>
      </c>
      <c r="BS10" s="19"/>
      <c r="BT10" s="19"/>
      <c r="BU10" s="19"/>
      <c r="BV10" s="19"/>
      <c r="BW10" s="19"/>
      <c r="BX10" s="244">
        <f>Param!B16</f>
        <v>10.88</v>
      </c>
      <c r="BY10" s="244"/>
      <c r="BZ10" s="245"/>
    </row>
    <row r="11" spans="4:81" x14ac:dyDescent="0.2">
      <c r="BR11" s="207"/>
      <c r="BS11" s="207"/>
      <c r="BT11" s="207"/>
      <c r="BU11" s="207"/>
      <c r="BV11" s="207"/>
      <c r="BW11" s="207"/>
      <c r="BX11" s="207"/>
      <c r="BY11" s="207"/>
      <c r="BZ11" s="207"/>
      <c r="CA11" s="207"/>
      <c r="CB11" s="207"/>
      <c r="CC11" s="207"/>
    </row>
    <row r="12" spans="4:81" x14ac:dyDescent="0.2">
      <c r="BR12" s="27" t="s">
        <v>100</v>
      </c>
      <c r="BS12" s="26"/>
      <c r="BT12" s="26"/>
      <c r="BU12" s="26"/>
      <c r="BV12" s="26"/>
      <c r="BW12" s="26"/>
      <c r="BX12" s="26"/>
      <c r="BY12" s="26"/>
      <c r="BZ12" s="25"/>
      <c r="CC12" s="78"/>
    </row>
    <row r="13" spans="4:81" x14ac:dyDescent="0.2">
      <c r="Y13" s="100" t="s">
        <v>132</v>
      </c>
      <c r="BD13" s="100" t="s">
        <v>131</v>
      </c>
      <c r="BR13" s="75" t="s">
        <v>101</v>
      </c>
      <c r="BV13" s="99">
        <v>1</v>
      </c>
      <c r="BZ13" s="5"/>
      <c r="CC13" s="78"/>
    </row>
    <row r="14" spans="4:81" x14ac:dyDescent="0.2">
      <c r="BE14" s="101"/>
      <c r="BF14" s="101"/>
      <c r="BR14" s="24" t="s">
        <v>40</v>
      </c>
      <c r="BS14" s="18"/>
      <c r="BT14" s="18"/>
      <c r="BU14" s="18"/>
      <c r="BV14" s="18" t="s">
        <v>102</v>
      </c>
      <c r="BW14" s="18"/>
      <c r="BX14" s="18"/>
      <c r="BY14" s="18"/>
      <c r="BZ14" s="23"/>
      <c r="CC14" s="78"/>
    </row>
    <row r="15" spans="4:81" x14ac:dyDescent="0.2">
      <c r="BE15" s="101"/>
      <c r="BK15" s="78"/>
      <c r="BL15" s="78"/>
      <c r="BM15" s="78"/>
      <c r="BR15" s="24" t="s">
        <v>39</v>
      </c>
      <c r="BS15" s="18"/>
      <c r="BT15" s="18"/>
      <c r="BU15" s="18"/>
      <c r="BV15" s="29" t="s">
        <v>103</v>
      </c>
      <c r="BW15" s="18"/>
      <c r="BX15" s="18"/>
      <c r="BY15" s="18"/>
      <c r="BZ15" s="23"/>
      <c r="CC15" s="78"/>
    </row>
    <row r="16" spans="4:81" x14ac:dyDescent="0.2">
      <c r="BR16" s="24" t="s">
        <v>104</v>
      </c>
      <c r="BS16" s="18"/>
      <c r="BT16" s="18"/>
      <c r="BU16" s="18"/>
      <c r="BV16" s="18"/>
      <c r="BW16" s="212">
        <f>5</f>
        <v>5</v>
      </c>
      <c r="BX16" s="212"/>
      <c r="BY16" s="209" t="s">
        <v>105</v>
      </c>
      <c r="BZ16" s="211"/>
      <c r="CC16" s="78"/>
    </row>
    <row r="17" spans="10:81" x14ac:dyDescent="0.2">
      <c r="BE17" s="79"/>
      <c r="BF17" s="79"/>
      <c r="BG17" s="79"/>
      <c r="BH17" s="79"/>
      <c r="BI17" s="99" t="s">
        <v>60</v>
      </c>
      <c r="BJ17" s="79"/>
      <c r="BK17" s="79"/>
      <c r="BL17" s="79"/>
      <c r="BM17" s="79"/>
      <c r="BN17" s="79"/>
      <c r="BO17" s="79"/>
      <c r="BR17" s="24" t="s">
        <v>106</v>
      </c>
      <c r="BS17" s="18"/>
      <c r="BT17" s="18"/>
      <c r="BU17" s="18"/>
      <c r="BV17" s="18"/>
      <c r="BW17" s="212">
        <v>13.5</v>
      </c>
      <c r="BX17" s="212"/>
      <c r="BY17" s="182" t="s">
        <v>107</v>
      </c>
      <c r="BZ17" s="183"/>
      <c r="CA17" s="78"/>
      <c r="CB17" s="78"/>
      <c r="CC17" s="78"/>
    </row>
    <row r="18" spans="10:81" ht="16" customHeight="1" x14ac:dyDescent="0.2">
      <c r="AA18" s="99" t="str">
        <f>IF(Param!B36&lt;&gt;"","Main","")</f>
        <v>Main</v>
      </c>
      <c r="BE18" s="79"/>
      <c r="BF18" s="79"/>
      <c r="BG18" s="79"/>
      <c r="BH18" s="79"/>
      <c r="BI18" s="99" t="s">
        <v>109</v>
      </c>
      <c r="BJ18" s="79"/>
      <c r="BK18" s="79"/>
      <c r="BL18" s="79"/>
      <c r="BM18" s="79"/>
      <c r="BN18" s="79"/>
      <c r="BO18" s="79"/>
      <c r="BR18" s="102" t="s">
        <v>135</v>
      </c>
      <c r="BS18" s="10"/>
      <c r="BT18" s="95"/>
      <c r="BU18" s="18"/>
      <c r="BV18" s="18"/>
      <c r="BW18" s="118"/>
      <c r="BX18" s="172">
        <v>32</v>
      </c>
      <c r="BY18" s="172"/>
      <c r="BZ18" s="115" t="s">
        <v>108</v>
      </c>
      <c r="CA18" s="18"/>
      <c r="CB18" s="18"/>
      <c r="CC18" s="18"/>
    </row>
    <row r="19" spans="10:81" ht="16" customHeight="1" x14ac:dyDescent="0.2">
      <c r="AA19" s="99" t="str">
        <f>IF(Param!B36&lt;&gt;"","Switch","")</f>
        <v>Switch</v>
      </c>
      <c r="BE19" s="79"/>
      <c r="BF19" s="79"/>
      <c r="BG19" s="79"/>
      <c r="BH19" s="79"/>
      <c r="BJ19" s="79"/>
      <c r="BK19" s="79"/>
      <c r="BL19" s="79"/>
      <c r="BM19" s="79"/>
      <c r="BN19" s="79"/>
      <c r="BO19" s="79"/>
      <c r="BR19" s="103" t="s">
        <v>110</v>
      </c>
      <c r="BS19" s="104"/>
      <c r="BT19" s="105"/>
      <c r="BU19" s="19"/>
      <c r="BV19" s="19"/>
      <c r="BW19" s="116"/>
      <c r="BX19" s="221">
        <v>50</v>
      </c>
      <c r="BY19" s="221"/>
      <c r="BZ19" s="117" t="s">
        <v>111</v>
      </c>
      <c r="CA19" s="18"/>
      <c r="CB19" s="18"/>
      <c r="CC19" s="18"/>
    </row>
    <row r="20" spans="10:81" x14ac:dyDescent="0.2">
      <c r="Y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CA20" s="18"/>
      <c r="CB20" s="18"/>
      <c r="CC20" s="18"/>
    </row>
    <row r="21" spans="10:81" x14ac:dyDescent="0.2"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27" t="s">
        <v>41</v>
      </c>
      <c r="BS21" s="26"/>
      <c r="BT21" s="26"/>
      <c r="BU21" s="26"/>
      <c r="BV21" s="26"/>
      <c r="BW21" s="26"/>
      <c r="BX21" s="26"/>
      <c r="BY21" s="26"/>
      <c r="BZ21" s="25"/>
      <c r="CA21" s="208"/>
      <c r="CB21" s="208"/>
      <c r="CC21" s="208"/>
    </row>
    <row r="22" spans="10:81" x14ac:dyDescent="0.2">
      <c r="BR22" s="24" t="s">
        <v>114</v>
      </c>
      <c r="BS22" s="18"/>
      <c r="BT22" s="18"/>
      <c r="BU22" s="18"/>
      <c r="BV22" s="18">
        <v>1</v>
      </c>
      <c r="BW22" s="18"/>
      <c r="BX22" s="18"/>
      <c r="BY22" s="18"/>
      <c r="BZ22" s="23"/>
      <c r="CA22" s="209"/>
      <c r="CB22" s="209"/>
      <c r="CC22" s="209"/>
    </row>
    <row r="23" spans="10:81" x14ac:dyDescent="0.2">
      <c r="AB23" s="99" t="s">
        <v>112</v>
      </c>
      <c r="AJ23" s="7"/>
      <c r="BR23" s="24" t="s">
        <v>40</v>
      </c>
      <c r="BS23" s="18"/>
      <c r="BT23" s="18"/>
      <c r="BU23" s="18"/>
      <c r="BV23" s="18" t="str">
        <f>Param!E16</f>
        <v>SMA</v>
      </c>
      <c r="BW23" s="18"/>
      <c r="BX23" s="18"/>
      <c r="BY23" s="18"/>
      <c r="BZ23" s="23"/>
      <c r="CA23" s="182"/>
      <c r="CB23" s="182"/>
      <c r="CC23" s="182"/>
    </row>
    <row r="24" spans="10:81" x14ac:dyDescent="0.2">
      <c r="AB24" s="99" t="s">
        <v>113</v>
      </c>
      <c r="BR24" s="22" t="s">
        <v>39</v>
      </c>
      <c r="BS24" s="21"/>
      <c r="BT24" s="18"/>
      <c r="BU24" s="18"/>
      <c r="BV24" s="18" t="str">
        <f>Param!E17</f>
        <v>SB4.0-1AV-40</v>
      </c>
      <c r="BW24" s="18"/>
      <c r="BX24" s="118"/>
      <c r="BY24" s="118"/>
      <c r="BZ24" s="23"/>
      <c r="CB24" s="17"/>
      <c r="CC24" s="17"/>
    </row>
    <row r="25" spans="10:81" x14ac:dyDescent="0.2">
      <c r="BR25" s="20" t="s">
        <v>115</v>
      </c>
      <c r="BS25" s="19"/>
      <c r="BT25" s="19"/>
      <c r="BU25" s="19"/>
      <c r="BV25" s="19"/>
      <c r="BW25" s="19"/>
      <c r="BX25" s="226">
        <f>Param!E20</f>
        <v>4</v>
      </c>
      <c r="BY25" s="226"/>
      <c r="BZ25" s="227"/>
      <c r="CC25" s="17"/>
    </row>
    <row r="26" spans="10:81" x14ac:dyDescent="0.2">
      <c r="J26" s="99" t="s">
        <v>112</v>
      </c>
      <c r="CC26" s="17"/>
    </row>
    <row r="27" spans="10:81" x14ac:dyDescent="0.2">
      <c r="CC27" s="97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CC28" s="97"/>
    </row>
    <row r="29" spans="10:81" x14ac:dyDescent="0.2">
      <c r="L29" s="16"/>
      <c r="M29" s="15"/>
      <c r="AB29" s="100" t="str">
        <f>IF(Param!B36&lt;&gt;"","Existing array","")</f>
        <v>Existing array</v>
      </c>
      <c r="BE29" s="79"/>
      <c r="BF29" s="79"/>
      <c r="BG29" s="79"/>
      <c r="BH29" s="79"/>
      <c r="BI29" s="79"/>
      <c r="BK29" s="79"/>
      <c r="BL29" s="79"/>
      <c r="BM29" s="79"/>
      <c r="BN29" s="79"/>
      <c r="BO29" s="79"/>
      <c r="BP29" s="79"/>
      <c r="BQ29" s="79"/>
      <c r="BR29" s="98"/>
      <c r="BS29" s="98"/>
      <c r="BT29" s="95"/>
      <c r="BU29" s="95"/>
      <c r="BV29" s="96"/>
      <c r="BW29" s="96"/>
      <c r="BX29" s="94"/>
      <c r="BY29" s="94"/>
      <c r="BZ29" s="94"/>
      <c r="CA29" s="94"/>
      <c r="CB29" s="97"/>
      <c r="CC29" s="97"/>
    </row>
    <row r="30" spans="10:81" x14ac:dyDescent="0.2">
      <c r="AB30" s="99" t="str">
        <f>IF(Param!B36&lt;&gt;"",_xlfn.CONCAT(Param!B36," Kwac"),"")</f>
        <v>11.6 Kwac</v>
      </c>
      <c r="BE30" s="79"/>
      <c r="BF30" s="79"/>
      <c r="BG30" s="79"/>
      <c r="BH30" s="79"/>
      <c r="BI30" s="79"/>
      <c r="BK30" s="79"/>
      <c r="BL30" s="79"/>
      <c r="BM30" s="79"/>
      <c r="BN30" s="79"/>
      <c r="BO30" s="79"/>
      <c r="BP30" s="79"/>
      <c r="BQ30" s="79"/>
      <c r="BR30" s="98"/>
      <c r="BS30" s="98"/>
      <c r="BT30" s="95"/>
      <c r="BU30" s="95"/>
      <c r="BV30" s="96"/>
      <c r="BW30" s="96"/>
      <c r="BX30" s="94"/>
      <c r="BY30" s="94"/>
      <c r="BZ30" s="94"/>
      <c r="CA30" s="94"/>
      <c r="CB30" s="97"/>
      <c r="CC30" s="97"/>
    </row>
    <row r="31" spans="10:81" x14ac:dyDescent="0.2">
      <c r="BE31" s="79"/>
      <c r="BF31" s="79"/>
      <c r="BG31" s="79"/>
      <c r="BH31" s="79"/>
      <c r="BI31" s="79"/>
      <c r="BK31" s="79"/>
      <c r="BL31" s="79"/>
      <c r="BM31" s="79"/>
      <c r="BN31" s="79"/>
      <c r="BO31" s="79"/>
      <c r="BP31" s="79"/>
      <c r="BQ31" s="79"/>
      <c r="BR31" s="10"/>
      <c r="BS31" s="10"/>
      <c r="BT31" s="206"/>
      <c r="BU31" s="206"/>
      <c r="BV31" s="180"/>
      <c r="BW31" s="180"/>
      <c r="BX31" s="180"/>
      <c r="BY31" s="180"/>
      <c r="BZ31" s="180"/>
      <c r="CA31" s="180"/>
      <c r="CB31" s="171"/>
      <c r="CC31" s="171"/>
    </row>
    <row r="32" spans="10:81" x14ac:dyDescent="0.2">
      <c r="BE32" s="79"/>
      <c r="BF32" s="79"/>
      <c r="BG32" s="79"/>
      <c r="BH32" s="79"/>
      <c r="BI32" s="14"/>
      <c r="BJ32" s="14"/>
      <c r="BK32" s="14"/>
      <c r="BL32" s="14"/>
      <c r="BM32" s="79"/>
      <c r="BN32" s="79"/>
      <c r="BO32" s="79"/>
      <c r="BP32" s="79"/>
      <c r="BQ32" s="79"/>
      <c r="BR32" s="200" t="s">
        <v>139</v>
      </c>
      <c r="BS32" s="205"/>
      <c r="BT32" s="205"/>
      <c r="BU32" s="205" t="s">
        <v>156</v>
      </c>
      <c r="BV32" s="205"/>
      <c r="BW32" s="205" t="s">
        <v>140</v>
      </c>
      <c r="BX32" s="205"/>
      <c r="BY32" s="205" t="s">
        <v>141</v>
      </c>
      <c r="BZ32" s="205"/>
      <c r="CA32" s="205" t="s">
        <v>142</v>
      </c>
      <c r="CB32" s="201"/>
      <c r="CC32" s="10"/>
    </row>
    <row r="33" spans="28:82" x14ac:dyDescent="0.2">
      <c r="BE33" s="79"/>
      <c r="BF33" s="79"/>
      <c r="BG33" s="79"/>
      <c r="BH33" s="79"/>
      <c r="BI33" s="79"/>
      <c r="BJ33" s="106" t="s">
        <v>116</v>
      </c>
      <c r="BK33" s="79"/>
      <c r="BL33" s="79"/>
      <c r="BM33" s="79"/>
      <c r="BN33" s="79"/>
      <c r="BO33" s="79"/>
      <c r="BP33" s="79"/>
      <c r="BQ33" s="79"/>
      <c r="BR33" s="234" t="s">
        <v>136</v>
      </c>
      <c r="BS33" s="235"/>
      <c r="BT33" s="235"/>
      <c r="BU33" s="235" t="s">
        <v>108</v>
      </c>
      <c r="BV33" s="235"/>
      <c r="BW33" s="235">
        <f>Param!E21</f>
        <v>12</v>
      </c>
      <c r="BX33" s="235"/>
      <c r="BY33" s="235">
        <f>IF(Param!E16="SolarEdge",380,Param!E21*Param!B15)</f>
        <v>500.40000000000003</v>
      </c>
      <c r="BZ33" s="235"/>
      <c r="CA33" s="235">
        <f>IF(Param!E16="SolarEdge",(BW33*BX8)/BY33,Param!B16)</f>
        <v>10.88</v>
      </c>
      <c r="CB33" s="242"/>
      <c r="CC33" s="10"/>
    </row>
    <row r="34" spans="28:82" x14ac:dyDescent="0.2">
      <c r="AB34" s="99" t="str">
        <f>IF(Param!B36&lt;&gt;"","Inverter supply ","")</f>
        <v xml:space="preserve">Inverter supply </v>
      </c>
      <c r="BE34" s="79"/>
      <c r="BF34" s="79"/>
      <c r="BG34" s="79"/>
      <c r="BH34" s="79"/>
      <c r="BI34" s="79"/>
      <c r="BJ34" s="107" t="s">
        <v>117</v>
      </c>
      <c r="BK34" s="79"/>
      <c r="BL34" s="79"/>
      <c r="BM34" s="79"/>
      <c r="BN34" s="79"/>
      <c r="BO34" s="79"/>
      <c r="BP34" s="79"/>
      <c r="BQ34" s="79"/>
      <c r="BR34" s="236"/>
      <c r="BS34" s="237"/>
      <c r="BT34" s="237"/>
      <c r="BU34" s="237"/>
      <c r="BV34" s="237"/>
      <c r="BW34" s="239">
        <f>Param!E22</f>
        <v>0</v>
      </c>
      <c r="BX34" s="239"/>
      <c r="BY34" s="239">
        <f>IF(Param!E16="SolarEdge",380,Param!E22*Param!B15)</f>
        <v>0</v>
      </c>
      <c r="BZ34" s="239"/>
      <c r="CA34" s="239">
        <f>IF(Param!E16="SolarEdge",(BW34*BX8)/BY34,Param!B16)</f>
        <v>10.88</v>
      </c>
      <c r="CB34" s="243"/>
      <c r="CC34" s="10"/>
    </row>
    <row r="35" spans="28:82" x14ac:dyDescent="0.2">
      <c r="AB35" s="99" t="str">
        <f>IF(Param!B36&lt;&gt;"","Ac Isolator","")</f>
        <v>Ac Isolator</v>
      </c>
      <c r="AG35" s="99" t="str">
        <f>IF(Param!B36&lt;&gt;"","Grid connect inverter","")</f>
        <v>Grid connect inverter</v>
      </c>
      <c r="BE35" s="79"/>
      <c r="BF35" s="79"/>
      <c r="BG35" s="79"/>
      <c r="BH35" s="79"/>
      <c r="BI35" s="79"/>
      <c r="BK35" s="79"/>
      <c r="BL35" s="79"/>
      <c r="BM35" s="79"/>
      <c r="BN35" s="79"/>
      <c r="BO35" s="79"/>
      <c r="BP35" s="79"/>
      <c r="BQ35" s="79"/>
      <c r="BR35" s="236"/>
      <c r="BS35" s="237"/>
      <c r="BT35" s="237"/>
      <c r="BU35" s="228" t="s">
        <v>155</v>
      </c>
      <c r="BV35" s="228"/>
      <c r="BW35" s="228">
        <f>Param!E23</f>
        <v>12</v>
      </c>
      <c r="BX35" s="228"/>
      <c r="BY35" s="228">
        <f>IF(Param!E16="SolarEdge",380,Param!E23*Param!B15)</f>
        <v>500.40000000000003</v>
      </c>
      <c r="BZ35" s="228"/>
      <c r="CA35" s="230">
        <f>IF(Param!E16="SolarEdge",(BW33*BX8)/BY33,Param!B16)</f>
        <v>10.88</v>
      </c>
      <c r="CB35" s="231"/>
      <c r="CC35" s="10"/>
    </row>
    <row r="36" spans="28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238"/>
      <c r="BS36" s="228"/>
      <c r="BT36" s="228"/>
      <c r="BU36" s="228"/>
      <c r="BV36" s="228"/>
      <c r="BW36" s="228"/>
      <c r="BX36" s="228"/>
      <c r="BY36" s="228"/>
      <c r="BZ36" s="228"/>
      <c r="CA36" s="232"/>
      <c r="CB36" s="233"/>
      <c r="CC36" s="10"/>
    </row>
    <row r="37" spans="28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</row>
    <row r="38" spans="28:82" x14ac:dyDescent="0.2"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</row>
    <row r="39" spans="28:82" x14ac:dyDescent="0.2"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</row>
    <row r="40" spans="28:82" x14ac:dyDescent="0.2">
      <c r="AT40" s="199"/>
      <c r="BF40" s="99" t="s">
        <v>133</v>
      </c>
      <c r="BR40" s="180"/>
      <c r="BS40" s="180"/>
      <c r="BT40" s="180"/>
      <c r="BU40" s="180"/>
      <c r="BV40" s="180"/>
      <c r="BW40" s="180"/>
      <c r="BX40" s="180"/>
      <c r="BY40" s="180"/>
      <c r="BZ40" s="180"/>
      <c r="CA40" s="180"/>
      <c r="CB40" s="180"/>
    </row>
    <row r="41" spans="28:82" x14ac:dyDescent="0.2">
      <c r="AT41" s="199"/>
      <c r="AZ41" s="100"/>
      <c r="BR41" s="180"/>
      <c r="BS41" s="180"/>
      <c r="BT41" s="180"/>
      <c r="BU41" s="180"/>
      <c r="BV41" s="180"/>
      <c r="BW41" s="180"/>
      <c r="BX41" s="180"/>
      <c r="BY41" s="180"/>
      <c r="BZ41" s="180"/>
      <c r="CA41" s="180"/>
      <c r="CB41" s="180"/>
    </row>
    <row r="42" spans="28:82" x14ac:dyDescent="0.2">
      <c r="BK42" s="114"/>
      <c r="BR42" s="180"/>
      <c r="BS42" s="180"/>
      <c r="BT42" s="180"/>
      <c r="BU42" s="180"/>
      <c r="BV42" s="180"/>
      <c r="BW42" s="180"/>
      <c r="BX42" s="180"/>
      <c r="BY42" s="180"/>
      <c r="BZ42" s="180"/>
      <c r="CA42" s="180"/>
      <c r="CB42" s="180"/>
    </row>
    <row r="43" spans="28:82" x14ac:dyDescent="0.2">
      <c r="AT43" s="100"/>
    </row>
    <row r="44" spans="28:82" x14ac:dyDescent="0.2">
      <c r="BT44" s="77"/>
      <c r="BU44" s="77"/>
      <c r="BV44" s="77"/>
      <c r="BW44" s="77"/>
      <c r="BX44" s="77"/>
      <c r="BY44" s="77"/>
      <c r="BZ44" s="77"/>
      <c r="CA44" s="77"/>
      <c r="CB44" s="77"/>
    </row>
    <row r="45" spans="28:82" x14ac:dyDescent="0.2">
      <c r="AW45" s="128" t="str">
        <f>IF(Param!E22&lt;&gt;"",Param!E22,"")</f>
        <v/>
      </c>
      <c r="AX45" s="128" t="str">
        <f>IF(Param!E22&lt;&gt;"","Panels","")</f>
        <v/>
      </c>
      <c r="BR45" s="13" t="s">
        <v>37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28:82" x14ac:dyDescent="0.2">
      <c r="AI46" s="124" t="s">
        <v>136</v>
      </c>
      <c r="BR46" s="80" t="s">
        <v>36</v>
      </c>
      <c r="BS46" s="70"/>
      <c r="BV46" s="109" t="s">
        <v>35</v>
      </c>
      <c r="BW46" s="99" t="s">
        <v>34</v>
      </c>
    </row>
    <row r="47" spans="28:82" x14ac:dyDescent="0.2">
      <c r="BR47" s="71" t="s">
        <v>33</v>
      </c>
      <c r="BS47" s="79"/>
      <c r="BV47" s="110">
        <f>Param!B13</f>
        <v>5</v>
      </c>
      <c r="BW47" s="71" t="str">
        <f>_xlfn.CONCAT(, BV7, " ", BX8, "W")</f>
        <v>LG NeON 2 365W</v>
      </c>
      <c r="BY47" s="79"/>
      <c r="BZ47" s="79"/>
    </row>
    <row r="48" spans="28:82" x14ac:dyDescent="0.2">
      <c r="AL48" s="99" t="s">
        <v>108</v>
      </c>
      <c r="BR48" s="71" t="s">
        <v>122</v>
      </c>
      <c r="BS48" s="79"/>
      <c r="BV48" s="109">
        <v>1</v>
      </c>
      <c r="BW48" s="71" t="str">
        <f>BV24</f>
        <v>SB4.0-1AV-40</v>
      </c>
      <c r="BY48" s="79"/>
      <c r="BZ48" s="79"/>
    </row>
    <row r="49" spans="27:82" x14ac:dyDescent="0.2">
      <c r="BR49" s="71" t="s">
        <v>123</v>
      </c>
      <c r="BS49" s="79"/>
      <c r="BV49" s="109">
        <v>1</v>
      </c>
      <c r="BW49" s="197" t="s">
        <v>124</v>
      </c>
      <c r="BX49" s="198"/>
      <c r="BY49" s="198"/>
      <c r="BZ49" s="198"/>
      <c r="CA49" s="198"/>
      <c r="CB49" s="198"/>
      <c r="CC49" s="198"/>
      <c r="CD49" s="198"/>
    </row>
    <row r="50" spans="27:82" x14ac:dyDescent="0.2">
      <c r="AY50" s="125" t="str">
        <f>IF(Param!E22&lt;&gt;"","Panels","")</f>
        <v/>
      </c>
      <c r="BK50" s="113" t="str">
        <f>IF(Param!B23&lt;&gt;"", _xlfn.CONCAT(Param!B23," Panels"),"")</f>
        <v>2 Panels</v>
      </c>
      <c r="BR50" s="71" t="s">
        <v>125</v>
      </c>
      <c r="BS50" s="79"/>
      <c r="BV50" s="109">
        <v>1</v>
      </c>
      <c r="BW50" s="71" t="s">
        <v>126</v>
      </c>
      <c r="BY50" s="79"/>
      <c r="BZ50" s="79"/>
    </row>
    <row r="51" spans="27:82" x14ac:dyDescent="0.2">
      <c r="AA51" s="99" t="str">
        <f>IF(Param!E18=3,_xlfn.CONCAT(Param!B31,"mm 4C+E"),_xlfn.CONCAT(Param!B31,"mm 2C+E"))</f>
        <v>4mm 2C+E</v>
      </c>
      <c r="AM51" s="135" t="s">
        <v>151</v>
      </c>
      <c r="AP51" s="135" t="s">
        <v>151</v>
      </c>
      <c r="AW51" s="128">
        <f>Param!E21</f>
        <v>12</v>
      </c>
      <c r="AX51" s="128" t="s">
        <v>149</v>
      </c>
      <c r="BR51" s="71" t="s">
        <v>127</v>
      </c>
      <c r="BS51" s="79"/>
      <c r="BV51" s="109">
        <v>2</v>
      </c>
      <c r="BW51" s="71" t="s">
        <v>128</v>
      </c>
      <c r="BY51" s="79"/>
      <c r="BZ51" s="79"/>
    </row>
    <row r="52" spans="27:82" x14ac:dyDescent="0.2">
      <c r="AM52" s="135" t="s">
        <v>152</v>
      </c>
      <c r="AP52" s="135" t="s">
        <v>152</v>
      </c>
      <c r="BR52" s="71" t="s">
        <v>129</v>
      </c>
      <c r="BS52" s="79"/>
      <c r="BV52" s="109">
        <v>1</v>
      </c>
      <c r="BW52" s="71" t="s">
        <v>130</v>
      </c>
      <c r="BY52" s="79"/>
      <c r="BZ52" s="79"/>
    </row>
    <row r="53" spans="27:82" x14ac:dyDescent="0.2">
      <c r="AC53" s="10" t="s">
        <v>138</v>
      </c>
      <c r="AL53" s="99" t="s">
        <v>155</v>
      </c>
      <c r="BR53" s="83" t="s">
        <v>32</v>
      </c>
      <c r="BS53" s="84"/>
      <c r="BT53" s="77"/>
      <c r="BU53" s="77"/>
      <c r="BV53" s="111"/>
      <c r="BW53" s="83" t="s">
        <v>31</v>
      </c>
      <c r="BY53" s="84"/>
      <c r="BZ53" s="84"/>
      <c r="CA53" s="77"/>
      <c r="CB53" s="77"/>
      <c r="CC53" s="77"/>
      <c r="CD53" s="77"/>
    </row>
    <row r="54" spans="27:82" x14ac:dyDescent="0.2">
      <c r="AD54" s="99" t="s">
        <v>137</v>
      </c>
      <c r="BX54" s="74"/>
    </row>
    <row r="55" spans="27:82" x14ac:dyDescent="0.2">
      <c r="AT55" s="100"/>
      <c r="BX55" s="77"/>
    </row>
    <row r="56" spans="27:82" x14ac:dyDescent="0.2">
      <c r="AM56" s="127" t="s">
        <v>151</v>
      </c>
      <c r="AP56" s="127" t="s">
        <v>151</v>
      </c>
      <c r="BK56" s="113"/>
      <c r="BR56" s="11" t="s">
        <v>30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27:82" x14ac:dyDescent="0.2">
      <c r="AI57" s="126" t="s">
        <v>153</v>
      </c>
      <c r="AM57" s="127" t="s">
        <v>152</v>
      </c>
      <c r="AP57" s="127" t="s">
        <v>152</v>
      </c>
      <c r="AW57" s="99">
        <f>Param!E23</f>
        <v>12</v>
      </c>
      <c r="AX57" s="99" t="s">
        <v>149</v>
      </c>
      <c r="BR57" s="71" t="s">
        <v>29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27:82" x14ac:dyDescent="0.2">
      <c r="AI58" s="126" t="s">
        <v>154</v>
      </c>
      <c r="BR58" s="71" t="s">
        <v>28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27:82" x14ac:dyDescent="0.2">
      <c r="AZ59" s="134"/>
      <c r="BA59" s="134"/>
      <c r="BB59" s="134"/>
      <c r="BC59" s="180"/>
      <c r="BD59" s="180"/>
      <c r="BE59" s="180"/>
      <c r="BF59" s="180"/>
      <c r="BG59" s="180"/>
      <c r="BH59" s="180"/>
      <c r="BI59" s="180"/>
      <c r="BJ59" s="180"/>
      <c r="BR59" s="71" t="s">
        <v>27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27:82" x14ac:dyDescent="0.2">
      <c r="BR60" s="71" t="s">
        <v>26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27:82" x14ac:dyDescent="0.2">
      <c r="BR61" s="71" t="s">
        <v>25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27:82" x14ac:dyDescent="0.2">
      <c r="BA62" s="10"/>
      <c r="BD62" s="9"/>
      <c r="BE62" s="9"/>
      <c r="BJ62" s="8"/>
      <c r="BR62" s="71" t="s">
        <v>24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27:82" x14ac:dyDescent="0.2">
      <c r="BA63" s="10"/>
      <c r="BE63" s="9"/>
      <c r="BJ63" s="8"/>
      <c r="BR63" s="71" t="s">
        <v>23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27:82" x14ac:dyDescent="0.2">
      <c r="AZ64" s="10"/>
      <c r="BA64" s="10"/>
      <c r="BD64" s="9"/>
      <c r="BE64" s="9"/>
      <c r="BJ64" s="8"/>
      <c r="BR64" s="71" t="s">
        <v>22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21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C66" s="99" t="s">
        <v>134</v>
      </c>
      <c r="AO66" s="7"/>
      <c r="BR66" s="83" t="s">
        <v>20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AO67" s="7"/>
      <c r="BR67" s="73" t="s">
        <v>19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18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99" t="s">
        <v>17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16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86" t="s">
        <v>15</v>
      </c>
      <c r="AZ69" s="186"/>
      <c r="BA69" s="187"/>
      <c r="BB69" s="73" t="str">
        <f>Param!B3</f>
        <v xml:space="preserve">Wood, Ben
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tr">
        <f>_xlfn.CONCAT(BV24," &amp; Tesla Gateway + Powerwall 2")</f>
        <v>SB4.0-1AV-40 &amp; Tesla Gateway + Powerwall 2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190">
        <f>BX25+BV13*BW16</f>
        <v>9</v>
      </c>
      <c r="CC69" s="190"/>
      <c r="CD69" s="190"/>
    </row>
    <row r="70" spans="2:82" x14ac:dyDescent="0.2">
      <c r="J70" s="5"/>
      <c r="K70" s="75"/>
      <c r="W70" s="5"/>
      <c r="X70" s="76"/>
      <c r="Y70" s="77" t="s">
        <v>6</v>
      </c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14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13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86" t="s">
        <v>12</v>
      </c>
      <c r="AZ71" s="186"/>
      <c r="BA71" s="187"/>
      <c r="BB71" s="73" t="str">
        <f>Param!B4</f>
        <v>54 CHARLTON ST Barnsley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11</v>
      </c>
      <c r="BO71" s="74"/>
      <c r="BP71" s="4"/>
      <c r="BQ71" s="73" t="s">
        <v>10</v>
      </c>
      <c r="BR71" s="74"/>
      <c r="BS71" s="4"/>
      <c r="BT71" s="73" t="s">
        <v>9</v>
      </c>
      <c r="BU71" s="74"/>
      <c r="BV71" s="74"/>
      <c r="BW71" s="4"/>
      <c r="BX71" s="73" t="s">
        <v>8</v>
      </c>
      <c r="BY71" s="74"/>
      <c r="BZ71" s="4"/>
      <c r="CA71" s="73" t="s">
        <v>7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 t="s">
        <v>6</v>
      </c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1" t="s">
        <v>62</v>
      </c>
      <c r="BO72" s="192"/>
      <c r="BP72" s="193"/>
      <c r="BQ72" s="191" t="s">
        <v>5</v>
      </c>
      <c r="BR72" s="192"/>
      <c r="BS72" s="193"/>
      <c r="BT72" s="191" t="s">
        <v>5</v>
      </c>
      <c r="BU72" s="192"/>
      <c r="BV72" s="192"/>
      <c r="BW72" s="1"/>
      <c r="BX72" s="194">
        <f ca="1">TODAY()</f>
        <v>44218</v>
      </c>
      <c r="BY72" s="195"/>
      <c r="BZ72" s="196"/>
      <c r="CA72" s="6" t="s">
        <v>4</v>
      </c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86" t="s">
        <v>3</v>
      </c>
      <c r="AZ73" s="186"/>
      <c r="BA73" s="187"/>
      <c r="BB73" s="188">
        <f>Param!B2</f>
        <v>26305</v>
      </c>
      <c r="BC73" s="189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2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1</v>
      </c>
      <c r="BO74" s="77"/>
      <c r="BP74" s="77"/>
      <c r="BQ74" s="3" t="s">
        <v>0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69"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W49:CD49"/>
    <mergeCell ref="BC59:BD59"/>
    <mergeCell ref="BE59:BF59"/>
    <mergeCell ref="BG59:BH59"/>
    <mergeCell ref="BI59:BJ59"/>
    <mergeCell ref="BR42:BT42"/>
    <mergeCell ref="BU42:BV42"/>
    <mergeCell ref="BW42:BX42"/>
    <mergeCell ref="BY42:BZ42"/>
    <mergeCell ref="CA42:CB42"/>
    <mergeCell ref="AT40:AT41"/>
    <mergeCell ref="BR40:BT40"/>
    <mergeCell ref="BU40:BV40"/>
    <mergeCell ref="BW40:BX40"/>
    <mergeCell ref="BY40:BZ40"/>
    <mergeCell ref="CA40:CB40"/>
    <mergeCell ref="BR41:BT41"/>
    <mergeCell ref="BU41:BV41"/>
    <mergeCell ref="BW41:BX41"/>
    <mergeCell ref="BY41:BZ41"/>
    <mergeCell ref="CA41:CB41"/>
    <mergeCell ref="BR33:BT36"/>
    <mergeCell ref="BU33:BV34"/>
    <mergeCell ref="BU35:BV36"/>
    <mergeCell ref="BW35:BX36"/>
    <mergeCell ref="BY35:BZ36"/>
    <mergeCell ref="CA35:CB36"/>
    <mergeCell ref="BW33:BX33"/>
    <mergeCell ref="BW34:BX34"/>
    <mergeCell ref="BY33:BZ33"/>
    <mergeCell ref="BY34:BZ34"/>
    <mergeCell ref="CA33:CB33"/>
    <mergeCell ref="CA34:CB34"/>
    <mergeCell ref="CA22:CC22"/>
    <mergeCell ref="CA23:CC23"/>
    <mergeCell ref="BX25:BZ25"/>
    <mergeCell ref="CA21:CC21"/>
    <mergeCell ref="BR32:BT32"/>
    <mergeCell ref="BU32:BV32"/>
    <mergeCell ref="BW32:BX32"/>
    <mergeCell ref="BY32:BZ32"/>
    <mergeCell ref="CA32:CB32"/>
    <mergeCell ref="CB31:CC31"/>
    <mergeCell ref="BZ31:CA31"/>
    <mergeCell ref="BX31:BY31"/>
    <mergeCell ref="BV31:BW31"/>
    <mergeCell ref="BT31:BU31"/>
    <mergeCell ref="BX8:BZ8"/>
    <mergeCell ref="BX9:BZ9"/>
    <mergeCell ref="BX10:BZ10"/>
    <mergeCell ref="BR11:BS11"/>
    <mergeCell ref="BT11:BV11"/>
    <mergeCell ref="BW11:BZ11"/>
    <mergeCell ref="CA11:CC11"/>
    <mergeCell ref="BX19:BY19"/>
    <mergeCell ref="BX18:BY18"/>
    <mergeCell ref="BW16:BX16"/>
    <mergeCell ref="BW17:BX17"/>
    <mergeCell ref="BY17:BZ17"/>
    <mergeCell ref="BY16:BZ16"/>
  </mergeCells>
  <conditionalFormatting sqref="BH62:BI65">
    <cfRule type="cellIs" dxfId="3" priority="5" operator="greaterThan">
      <formula>600</formula>
    </cfRule>
  </conditionalFormatting>
  <conditionalFormatting sqref="CA24">
    <cfRule type="cellIs" dxfId="2" priority="1" operator="greaterThan">
      <formula>600</formula>
    </cfRule>
  </conditionalFormatting>
  <conditionalFormatting sqref="BZ31:CA31">
    <cfRule type="cellIs" dxfId="1" priority="3" operator="greaterThan">
      <formula>600</formula>
    </cfRule>
  </conditionalFormatting>
  <conditionalFormatting sqref="BZ29:CA30">
    <cfRule type="cellIs" dxfId="0" priority="2" operator="greaterThan">
      <formula>600</formula>
    </cfRule>
  </conditionalFormatting>
  <pageMargins left="0.5" right="0.5" top="0.5" bottom="0.5" header="0" footer="0"/>
  <pageSetup paperSize="9" scale="44" orientation="landscape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</vt:lpstr>
      <vt:lpstr>Vrise</vt:lpstr>
      <vt:lpstr>PW2-ENP-Partial</vt:lpstr>
      <vt:lpstr>PW2-1Mppt-Partial</vt:lpstr>
      <vt:lpstr>PW2-2Mppt-Partial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2021-01-21T21:42:24Z</cp:lastPrinted>
  <dcterms:created xsi:type="dcterms:W3CDTF">2020-10-29T22:28:43Z</dcterms:created>
  <dcterms:modified xsi:type="dcterms:W3CDTF">2021-01-21T21:58:44Z</dcterms:modified>
</cp:coreProperties>
</file>