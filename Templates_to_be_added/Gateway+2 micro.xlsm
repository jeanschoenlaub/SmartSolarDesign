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an/Desktop/"/>
    </mc:Choice>
  </mc:AlternateContent>
  <xr:revisionPtr revIDLastSave="0" documentId="13_ncr:1_{A899C32D-1BB8-9E48-A6C5-A0A65364B63F}" xr6:coauthVersionLast="46" xr6:coauthVersionMax="46" xr10:uidLastSave="{00000000-0000-0000-0000-000000000000}"/>
  <bookViews>
    <workbookView xWindow="1040" yWindow="460" windowWidth="28920" windowHeight="17340" activeTab="2" xr2:uid="{5C310A73-3E33-5C44-B32F-CABC6D95981F}"/>
  </bookViews>
  <sheets>
    <sheet name="Param" sheetId="3" r:id="rId1"/>
    <sheet name="Vrise" sheetId="1" r:id="rId2"/>
    <sheet name="PW2-ENP-Partial" sheetId="19" r:id="rId3"/>
  </sheets>
  <functionGroups builtInGroupCount="19"/>
  <externalReferences>
    <externalReference r:id="rId4"/>
  </externalReferences>
  <definedNames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X28" i="19" l="1"/>
  <c r="BW39" i="19"/>
  <c r="BY36" i="19"/>
  <c r="BY39" i="19"/>
  <c r="CA39" i="19"/>
  <c r="CB69" i="19"/>
  <c r="BW8" i="19"/>
  <c r="BV48" i="19"/>
  <c r="BV47" i="19"/>
  <c r="C67" i="19"/>
  <c r="BV12" i="19"/>
  <c r="BX27" i="19"/>
  <c r="BX24" i="19"/>
  <c r="C40" i="1"/>
  <c r="BX11" i="19"/>
  <c r="BX10" i="19"/>
  <c r="BX9" i="19"/>
  <c r="BV7" i="19"/>
  <c r="BV6" i="19"/>
  <c r="AG21" i="19"/>
  <c r="AG20" i="19"/>
  <c r="AG18" i="19"/>
  <c r="BB73" i="19"/>
  <c r="BX72" i="19"/>
  <c r="BB71" i="19"/>
  <c r="BB69" i="19"/>
  <c r="BW48" i="19"/>
  <c r="BW47" i="19"/>
  <c r="BK43" i="19"/>
  <c r="BL53" i="19"/>
  <c r="BG53" i="19"/>
  <c r="BG52" i="19"/>
  <c r="BG48" i="19"/>
  <c r="BG47" i="19"/>
  <c r="BX26" i="19"/>
  <c r="BX25" i="19"/>
  <c r="BW18" i="19"/>
  <c r="G34" i="1"/>
  <c r="G35" i="1"/>
  <c r="G36" i="1"/>
  <c r="G32" i="1"/>
  <c r="G38" i="1" a="1"/>
  <c r="G38" i="1"/>
  <c r="E36" i="1"/>
  <c r="C36" i="1"/>
  <c r="E32" i="1"/>
  <c r="C32" i="1"/>
  <c r="E35" i="1"/>
  <c r="C35" i="1"/>
  <c r="E30" i="1"/>
  <c r="C30" i="1"/>
  <c r="B31" i="1"/>
  <c r="G37" i="1" a="1"/>
  <c r="C38" i="1" a="1"/>
  <c r="C37" i="1" a="1"/>
  <c r="C37" i="1"/>
  <c r="C38" i="1"/>
  <c r="G37" i="1"/>
  <c r="G39" i="1"/>
  <c r="E37" i="1" a="1"/>
  <c r="E38" i="1" a="1"/>
  <c r="E38" i="1"/>
  <c r="E39" i="1"/>
  <c r="E37" i="1"/>
  <c r="C39" i="1"/>
  <c r="F40" i="1"/>
  <c r="G40" i="1"/>
  <c r="B22" i="19"/>
  <c r="B22" i="19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<sst xmlns="http://schemas.openxmlformats.org/spreadsheetml/2006/main" count="197" uniqueCount="160">
  <si>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</si>
  <si>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</si>
  <si>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</si>
  <si>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</si>
  <si>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</si>
  <si>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</si>
  <si>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</si>
  <si>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</si>
  <si>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</si>
  <si>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</si>
  <si>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</si>
  <si>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</si>
  <si>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</si>
  <si>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</si>
  <si>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</si>
  <si>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</si>
  <si>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</si>
  <si>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</si>
  <si>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</si>
  <si>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</si>
  <si>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</si>
  <si>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</si>
  <si>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</si>
  <si>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</si>
  <si>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</si>
  <si>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</si>
  <si>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</si>
  <si>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</si>
  <si>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</si>
  <si>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</si>
  <si>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</si>
  <si>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</si>
  <si>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PANELS</t>
  </si>
  <si>
    <t>Description</t>
  </si>
  <si>
    <t>Qty</t>
  </si>
  <si>
    <t>ID</t>
  </si>
  <si>
    <t>Bill of Quantities</t>
  </si>
  <si>
    <t>Total kWac</t>
  </si>
  <si>
    <t>Model</t>
  </si>
  <si>
    <t>Make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</si>
  <si>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</si>
  <si>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</si>
  <si>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</si>
  <si>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</si>
  <si>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</si>
  <si>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</si>
  <si>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</si>
  <si>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Consumer Mains</t>
  </si>
  <si>
    <t>Main Switchboard to Inverter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</si>
  <si>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</si>
  <si>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</si>
  <si>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</si>
  <si>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</si>
  <si>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</si>
  <si>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</si>
  <si>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</si>
  <si>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</si>
  <si>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</si>
  <si>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</si>
  <si>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Main Switch</t>
  </si>
  <si>
    <t>MSB</t>
  </si>
  <si>
    <t>JS</t>
  </si>
  <si>
    <t>LG NeON 2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</si>
  <si>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</si>
  <si>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</si>
  <si>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</si>
  <si>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</si>
  <si>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</si>
  <si>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</si>
  <si>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</si>
  <si>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</si>
  <si>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</si>
  <si>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</si>
  <si>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</si>
  <si>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</si>
  <si>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</si>
  <si>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Inverter Information</t>
  </si>
  <si>
    <t>SMA</t>
  </si>
  <si>
    <t>SB4.0-1AV-40</t>
  </si>
  <si>
    <t>Vrise Info</t>
  </si>
  <si>
    <t>Service Main</t>
  </si>
  <si>
    <t>Consumer Main</t>
  </si>
  <si>
    <t xml:space="preserve">MSB </t>
  </si>
  <si>
    <t>Chosen Cable size</t>
  </si>
  <si>
    <t>Monitoring</t>
  </si>
  <si>
    <t>Arrays:</t>
  </si>
  <si>
    <t>Model:</t>
  </si>
  <si>
    <t>L1</t>
  </si>
  <si>
    <t>L2</t>
  </si>
  <si>
    <t>L3</t>
  </si>
  <si>
    <t>ENP 01</t>
  </si>
  <si>
    <t>Max current</t>
  </si>
  <si>
    <t>String1L1</t>
  </si>
  <si>
    <t>String1L2</t>
  </si>
  <si>
    <t>String1L3</t>
  </si>
  <si>
    <t>Extra Info</t>
  </si>
  <si>
    <t>Existing array (kWac)</t>
  </si>
  <si>
    <t>Block diag (0/1)</t>
  </si>
  <si>
    <t xml:space="preserve">Phases </t>
  </si>
  <si>
    <t>Battery Parameters</t>
  </si>
  <si>
    <t>No. Of batteries</t>
  </si>
  <si>
    <t>Tesla</t>
  </si>
  <si>
    <t>Powerwall 2</t>
  </si>
  <si>
    <t>Rated output power</t>
  </si>
  <si>
    <t>kW</t>
  </si>
  <si>
    <t>Rated capacity</t>
  </si>
  <si>
    <t>kWh</t>
  </si>
  <si>
    <t>A</t>
  </si>
  <si>
    <t>Battery system</t>
  </si>
  <si>
    <t>Max DC Volts</t>
  </si>
  <si>
    <t>V</t>
  </si>
  <si>
    <t xml:space="preserve">Main Switch </t>
  </si>
  <si>
    <t>Inverter supply</t>
  </si>
  <si>
    <t>No. of Inverters:</t>
  </si>
  <si>
    <t>Total Rated AC Power</t>
  </si>
  <si>
    <t xml:space="preserve">Battery system </t>
  </si>
  <si>
    <t>Isolator</t>
  </si>
  <si>
    <t>IQ7+</t>
  </si>
  <si>
    <t>BATT 01</t>
  </si>
  <si>
    <t>PW2</t>
  </si>
  <si>
    <t>Total (kW)</t>
  </si>
  <si>
    <t>INVERTER</t>
  </si>
  <si>
    <t>ENCLOSURE</t>
  </si>
  <si>
    <t xml:space="preserve">Enphase Outdoor 3P </t>
  </si>
  <si>
    <t>Q RELAY</t>
  </si>
  <si>
    <t>Solar Supply AC Isolator</t>
  </si>
  <si>
    <t>AC ISOLATOR</t>
  </si>
  <si>
    <t>1 Pole, 240V AC (if requred)</t>
  </si>
  <si>
    <t>ENVOY</t>
  </si>
  <si>
    <t>Enphase Envoy Metered (3P)</t>
  </si>
  <si>
    <t>Backup Bus</t>
  </si>
  <si>
    <t>Non-Backup Bus</t>
  </si>
  <si>
    <t>Note: In back up mode, only one phase is energized</t>
  </si>
  <si>
    <t>Max output fault current</t>
  </si>
  <si>
    <t>Inverter Phases</t>
  </si>
  <si>
    <t>Iout Max</t>
  </si>
  <si>
    <t>MpptA1</t>
  </si>
  <si>
    <t>MpptA2</t>
  </si>
  <si>
    <t>MpptB1</t>
  </si>
  <si>
    <t>MpptB2</t>
  </si>
  <si>
    <t>Panels</t>
  </si>
  <si>
    <t>No. Of Panels</t>
  </si>
  <si>
    <t>Total kWdc</t>
  </si>
  <si>
    <t>Rated AC Power</t>
  </si>
  <si>
    <t xml:space="preserve">20 Jan 2021 </t>
  </si>
  <si>
    <t>SLD Notes</t>
  </si>
  <si>
    <t>Vrise Notes</t>
  </si>
  <si>
    <t>House DB</t>
  </si>
  <si>
    <t xml:space="preserve">Roberts, James
</t>
  </si>
  <si>
    <t>83 Catherine Way Daruka</t>
  </si>
  <si>
    <t>LG365N</t>
  </si>
  <si>
    <t>Enphase</t>
  </si>
  <si>
    <t>Service and Consumer Main are underground</t>
  </si>
  <si>
    <t>Tesla Powerwall 2</t>
  </si>
  <si>
    <t>House</t>
  </si>
  <si>
    <t>DB</t>
  </si>
  <si>
    <t>ENP 02</t>
  </si>
  <si>
    <t xml:space="preserve">Existing </t>
  </si>
  <si>
    <t>Phase Balance</t>
  </si>
  <si>
    <t>SB 3000HF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</si>
</sst>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d/mm/yy;@"/>
    <numFmt numFmtId="165" formatCode="#.0\ \k\W\a\c"/>
    <numFmt numFmtId="166" formatCode="#.##\ \A"/>
    <numFmt numFmtId="167" formatCode="#.#\ \V"/>
    <numFmt numFmtId="168" formatCode="#\ \W"/>
    <numFmt numFmtId="169" formatCode="#.0\ \k\W"/>
    <numFmt numFmtId="170" formatCode="0\ &quot;Phase&quot;"/>
    <numFmt numFmtId="171" formatCode="0\ &quot;mm2&quot;"/>
    <numFmt numFmtId="172" formatCode="0.00000"/>
    <numFmt numFmtId="173" formatCode="#.##\ \k\W\d\c"/>
    <numFmt numFmtId="174" formatCode="0.#\ \k\W\a\c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 (Body)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00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4" xfId="0" applyBorder="1"/>
    <xf numFmtId="0" fontId="0" fillId="0" borderId="7" xfId="0" applyBorder="1"/>
    <xf numFmtId="0" fontId="1" fillId="0" borderId="3" xfId="0" applyFont="1" applyBorder="1"/>
    <xf numFmtId="0" fontId="2" fillId="0" borderId="0" xfId="0" applyFont="1"/>
    <xf numFmtId="166" fontId="0" fillId="0" borderId="0" xfId="0" applyNumberFormat="1"/>
    <xf numFmtId="0" fontId="0" fillId="0" borderId="0" xfId="0"/>
    <xf numFmtId="0" fontId="0" fillId="0" borderId="0" xfId="0" applyAlignment="1">
      <alignment vertical="center"/>
    </xf>
    <xf numFmtId="0" fontId="4" fillId="0" borderId="6" xfId="0" applyFont="1" applyBorder="1"/>
    <xf numFmtId="0" fontId="3" fillId="0" borderId="12" xfId="0" applyFont="1" applyBorder="1"/>
    <xf numFmtId="0" fontId="3" fillId="0" borderId="13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0" fontId="0" fillId="2" borderId="0" xfId="0" applyFill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0" fontId="0" fillId="0" borderId="0" xfId="0" applyAlignment="1">
      <alignment horizontal="center"/>
    </xf>
    <xf numFmtId="0" fontId="6" fillId="0" borderId="14" xfId="1" applyFont="1" applyBorder="1" applyAlignment="1">
      <alignment horizontal="right"/>
    </xf>
    <xf numFmtId="0" fontId="3" fillId="0" borderId="15" xfId="1" applyBorder="1" applyProtection="1">
      <protection locked="0"/>
    </xf>
    <xf numFmtId="0" fontId="3" fillId="0" borderId="19" xfId="1" applyBorder="1"/>
    <xf numFmtId="170" fontId="3" fillId="0" borderId="3" xfId="1" applyNumberFormat="1" applyBorder="1" applyProtection="1">
      <protection locked="0"/>
    </xf>
    <xf numFmtId="0" fontId="3" fillId="0" borderId="20" xfId="1" applyBorder="1"/>
    <xf numFmtId="170" fontId="3" fillId="0" borderId="21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2" xfId="1" applyBorder="1" applyProtection="1">
      <protection locked="0"/>
    </xf>
    <xf numFmtId="0" fontId="3" fillId="0" borderId="1" xfId="1" applyBorder="1"/>
    <xf numFmtId="0" fontId="3" fillId="0" borderId="23" xfId="1" applyBorder="1" applyProtection="1">
      <protection locked="0"/>
    </xf>
    <xf numFmtId="0" fontId="3" fillId="0" borderId="24" xfId="1" applyBorder="1"/>
    <xf numFmtId="171" fontId="3" fillId="0" borderId="0" xfId="1" applyNumberFormat="1"/>
    <xf numFmtId="171" fontId="3" fillId="0" borderId="25" xfId="1" applyNumberFormat="1" applyBorder="1"/>
    <xf numFmtId="0" fontId="3" fillId="0" borderId="26" xfId="1" applyBorder="1"/>
    <xf numFmtId="2" fontId="3" fillId="0" borderId="6" xfId="1" applyNumberFormat="1" applyBorder="1" applyProtection="1">
      <protection locked="0"/>
    </xf>
    <xf numFmtId="2" fontId="3" fillId="0" borderId="27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0" fontId="3" fillId="0" borderId="29" xfId="1" applyBorder="1" applyAlignment="1">
      <alignment horizontal="left"/>
    </xf>
    <xf numFmtId="0" fontId="3" fillId="0" borderId="30" xfId="1" applyBorder="1"/>
    <xf numFmtId="0" fontId="3" fillId="0" borderId="31" xfId="1" applyBorder="1" applyAlignment="1">
      <alignment horizontal="left"/>
    </xf>
    <xf numFmtId="0" fontId="3" fillId="0" borderId="28" xfId="1" applyBorder="1"/>
    <xf numFmtId="0" fontId="3" fillId="0" borderId="14" xfId="1" applyBorder="1"/>
    <xf numFmtId="10" fontId="3" fillId="0" borderId="32" xfId="1" applyNumberFormat="1" applyBorder="1"/>
    <xf numFmtId="0" fontId="3" fillId="0" borderId="33" xfId="1" applyBorder="1"/>
    <xf numFmtId="172" fontId="3" fillId="0" borderId="34" xfId="1" applyNumberFormat="1" applyBorder="1"/>
    <xf numFmtId="10" fontId="3" fillId="0" borderId="35" xfId="1" applyNumberFormat="1" applyBorder="1" applyAlignment="1" applyProtection="1">
      <alignment horizontal="left"/>
      <protection locked="0"/>
    </xf>
    <xf numFmtId="0" fontId="3" fillId="0" borderId="32" xfId="1" applyBorder="1" applyAlignment="1" applyProtection="1">
      <alignment horizontal="left"/>
      <protection locked="0"/>
    </xf>
    <xf numFmtId="0" fontId="3" fillId="0" borderId="39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172" fontId="3" fillId="0" borderId="42" xfId="1" applyNumberFormat="1" applyBorder="1"/>
    <xf numFmtId="10" fontId="3" fillId="0" borderId="43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0" fillId="0" borderId="45" xfId="0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0" fillId="0" borderId="45" xfId="0" applyBorder="1" applyAlignment="1">
      <alignment horizontal="center" vertical="center"/>
    </xf>
    <xf numFmtId="0" fontId="0" fillId="2" borderId="4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5" xfId="0" applyFont="1" applyBorder="1"/>
    <xf numFmtId="0" fontId="3" fillId="0" borderId="8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69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1" xfId="0" applyFont="1" applyBorder="1"/>
    <xf numFmtId="0" fontId="3" fillId="0" borderId="3" xfId="0" applyFont="1" applyBorder="1"/>
    <xf numFmtId="0" fontId="3" fillId="0" borderId="2" xfId="0" applyFont="1" applyBorder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8" fillId="0" borderId="0" xfId="0" applyFont="1" applyBorder="1" applyAlignment="1"/>
    <xf numFmtId="0" fontId="8" fillId="0" borderId="0" xfId="0" applyFont="1" applyFill="1" applyBorder="1" applyAlignme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10" fillId="0" borderId="0" xfId="0" applyFont="1"/>
    <xf numFmtId="0" fontId="5" fillId="0" borderId="0" xfId="0" applyFont="1"/>
    <xf numFmtId="0" fontId="0" fillId="0" borderId="8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" xfId="0" applyBorder="1" applyAlignment="1">
      <alignment vertical="center"/>
    </xf>
    <xf numFmtId="0" fontId="1" fillId="0" borderId="2" xfId="0" applyFon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12" xfId="0" applyBorder="1"/>
    <xf numFmtId="0" fontId="0" fillId="0" borderId="10" xfId="0" applyBorder="1"/>
    <xf numFmtId="0" fontId="0" fillId="0" borderId="10" xfId="0" applyBorder="1"/>
    <xf numFmtId="0" fontId="0" fillId="0" borderId="9" xfId="0" applyBorder="1"/>
    <xf numFmtId="0" fontId="0" fillId="0" borderId="9" xfId="0" applyBorder="1" applyAlignment="1">
      <alignment horizontal="center"/>
    </xf>
    <xf numFmtId="0" fontId="0" fillId="2" borderId="2" xfId="0" applyFill="1" applyBorder="1" applyAlignment="1"/>
    <xf numFmtId="0" fontId="0" fillId="2" borderId="0" xfId="0" applyFill="1" applyAlignment="1"/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1" fillId="0" borderId="0" xfId="0" applyFont="1"/>
    <xf numFmtId="0" fontId="0" fillId="0" borderId="5" xfId="0" applyBorder="1" applyAlignment="1">
      <alignment horizontal="center"/>
    </xf>
    <xf numFmtId="0" fontId="0" fillId="0" borderId="46" xfId="0" applyBorder="1" applyAlignment="1">
      <alignment horizontal="center"/>
    </xf>
    <xf numFmtId="0" fontId="1" fillId="0" borderId="0" xfId="0" applyFont="1"/>
    <xf numFmtId="0" fontId="0" fillId="0" borderId="0" xfId="0"/>
    <xf numFmtId="0" fontId="0" fillId="2" borderId="0" xfId="0" applyFill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/>
    <xf numFmtId="0" fontId="0" fillId="0" borderId="0" xfId="0"/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3" fillId="0" borderId="44" xfId="1" applyBorder="1" applyAlignment="1" applyProtection="1">
      <alignment horizontal="left"/>
      <protection locked="0"/>
    </xf>
    <xf numFmtId="0" fontId="3" fillId="0" borderId="1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6" fillId="0" borderId="17" xfId="1" applyFont="1" applyBorder="1" applyAlignment="1">
      <alignment horizontal="center"/>
    </xf>
    <xf numFmtId="0" fontId="6" fillId="0" borderId="16" xfId="1" applyFont="1" applyBorder="1" applyAlignment="1">
      <alignment horizontal="center"/>
    </xf>
    <xf numFmtId="0" fontId="7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3" fillId="0" borderId="34" xfId="1" applyBorder="1" applyAlignment="1">
      <alignment horizontal="right" vertical="top"/>
    </xf>
    <xf numFmtId="0" fontId="3" fillId="0" borderId="38" xfId="1" applyBorder="1" applyAlignment="1">
      <alignment horizontal="right" vertical="top"/>
    </xf>
    <xf numFmtId="10" fontId="0" fillId="3" borderId="36" xfId="2" applyNumberFormat="1" applyFont="1" applyFill="1" applyBorder="1" applyAlignment="1">
      <alignment horizontal="center"/>
    </xf>
    <xf numFmtId="10" fontId="0" fillId="3" borderId="41" xfId="2" applyNumberFormat="1" applyFont="1" applyFill="1" applyBorder="1" applyAlignment="1">
      <alignment horizontal="center"/>
    </xf>
    <xf numFmtId="2" fontId="3" fillId="3" borderId="37" xfId="1" applyNumberFormat="1" applyFill="1" applyBorder="1" applyAlignment="1">
      <alignment horizontal="center"/>
    </xf>
    <xf numFmtId="2" fontId="3" fillId="3" borderId="30" xfId="1" applyNumberFormat="1" applyFill="1" applyBorder="1" applyAlignment="1">
      <alignment horizontal="center"/>
    </xf>
    <xf numFmtId="174" fontId="0" fillId="2" borderId="2" xfId="0" applyNumberFormat="1" applyFill="1" applyBorder="1" applyAlignment="1">
      <alignment horizontal="center"/>
    </xf>
    <xf numFmtId="174" fontId="0" fillId="2" borderId="1" xfId="0" applyNumberFormat="1" applyFill="1" applyBorder="1" applyAlignment="1">
      <alignment horizontal="center"/>
    </xf>
    <xf numFmtId="174" fontId="0" fillId="2" borderId="0" xfId="0" applyNumberFormat="1" applyFill="1" applyAlignment="1">
      <alignment horizontal="center"/>
    </xf>
    <xf numFmtId="174" fontId="0" fillId="2" borderId="7" xfId="0" applyNumberFormat="1" applyFill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66" fontId="0" fillId="2" borderId="0" xfId="0" quotePrefix="1" applyNumberFormat="1" applyFill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3" fontId="0" fillId="2" borderId="2" xfId="0" quotePrefix="1" applyNumberFormat="1" applyFill="1" applyBorder="1" applyAlignment="1">
      <alignment horizontal="left" indent="5"/>
    </xf>
    <xf numFmtId="173" fontId="0" fillId="2" borderId="1" xfId="0" quotePrefix="1" applyNumberFormat="1" applyFill="1" applyBorder="1" applyAlignment="1">
      <alignment horizontal="left" indent="5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0" xfId="0" applyNumberFormat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/>
    <xf numFmtId="168" fontId="0" fillId="2" borderId="0" xfId="0" applyNumberFormat="1" applyFill="1" applyAlignment="1">
      <alignment horizontal="center"/>
    </xf>
    <xf numFmtId="167" fontId="0" fillId="2" borderId="0" xfId="0" quotePrefix="1" applyNumberFormat="1" applyFill="1" applyAlignment="1">
      <alignment horizontal="center"/>
    </xf>
    <xf numFmtId="168" fontId="0" fillId="2" borderId="7" xfId="0" applyNumberFormat="1" applyFill="1" applyBorder="1" applyAlignment="1">
      <alignment horizontal="center"/>
    </xf>
    <xf numFmtId="167" fontId="0" fillId="2" borderId="7" xfId="0" quotePrefix="1" applyNumberFormat="1" applyFill="1" applyBorder="1" applyAlignment="1">
      <alignment horizontal="center"/>
    </xf>
    <xf numFmtId="0" fontId="0" fillId="2" borderId="0" xfId="0" quotePrefix="1" applyFill="1" applyAlignment="1">
      <alignment horizontal="left" indent="3"/>
    </xf>
    <xf numFmtId="0" fontId="0" fillId="2" borderId="0" xfId="0" quotePrefix="1" applyFill="1" applyAlignment="1">
      <alignment horizontal="left" indent="1"/>
    </xf>
    <xf numFmtId="0" fontId="0" fillId="0" borderId="5" xfId="0" applyBorder="1" applyAlignment="1">
      <alignment horizontal="center"/>
    </xf>
    <xf numFmtId="2" fontId="0" fillId="0" borderId="0" xfId="0" applyNumberFormat="1" applyAlignment="1"/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2" borderId="0" xfId="0" quotePrefix="1" applyFill="1" applyAlignment="1">
      <alignment horizontal="right"/>
    </xf>
    <xf numFmtId="0" fontId="0" fillId="2" borderId="7" xfId="0" quotePrefix="1" applyFill="1" applyBorder="1" applyAlignment="1">
      <alignment horizontal="right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3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4000" y="221606"/>
          <a:ext cx="206411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6</xdr:col>
      <xdr:colOff>152400</xdr:colOff>
      <xdr:row>21</xdr:row>
      <xdr:rowOff>98891</xdr:rowOff>
    </xdr:from>
    <xdr:to>
      <xdr:col>18</xdr:col>
      <xdr:colOff>237067</xdr:colOff>
      <xdr:row>21</xdr:row>
      <xdr:rowOff>98891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676400" y="4366091"/>
          <a:ext cx="3132667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251970</xdr:colOff>
      <xdr:row>21</xdr:row>
      <xdr:rowOff>97225</xdr:rowOff>
    </xdr:from>
    <xdr:to>
      <xdr:col>12</xdr:col>
      <xdr:colOff>251970</xdr:colOff>
      <xdr:row>24</xdr:row>
      <xdr:rowOff>182297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V="1">
          <a:off x="3299970" y="4364425"/>
          <a:ext cx="0" cy="69467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7" name="Shape 27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9" name="Shape 27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" name="Shape 26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12" name="Shape 27">
                <a:extLst>
                  <a:ext uri="{FF2B5EF4-FFF2-40B4-BE49-F238E27FC236}">
                    <a16:creationId xmlns:a16="http://schemas.microsoft.com/office/drawing/2014/main" id="{00000000-0008-0000-0200-00000C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200-00000D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14" name="Oval 13">
                  <a:extLst>
                    <a:ext uri="{FF2B5EF4-FFF2-40B4-BE49-F238E27FC236}">
                      <a16:creationId xmlns:a16="http://schemas.microsoft.com/office/drawing/2014/main" id="{00000000-0008-0000-0200-00000E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5" name="Group 14">
                  <a:extLst>
                    <a:ext uri="{FF2B5EF4-FFF2-40B4-BE49-F238E27FC236}">
                      <a16:creationId xmlns:a16="http://schemas.microsoft.com/office/drawing/2014/main" id="{00000000-0008-0000-0200-00000F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16" name="Shape 22">
                    <a:extLst>
                      <a:ext uri="{FF2B5EF4-FFF2-40B4-BE49-F238E27FC236}">
                        <a16:creationId xmlns:a16="http://schemas.microsoft.com/office/drawing/2014/main" id="{00000000-0008-0000-0200-000010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:ma14="http://schemas.microsoft.com/office/mac/drawingml/2011/main" xmlns="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17" name="Group 16">
                    <a:extLst>
                      <a:ext uri="{FF2B5EF4-FFF2-40B4-BE49-F238E27FC236}">
                        <a16:creationId xmlns:a16="http://schemas.microsoft.com/office/drawing/2014/main" id="{00000000-0008-0000-0200-000011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18" name="Shape 18">
                      <a:extLst>
                        <a:ext uri="{FF2B5EF4-FFF2-40B4-BE49-F238E27FC236}">
                          <a16:creationId xmlns:a16="http://schemas.microsoft.com/office/drawing/2014/main" id="{00000000-0008-0000-0200-000012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9" name="Shape 18">
                      <a:extLst>
                        <a:ext uri="{FF2B5EF4-FFF2-40B4-BE49-F238E27FC236}">
                          <a16:creationId xmlns:a16="http://schemas.microsoft.com/office/drawing/2014/main" id="{00000000-0008-0000-0200-000013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20" name="Straight Connector 19">
                      <a:extLst>
                        <a:ext uri="{FF2B5EF4-FFF2-40B4-BE49-F238E27FC236}">
                          <a16:creationId xmlns:a16="http://schemas.microsoft.com/office/drawing/2014/main" id="{00000000-0008-0000-0200-000014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1" name="Straight Connector 20">
                      <a:extLst>
                        <a:ext uri="{FF2B5EF4-FFF2-40B4-BE49-F238E27FC236}">
                          <a16:creationId xmlns:a16="http://schemas.microsoft.com/office/drawing/2014/main" id="{00000000-0008-0000-0200-000015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" name="Straight Connector 21">
                      <a:extLst>
                        <a:ext uri="{FF2B5EF4-FFF2-40B4-BE49-F238E27FC236}">
                          <a16:creationId xmlns:a16="http://schemas.microsoft.com/office/drawing/2014/main" id="{00000000-0008-0000-0200-000016000000}"/>
                        </a:ext>
                      </a:extLst>
                    </xdr:cNvPr>
                    <xdr:cNvCxnSpPr>
                      <a:endCxn id="19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3" name="Rectangle 22">
                      <a:extLst>
                        <a:ext uri="{FF2B5EF4-FFF2-40B4-BE49-F238E27FC236}">
                          <a16:creationId xmlns:a16="http://schemas.microsoft.com/office/drawing/2014/main" id="{00000000-0008-0000-0200-000017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24" name="3PR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33" name="Oval 32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34" name="Shape 27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5" name="Shape 22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:ma14="http://schemas.microsoft.com/office/mac/drawingml/2011/main" xmlns="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36" name="Shape 27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7" name="Shape 2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38" name="Shape 26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7" name="Shape 18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8" name="Shape 18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9" name="Straight Connector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" name="Straight Connector 29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>
              <a:endCxn id="28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7</xdr:col>
      <xdr:colOff>219314</xdr:colOff>
      <xdr:row>2</xdr:row>
      <xdr:rowOff>74390</xdr:rowOff>
    </xdr:from>
    <xdr:to>
      <xdr:col>10</xdr:col>
      <xdr:colOff>58684</xdr:colOff>
      <xdr:row>21</xdr:row>
      <xdr:rowOff>42683</xdr:rowOff>
    </xdr:to>
    <xdr:grpSp>
      <xdr:nvGrpSpPr>
        <xdr:cNvPr id="39" name="3PL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997314" y="480790"/>
          <a:ext cx="601370" cy="3829093"/>
          <a:chOff x="2012467" y="325459"/>
          <a:chExt cx="592158" cy="3840760"/>
        </a:xfrm>
      </xdr:grpSpPr>
      <xdr:grpSp>
        <xdr:nvGrpSpPr>
          <xdr:cNvPr id="40" name="Group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GrpSpPr/>
        </xdr:nvGrpSpPr>
        <xdr:grpSpPr>
          <a:xfrm>
            <a:off x="2012467" y="325459"/>
            <a:ext cx="592158" cy="3836226"/>
            <a:chOff x="10975311" y="1118934"/>
            <a:chExt cx="590576" cy="4000451"/>
          </a:xfrm>
        </xdr:grpSpPr>
        <xdr:grpSp>
          <xdr:nvGrpSpPr>
            <xdr:cNvPr id="42" name="Group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GrpSpPr/>
          </xdr:nvGrpSpPr>
          <xdr:grpSpPr>
            <a:xfrm>
              <a:off x="10975311" y="1118934"/>
              <a:ext cx="590576" cy="3157044"/>
              <a:chOff x="10975311" y="1118934"/>
              <a:chExt cx="590576" cy="3157044"/>
            </a:xfrm>
          </xdr:grpSpPr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SpPr/>
            </xdr:nvSpPr>
            <xdr:spPr>
              <a:xfrm>
                <a:off x="10975311" y="2769957"/>
                <a:ext cx="590576" cy="590576"/>
              </a:xfrm>
              <a:prstGeom prst="ellipse">
                <a:avLst/>
              </a:prstGeom>
              <a:solidFill>
                <a:schemeClr val="bg1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50" name="Shape 27">
                <a:extLst>
                  <a:ext uri="{FF2B5EF4-FFF2-40B4-BE49-F238E27FC236}">
                    <a16:creationId xmlns:a16="http://schemas.microsoft.com/office/drawing/2014/main" id="{00000000-0008-0000-0200-000032000000}"/>
                  </a:ext>
                </a:extLst>
              </xdr:cNvPr>
              <xdr:cNvSpPr/>
            </xdr:nvSpPr>
            <xdr:spPr>
              <a:xfrm>
                <a:off x="11222694" y="111893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1" name="Shape 22">
                <a:extLst>
                  <a:ext uri="{FF2B5EF4-FFF2-40B4-BE49-F238E27FC236}">
                    <a16:creationId xmlns:a16="http://schemas.microsoft.com/office/drawing/2014/main" id="{00000000-0008-0000-0200-000033000000}"/>
                  </a:ext>
                </a:extLst>
              </xdr:cNvPr>
              <xdr:cNvSpPr/>
            </xdr:nvSpPr>
            <xdr:spPr>
              <a:xfrm>
                <a:off x="11173983" y="2958107"/>
                <a:ext cx="229894" cy="214279"/>
              </a:xfrm>
              <a:prstGeom prst="rect">
                <a:avLst/>
              </a:prstGeom>
              <a:noFill/>
              <a:ln w="12700" cap="flat">
                <a:noFill/>
                <a:miter lim="400000"/>
              </a:ln>
              <a:effectLst/>
              <a:extLst>
                <a:ext uri="{C572A759-6A51-4108-AA02-DFA0A04FC94B}">
                  <ma14:wrappingTextBoxFlag xmlns:ma14="http://schemas.microsoft.com/office/mac/drawingml/2011/main" xmlns="" val="1"/>
                </a:ext>
              </a:extLst>
            </xdr:spPr>
            <xdr:txBody>
              <a:bodyPr wrap="square" lIns="50800" tIns="50800" rIns="50800" bIns="50800" numCol="1" anchor="ctr">
                <a:noAutofit/>
              </a:bodyPr>
              <a:lstStyle/>
              <a:p>
                <a:pPr marL="0" marR="0" lvl="0" indent="0" algn="ctr" defTabSz="45720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r>
                  <a:rPr sz="1400" b="1" i="0" u="none" strike="noStrike" cap="none" spc="0" baseline="0">
                    <a:ln>
                      <a:noFill/>
                    </a:ln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  <a:sym typeface="Helvetica"/>
                  </a:rPr>
                  <a:t>M</a:t>
                </a:r>
              </a:p>
            </xdr:txBody>
          </xdr:sp>
          <xdr:sp macro="" textlink="">
            <xdr:nvSpPr>
              <xdr:cNvPr id="52" name="Shape 27">
                <a:extLst>
                  <a:ext uri="{FF2B5EF4-FFF2-40B4-BE49-F238E27FC236}">
                    <a16:creationId xmlns:a16="http://schemas.microsoft.com/office/drawing/2014/main" id="{00000000-0008-0000-0200-000034000000}"/>
                  </a:ext>
                </a:extLst>
              </xdr:cNvPr>
              <xdr:cNvSpPr/>
            </xdr:nvSpPr>
            <xdr:spPr>
              <a:xfrm>
                <a:off x="11220477" y="3773914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3" name="Shape 27">
                <a:extLst>
                  <a:ext uri="{FF2B5EF4-FFF2-40B4-BE49-F238E27FC236}">
                    <a16:creationId xmlns:a16="http://schemas.microsoft.com/office/drawing/2014/main" id="{00000000-0008-0000-0200-000035000000}"/>
                  </a:ext>
                </a:extLst>
              </xdr:cNvPr>
              <xdr:cNvSpPr/>
            </xdr:nvSpPr>
            <xdr:spPr>
              <a:xfrm>
                <a:off x="11221315" y="4171951"/>
                <a:ext cx="99578" cy="1040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54" name="Shape 26">
                <a:extLst>
                  <a:ext uri="{FF2B5EF4-FFF2-40B4-BE49-F238E27FC236}">
                    <a16:creationId xmlns:a16="http://schemas.microsoft.com/office/drawing/2014/main" id="{00000000-0008-0000-0200-000036000000}"/>
                  </a:ext>
                </a:extLst>
              </xdr:cNvPr>
              <xdr:cNvSpPr/>
            </xdr:nvSpPr>
            <xdr:spPr>
              <a:xfrm flipH="1">
                <a:off x="11283191" y="3956253"/>
                <a:ext cx="230430" cy="21475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grpSp>
          <xdr:nvGrpSpPr>
            <xdr:cNvPr id="43" name="Group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GrpSpPr/>
          </xdr:nvGrpSpPr>
          <xdr:grpSpPr>
            <a:xfrm>
              <a:off x="11022345" y="1228189"/>
              <a:ext cx="502566" cy="3891196"/>
              <a:chOff x="11022345" y="1228189"/>
              <a:chExt cx="502566" cy="3891196"/>
            </a:xfrm>
          </xdr:grpSpPr>
          <xdr:sp macro="" textlink="">
            <xdr:nvSpPr>
              <xdr:cNvPr id="44" name="Shape 18">
                <a:extLst>
                  <a:ext uri="{FF2B5EF4-FFF2-40B4-BE49-F238E27FC236}">
                    <a16:creationId xmlns:a16="http://schemas.microsoft.com/office/drawing/2014/main" id="{00000000-0008-0000-0200-00002C000000}"/>
                  </a:ext>
                </a:extLst>
              </xdr:cNvPr>
              <xdr:cNvSpPr/>
            </xdr:nvSpPr>
            <xdr:spPr>
              <a:xfrm>
                <a:off x="11267984" y="4275144"/>
                <a:ext cx="0" cy="84424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  <a:tailEnd type="triangle" w="med" len="med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45" name="Straight Connector 44">
                <a:extLst>
                  <a:ext uri="{FF2B5EF4-FFF2-40B4-BE49-F238E27FC236}">
                    <a16:creationId xmlns:a16="http://schemas.microsoft.com/office/drawing/2014/main" id="{00000000-0008-0000-0200-00002D000000}"/>
                  </a:ext>
                </a:extLst>
              </xdr:cNvPr>
              <xdr:cNvCxnSpPr/>
            </xdr:nvCxnSpPr>
            <xdr:spPr>
              <a:xfrm>
                <a:off x="11267984" y="1228189"/>
                <a:ext cx="1" cy="154177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>
                <a:extLst>
                  <a:ext uri="{FF2B5EF4-FFF2-40B4-BE49-F238E27FC236}">
                    <a16:creationId xmlns:a16="http://schemas.microsoft.com/office/drawing/2014/main" id="{00000000-0008-0000-0200-00002E000000}"/>
                  </a:ext>
                </a:extLst>
              </xdr:cNvPr>
              <xdr:cNvCxnSpPr/>
            </xdr:nvCxnSpPr>
            <xdr:spPr>
              <a:xfrm>
                <a:off x="11268821" y="3361371"/>
                <a:ext cx="0" cy="417271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CxnSpPr>
                <a:cxnSpLocks/>
              </xdr:cNvCxnSpPr>
            </xdr:nvCxnSpPr>
            <xdr:spPr>
              <a:xfrm>
                <a:off x="11267984" y="4688862"/>
                <a:ext cx="256927" cy="0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8" name="Rectangle 47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SpPr/>
            </xdr:nvSpPr>
            <xdr:spPr>
              <a:xfrm>
                <a:off x="11022345" y="1630618"/>
                <a:ext cx="501729" cy="82053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sp macro="" textlink="">
        <xdr:nvSpPr>
          <xdr:cNvPr id="41" name="Shape 18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2567021" y="3752460"/>
            <a:ext cx="0" cy="413759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2</xdr:col>
      <xdr:colOff>8208</xdr:colOff>
      <xdr:row>3</xdr:row>
      <xdr:rowOff>162219</xdr:rowOff>
    </xdr:from>
    <xdr:to>
      <xdr:col>65</xdr:col>
      <xdr:colOff>214218</xdr:colOff>
      <xdr:row>27</xdr:row>
      <xdr:rowOff>0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516208" y="771819"/>
          <a:ext cx="16208010" cy="4714581"/>
          <a:chOff x="497840" y="771821"/>
          <a:chExt cx="4673317" cy="4695674"/>
        </a:xfrm>
      </xdr:grpSpPr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7840" y="771821"/>
            <a:ext cx="4673317" cy="469567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536903" y="1145658"/>
            <a:ext cx="1574800" cy="2777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Service Fuses</a:t>
            </a:r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541851" y="1835505"/>
            <a:ext cx="2919045" cy="11630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Metering</a:t>
            </a:r>
            <a:r>
              <a:rPr lang="en-GB" sz="1200" baseline="0"/>
              <a:t> as</a:t>
            </a:r>
          </a:p>
          <a:p>
            <a:pPr algn="l"/>
            <a:r>
              <a:rPr lang="en-GB" sz="1200" baseline="0"/>
              <a:t>agreed with </a:t>
            </a:r>
          </a:p>
          <a:p>
            <a:pPr algn="l"/>
            <a:r>
              <a:rPr lang="en-GB" sz="1200" baseline="0"/>
              <a:t>the electricity</a:t>
            </a:r>
          </a:p>
          <a:p>
            <a:pPr algn="l"/>
            <a:r>
              <a:rPr lang="en-GB" sz="1200" baseline="0"/>
              <a:t>distributer</a:t>
            </a:r>
            <a:endParaRPr lang="en-GB" sz="1200"/>
          </a:p>
          <a:p>
            <a:pPr algn="l"/>
            <a:endParaRPr lang="en-GB" sz="1200"/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549438" y="2949042"/>
            <a:ext cx="1574800" cy="5847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GB" sz="1200"/>
              <a:t>Main Switch</a:t>
            </a:r>
          </a:p>
          <a:p>
            <a:pPr algn="l"/>
            <a:r>
              <a:rPr lang="en-GB" sz="1200"/>
              <a:t>Grid</a:t>
            </a:r>
            <a:r>
              <a:rPr lang="en-GB" sz="1200" baseline="0"/>
              <a:t> Supply</a:t>
            </a:r>
            <a:endParaRPr lang="en-GB" sz="1200"/>
          </a:p>
          <a:p>
            <a:pPr algn="l"/>
            <a:endParaRPr lang="en-GB" sz="1200"/>
          </a:p>
        </xdr:txBody>
      </xdr:sp>
    </xdr:grpSp>
    <xdr:clientData/>
  </xdr:twoCellAnchor>
  <xdr:twoCellAnchor>
    <xdr:from>
      <xdr:col>58</xdr:col>
      <xdr:colOff>247639</xdr:colOff>
      <xdr:row>37</xdr:row>
      <xdr:rowOff>125659</xdr:rowOff>
    </xdr:from>
    <xdr:to>
      <xdr:col>62</xdr:col>
      <xdr:colOff>251150</xdr:colOff>
      <xdr:row>42</xdr:row>
      <xdr:rowOff>25191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14979639" y="7644059"/>
          <a:ext cx="1019511" cy="915532"/>
          <a:chOff x="10475279" y="4413061"/>
          <a:chExt cx="1019511" cy="918310"/>
        </a:xfrm>
      </xdr:grpSpPr>
      <xdr:sp macro="" textlink="">
        <xdr:nvSpPr>
          <xdr:cNvPr id="61" name="Shape 18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 flipH="1">
            <a:off x="10475279" y="4413061"/>
            <a:ext cx="0" cy="555610"/>
          </a:xfrm>
          <a:prstGeom prst="line">
            <a:avLst/>
          </a:prstGeom>
          <a:noFill/>
          <a:ln w="6350" cap="flat">
            <a:solidFill>
              <a:srgbClr val="000000"/>
            </a:solidFill>
            <a:prstDash val="solid"/>
            <a:miter lim="400000"/>
            <a:tailEnd type="triangle" w="med" len="med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566246" y="4657597"/>
            <a:ext cx="928544" cy="6737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GB" sz="1100"/>
              <a:t>Backup</a:t>
            </a:r>
          </a:p>
          <a:p>
            <a:r>
              <a:rPr lang="en-GB" sz="1100"/>
              <a:t>Loads</a:t>
            </a:r>
          </a:p>
          <a:p>
            <a:endParaRPr lang="en-GB" sz="1800"/>
          </a:p>
        </xdr:txBody>
      </xdr:sp>
    </xdr:grpSp>
    <xdr:clientData/>
  </xdr:twoCellAnchor>
  <xdr:twoCellAnchor>
    <xdr:from>
      <xdr:col>13</xdr:col>
      <xdr:colOff>25400</xdr:colOff>
      <xdr:row>52</xdr:row>
      <xdr:rowOff>161825</xdr:rowOff>
    </xdr:from>
    <xdr:to>
      <xdr:col>44</xdr:col>
      <xdr:colOff>245533</xdr:colOff>
      <xdr:row>52</xdr:row>
      <xdr:rowOff>161825</xdr:rowOff>
    </xdr:to>
    <xdr:cxnSp macro="">
      <xdr:nvCxnSpPr>
        <xdr:cNvPr id="63" name="Straight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/>
      </xdr:nvCxnSpPr>
      <xdr:spPr>
        <a:xfrm>
          <a:off x="3327400" y="10728225"/>
          <a:ext cx="8094133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221951</xdr:colOff>
      <xdr:row>42</xdr:row>
      <xdr:rowOff>173218</xdr:rowOff>
    </xdr:from>
    <xdr:to>
      <xdr:col>13</xdr:col>
      <xdr:colOff>65334</xdr:colOff>
      <xdr:row>43</xdr:row>
      <xdr:rowOff>78335</xdr:rowOff>
    </xdr:to>
    <xdr:sp macro="" textlink="">
      <xdr:nvSpPr>
        <xdr:cNvPr id="64" name="Shape 27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269951" y="8707618"/>
          <a:ext cx="97383" cy="108317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222738</xdr:colOff>
      <xdr:row>44</xdr:row>
      <xdr:rowOff>54733</xdr:rowOff>
    </xdr:from>
    <xdr:to>
      <xdr:col>13</xdr:col>
      <xdr:colOff>66121</xdr:colOff>
      <xdr:row>44</xdr:row>
      <xdr:rowOff>154475</xdr:rowOff>
    </xdr:to>
    <xdr:sp macro="" textlink="">
      <xdr:nvSpPr>
        <xdr:cNvPr id="65" name="Shape 27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3270738" y="8995533"/>
          <a:ext cx="97383" cy="99742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17943</xdr:colOff>
      <xdr:row>31</xdr:row>
      <xdr:rowOff>132517</xdr:rowOff>
    </xdr:from>
    <xdr:to>
      <xdr:col>13</xdr:col>
      <xdr:colOff>17944</xdr:colOff>
      <xdr:row>43</xdr:row>
      <xdr:rowOff>19891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endCxn id="64" idx="0"/>
        </xdr:cNvCxnSpPr>
      </xdr:nvCxnSpPr>
      <xdr:spPr>
        <a:xfrm>
          <a:off x="3319943" y="6431717"/>
          <a:ext cx="1" cy="23257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4008</xdr:colOff>
      <xdr:row>30</xdr:row>
      <xdr:rowOff>112543</xdr:rowOff>
    </xdr:from>
    <xdr:to>
      <xdr:col>18</xdr:col>
      <xdr:colOff>193429</xdr:colOff>
      <xdr:row>45</xdr:row>
      <xdr:rowOff>56598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1782008" y="6208543"/>
          <a:ext cx="2983421" cy="2992055"/>
        </a:xfrm>
        <a:prstGeom prst="rect">
          <a:avLst/>
        </a:prstGeom>
        <a:noFill/>
        <a:ln w="1270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14248</xdr:colOff>
      <xdr:row>27</xdr:row>
      <xdr:rowOff>180487</xdr:rowOff>
    </xdr:from>
    <xdr:to>
      <xdr:col>13</xdr:col>
      <xdr:colOff>14248</xdr:colOff>
      <xdr:row>32</xdr:row>
      <xdr:rowOff>201264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/>
      </xdr:nvCxnSpPr>
      <xdr:spPr>
        <a:xfrm>
          <a:off x="3316248" y="5666887"/>
          <a:ext cx="0" cy="10367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151437</xdr:colOff>
      <xdr:row>22</xdr:row>
      <xdr:rowOff>118462</xdr:rowOff>
    </xdr:from>
    <xdr:to>
      <xdr:col>13</xdr:col>
      <xdr:colOff>116077</xdr:colOff>
      <xdr:row>23</xdr:row>
      <xdr:rowOff>138639</xdr:rowOff>
    </xdr:to>
    <xdr:sp macro="" textlink="">
      <xdr:nvSpPr>
        <xdr:cNvPr id="69" name="Shape 26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 flipH="1">
          <a:off x="3199437" y="4588862"/>
          <a:ext cx="218640" cy="223377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135370</xdr:colOff>
      <xdr:row>43</xdr:row>
      <xdr:rowOff>157360</xdr:rowOff>
    </xdr:from>
    <xdr:to>
      <xdr:col>16</xdr:col>
      <xdr:colOff>211785</xdr:colOff>
      <xdr:row>43</xdr:row>
      <xdr:rowOff>157361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 flipV="1">
          <a:off x="3437370" y="8894960"/>
          <a:ext cx="838415" cy="1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245796</xdr:colOff>
      <xdr:row>33</xdr:row>
      <xdr:rowOff>151631</xdr:rowOff>
    </xdr:from>
    <xdr:to>
      <xdr:col>16</xdr:col>
      <xdr:colOff>160742</xdr:colOff>
      <xdr:row>35</xdr:row>
      <xdr:rowOff>202002</xdr:rowOff>
    </xdr:to>
    <xdr:sp macro="" textlink="">
      <xdr:nvSpPr>
        <xdr:cNvPr id="71" name="Shape 27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3801796" y="6857231"/>
          <a:ext cx="422946" cy="456771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11</xdr:col>
      <xdr:colOff>202829</xdr:colOff>
      <xdr:row>33</xdr:row>
      <xdr:rowOff>58522</xdr:rowOff>
    </xdr:from>
    <xdr:to>
      <xdr:col>17</xdr:col>
      <xdr:colOff>230115</xdr:colOff>
      <xdr:row>37</xdr:row>
      <xdr:rowOff>69438</xdr:rowOff>
    </xdr:to>
    <xdr:sp macro="" textlink="">
      <xdr:nvSpPr>
        <xdr:cNvPr id="72" name="Rectangle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2996829" y="6764122"/>
          <a:ext cx="1551286" cy="823716"/>
        </a:xfrm>
        <a:prstGeom prst="rect">
          <a:avLst/>
        </a:prstGeom>
        <a:noFill/>
        <a:ln w="6350"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225878</xdr:colOff>
      <xdr:row>37</xdr:row>
      <xdr:rowOff>68908</xdr:rowOff>
    </xdr:from>
    <xdr:to>
      <xdr:col>16</xdr:col>
      <xdr:colOff>225878</xdr:colOff>
      <xdr:row>43</xdr:row>
      <xdr:rowOff>166701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>
          <a:off x="4289878" y="7587308"/>
          <a:ext cx="0" cy="1316993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236387</xdr:colOff>
      <xdr:row>35</xdr:row>
      <xdr:rowOff>34262</xdr:rowOff>
    </xdr:from>
    <xdr:to>
      <xdr:col>14</xdr:col>
      <xdr:colOff>245763</xdr:colOff>
      <xdr:row>35</xdr:row>
      <xdr:rowOff>34262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CxnSpPr/>
      </xdr:nvCxnSpPr>
      <xdr:spPr>
        <a:xfrm flipH="1">
          <a:off x="3538387" y="7146262"/>
          <a:ext cx="263376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32723</xdr:colOff>
      <xdr:row>33</xdr:row>
      <xdr:rowOff>175920</xdr:rowOff>
    </xdr:from>
    <xdr:to>
      <xdr:col>16</xdr:col>
      <xdr:colOff>107087</xdr:colOff>
      <xdr:row>35</xdr:row>
      <xdr:rowOff>70052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 txBox="1"/>
      </xdr:nvSpPr>
      <xdr:spPr>
        <a:xfrm>
          <a:off x="3842723" y="6881520"/>
          <a:ext cx="328364" cy="300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800"/>
            <a:t>M</a:t>
          </a:r>
        </a:p>
      </xdr:txBody>
    </xdr:sp>
    <xdr:clientData/>
  </xdr:twoCellAnchor>
  <xdr:twoCellAnchor>
    <xdr:from>
      <xdr:col>14</xdr:col>
      <xdr:colOff>100162</xdr:colOff>
      <xdr:row>35</xdr:row>
      <xdr:rowOff>151016</xdr:rowOff>
    </xdr:from>
    <xdr:to>
      <xdr:col>17</xdr:col>
      <xdr:colOff>185284</xdr:colOff>
      <xdr:row>38</xdr:row>
      <xdr:rowOff>28167</xdr:rowOff>
    </xdr:to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 txBox="1"/>
      </xdr:nvSpPr>
      <xdr:spPr>
        <a:xfrm>
          <a:off x="3656162" y="7263016"/>
          <a:ext cx="847122" cy="4867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900"/>
            <a:t>Tesla Energy Meter</a:t>
          </a:r>
        </a:p>
        <a:p>
          <a:endParaRPr lang="en-GB" sz="1100"/>
        </a:p>
      </xdr:txBody>
    </xdr:sp>
    <xdr:clientData/>
  </xdr:twoCellAnchor>
  <xdr:twoCellAnchor>
    <xdr:from>
      <xdr:col>12</xdr:col>
      <xdr:colOff>16585</xdr:colOff>
      <xdr:row>34</xdr:row>
      <xdr:rowOff>159420</xdr:rowOff>
    </xdr:from>
    <xdr:to>
      <xdr:col>14</xdr:col>
      <xdr:colOff>8182</xdr:colOff>
      <xdr:row>35</xdr:row>
      <xdr:rowOff>167209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3064585" y="7068220"/>
          <a:ext cx="499597" cy="210989"/>
        </a:xfrm>
        <a:prstGeom prst="rect">
          <a:avLst/>
        </a:prstGeom>
        <a:solidFill>
          <a:schemeClr val="bg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800"/>
            <a:t>NET CT</a:t>
          </a:r>
        </a:p>
      </xdr:txBody>
    </xdr:sp>
    <xdr:clientData/>
  </xdr:twoCellAnchor>
  <xdr:twoCellAnchor>
    <xdr:from>
      <xdr:col>7</xdr:col>
      <xdr:colOff>73977</xdr:colOff>
      <xdr:row>33</xdr:row>
      <xdr:rowOff>150038</xdr:rowOff>
    </xdr:from>
    <xdr:to>
      <xdr:col>11</xdr:col>
      <xdr:colOff>75565</xdr:colOff>
      <xdr:row>37</xdr:row>
      <xdr:rowOff>152400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851977" y="6855638"/>
          <a:ext cx="1017588" cy="81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200"/>
            <a:t>Tesla Backup Gateway</a:t>
          </a:r>
        </a:p>
        <a:p>
          <a:endParaRPr lang="en-GB" sz="1800"/>
        </a:p>
      </xdr:txBody>
    </xdr:sp>
    <xdr:clientData/>
  </xdr:twoCellAnchor>
  <xdr:twoCellAnchor>
    <xdr:from>
      <xdr:col>13</xdr:col>
      <xdr:colOff>17230</xdr:colOff>
      <xdr:row>44</xdr:row>
      <xdr:rowOff>155781</xdr:rowOff>
    </xdr:from>
    <xdr:to>
      <xdr:col>13</xdr:col>
      <xdr:colOff>17230</xdr:colOff>
      <xdr:row>52</xdr:row>
      <xdr:rowOff>169333</xdr:rowOff>
    </xdr:to>
    <xdr:cxnSp macro="">
      <xdr:nvCxnSpPr>
        <xdr:cNvPr id="79" name="Straight Connector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>
          <a:off x="3319230" y="9096581"/>
          <a:ext cx="0" cy="163915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84778</xdr:colOff>
      <xdr:row>14</xdr:row>
      <xdr:rowOff>80846</xdr:rowOff>
    </xdr:from>
    <xdr:to>
      <xdr:col>51</xdr:col>
      <xdr:colOff>190882</xdr:colOff>
      <xdr:row>27</xdr:row>
      <xdr:rowOff>203198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GrpSpPr/>
      </xdr:nvGrpSpPr>
      <xdr:grpSpPr>
        <a:xfrm>
          <a:off x="12784778" y="2925646"/>
          <a:ext cx="360104" cy="2763952"/>
          <a:chOff x="9530059" y="4216356"/>
          <a:chExt cx="369906" cy="2764483"/>
        </a:xfrm>
      </xdr:grpSpPr>
      <xdr:sp macro="" textlink="">
        <xdr:nvSpPr>
          <xdr:cNvPr id="81" name="Shape 27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2" name="Shape 27">
            <a:extLst>
              <a:ext uri="{FF2B5EF4-FFF2-40B4-BE49-F238E27FC236}">
                <a16:creationId xmlns:a16="http://schemas.microsoft.com/office/drawing/2014/main" id="{00000000-0008-0000-0200-000052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3" name="Shape 26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84" name="Shape 26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85" name="Straight Connector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CxnSpPr/>
        </xdr:nvCxnSpPr>
        <xdr:spPr>
          <a:xfrm>
            <a:off x="9634878" y="4216356"/>
            <a:ext cx="0" cy="51332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Connector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CxnSpPr/>
        </xdr:nvCxnSpPr>
        <xdr:spPr>
          <a:xfrm>
            <a:off x="9651134" y="5019836"/>
            <a:ext cx="0" cy="19610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44</xdr:col>
      <xdr:colOff>235888</xdr:colOff>
      <xdr:row>14</xdr:row>
      <xdr:rowOff>58354</xdr:rowOff>
    </xdr:from>
    <xdr:to>
      <xdr:col>44</xdr:col>
      <xdr:colOff>235888</xdr:colOff>
      <xdr:row>52</xdr:row>
      <xdr:rowOff>160867</xdr:rowOff>
    </xdr:to>
    <xdr:cxnSp macro="">
      <xdr:nvCxnSpPr>
        <xdr:cNvPr id="87" name="Straight Connector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CxnSpPr/>
      </xdr:nvCxnSpPr>
      <xdr:spPr>
        <a:xfrm>
          <a:off x="11411888" y="2903154"/>
          <a:ext cx="0" cy="782411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114414</xdr:colOff>
      <xdr:row>14</xdr:row>
      <xdr:rowOff>81188</xdr:rowOff>
    </xdr:from>
    <xdr:to>
      <xdr:col>62</xdr:col>
      <xdr:colOff>217387</xdr:colOff>
      <xdr:row>14</xdr:row>
      <xdr:rowOff>81188</xdr:rowOff>
    </xdr:to>
    <xdr:cxnSp macro="">
      <xdr:nvCxnSpPr>
        <xdr:cNvPr id="88" name="Straight Connector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CxnSpPr/>
      </xdr:nvCxnSpPr>
      <xdr:spPr>
        <a:xfrm>
          <a:off x="10938018" y="2964431"/>
          <a:ext cx="488549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129353</xdr:colOff>
      <xdr:row>43</xdr:row>
      <xdr:rowOff>1104</xdr:rowOff>
    </xdr:from>
    <xdr:to>
      <xdr:col>13</xdr:col>
      <xdr:colOff>129353</xdr:colOff>
      <xdr:row>44</xdr:row>
      <xdr:rowOff>111538</xdr:rowOff>
    </xdr:to>
    <xdr:cxnSp macro="">
      <xdr:nvCxnSpPr>
        <xdr:cNvPr id="89" name="Straight Connector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/>
      </xdr:nvCxnSpPr>
      <xdr:spPr>
        <a:xfrm>
          <a:off x="3431353" y="8738704"/>
          <a:ext cx="0" cy="31363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200227</xdr:colOff>
      <xdr:row>27</xdr:row>
      <xdr:rowOff>201603</xdr:rowOff>
    </xdr:from>
    <xdr:to>
      <xdr:col>52</xdr:col>
      <xdr:colOff>184730</xdr:colOff>
      <xdr:row>38</xdr:row>
      <xdr:rowOff>97074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GrpSpPr/>
      </xdr:nvGrpSpPr>
      <xdr:grpSpPr>
        <a:xfrm>
          <a:off x="12392227" y="5688003"/>
          <a:ext cx="1000503" cy="2130671"/>
          <a:chOff x="9331439" y="5595260"/>
          <a:chExt cx="1009223" cy="2113883"/>
        </a:xfrm>
      </xdr:grpSpPr>
      <xdr:grpSp>
        <xdr:nvGrpSpPr>
          <xdr:cNvPr id="91" name="Group 90" descr="Inverter">
            <a:extLst>
              <a:ext uri="{FF2B5EF4-FFF2-40B4-BE49-F238E27FC236}">
                <a16:creationId xmlns:a16="http://schemas.microsoft.com/office/drawing/2014/main" id="{00000000-0008-0000-0200-00005B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GrpSpPr/>
        </xdr:nvGrpSpPr>
        <xdr:grpSpPr>
          <a:xfrm rot="10800000">
            <a:off x="9331439" y="5595260"/>
            <a:ext cx="1009223" cy="2113883"/>
            <a:chOff x="5583133" y="1597653"/>
            <a:chExt cx="766867" cy="4472950"/>
          </a:xfrm>
        </xdr:grpSpPr>
        <xdr:grpSp>
          <xdr:nvGrpSpPr>
            <xdr:cNvPr id="106" name="Group 105">
              <a:extLst>
                <a:ext uri="{FF2B5EF4-FFF2-40B4-BE49-F238E27FC236}">
                  <a16:creationId xmlns:a16="http://schemas.microsoft.com/office/drawing/2014/main" id="{00000000-0008-0000-0200-00006A000000}"/>
                </a:ext>
              </a:extLst>
            </xdr:cNvPr>
            <xdr:cNvGrpSpPr/>
          </xdr:nvGrpSpPr>
          <xdr:grpSpPr>
            <a:xfrm>
              <a:off x="5588000" y="4800603"/>
              <a:ext cx="762000" cy="1270000"/>
              <a:chOff x="5588000" y="4800603"/>
              <a:chExt cx="762000" cy="1270000"/>
            </a:xfrm>
          </xdr:grpSpPr>
          <xdr:sp macro="" textlink="">
            <xdr:nvSpPr>
              <xdr:cNvPr id="112" name="Shape 5">
                <a:extLst>
                  <a:ext uri="{FF2B5EF4-FFF2-40B4-BE49-F238E27FC236}">
                    <a16:creationId xmlns:a16="http://schemas.microsoft.com/office/drawing/2014/main" id="{00000000-0008-0000-0200-000070000000}"/>
                  </a:ext>
                </a:extLst>
              </xdr:cNvPr>
              <xdr:cNvSpPr/>
            </xdr:nvSpPr>
            <xdr:spPr>
              <a:xfrm>
                <a:off x="5588000" y="4800603"/>
                <a:ext cx="762000" cy="127000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3" name="Shape 6">
                <a:extLst>
                  <a:ext uri="{FF2B5EF4-FFF2-40B4-BE49-F238E27FC236}">
                    <a16:creationId xmlns:a16="http://schemas.microsoft.com/office/drawing/2014/main" id="{00000000-0008-0000-0200-000071000000}"/>
                  </a:ext>
                </a:extLst>
              </xdr:cNvPr>
              <xdr:cNvSpPr/>
            </xdr:nvSpPr>
            <xdr:spPr>
              <a:xfrm>
                <a:off x="6027997" y="4938868"/>
                <a:ext cx="125900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dash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4" name="Shape 7">
                <a:extLst>
                  <a:ext uri="{FF2B5EF4-FFF2-40B4-BE49-F238E27FC236}">
                    <a16:creationId xmlns:a16="http://schemas.microsoft.com/office/drawing/2014/main" id="{00000000-0008-0000-0200-000072000000}"/>
                  </a:ext>
                </a:extLst>
              </xdr:cNvPr>
              <xdr:cNvSpPr/>
            </xdr:nvSpPr>
            <xdr:spPr>
              <a:xfrm>
                <a:off x="6018473" y="5050734"/>
                <a:ext cx="141028" cy="0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15" name="Shape 8">
                <a:extLst>
                  <a:ext uri="{FF2B5EF4-FFF2-40B4-BE49-F238E27FC236}">
                    <a16:creationId xmlns:a16="http://schemas.microsoft.com/office/drawing/2014/main" id="{00000000-0008-0000-0200-000073000000}"/>
                  </a:ext>
                </a:extLst>
              </xdr:cNvPr>
              <xdr:cNvSpPr/>
            </xdr:nvSpPr>
            <xdr:spPr>
              <a:xfrm>
                <a:off x="5716329" y="5725661"/>
                <a:ext cx="123805" cy="18855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21600" h="21600" extrusionOk="0">
                    <a:moveTo>
                      <a:pt x="0" y="19200"/>
                    </a:moveTo>
                    <a:cubicBezTo>
                      <a:pt x="2057" y="9600"/>
                      <a:pt x="5143" y="0"/>
                      <a:pt x="7200" y="0"/>
                    </a:cubicBezTo>
                    <a:cubicBezTo>
                      <a:pt x="9257" y="0"/>
                      <a:pt x="12343" y="21600"/>
                      <a:pt x="14400" y="21600"/>
                    </a:cubicBezTo>
                    <a:cubicBezTo>
                      <a:pt x="16457" y="21600"/>
                      <a:pt x="20571" y="4800"/>
                      <a:pt x="21600" y="2400"/>
                    </a:cubicBezTo>
                  </a:path>
                </a:pathLst>
              </a:cu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200-00006B000000}"/>
                </a:ext>
              </a:extLst>
            </xdr:cNvPr>
            <xdr:cNvSpPr/>
          </xdr:nvSpPr>
          <xdr:spPr>
            <a:xfrm>
              <a:off x="5588000" y="4781222"/>
              <a:ext cx="762000" cy="127000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8" name="Rectangle 107">
              <a:extLst>
                <a:ext uri="{FF2B5EF4-FFF2-40B4-BE49-F238E27FC236}">
                  <a16:creationId xmlns:a16="http://schemas.microsoft.com/office/drawing/2014/main" id="{00000000-0008-0000-0200-00006C000000}"/>
                </a:ext>
              </a:extLst>
            </xdr:cNvPr>
            <xdr:cNvSpPr/>
          </xdr:nvSpPr>
          <xdr:spPr>
            <a:xfrm>
              <a:off x="5583133" y="1597653"/>
              <a:ext cx="762000" cy="1270002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09" name="Rectangle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/>
          </xdr:nvSpPr>
          <xdr:spPr>
            <a:xfrm>
              <a:off x="5759030" y="1866265"/>
              <a:ext cx="381000" cy="53309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0" name="Rectangle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SpPr/>
          </xdr:nvSpPr>
          <xdr:spPr>
            <a:xfrm>
              <a:off x="5802382" y="2402667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  <xdr:sp macro="" textlink="">
          <xdr:nvSpPr>
            <xdr:cNvPr id="111" name="Rectangle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SpPr/>
          </xdr:nvSpPr>
          <xdr:spPr>
            <a:xfrm>
              <a:off x="6006836" y="2403328"/>
              <a:ext cx="72838" cy="156789"/>
            </a:xfrm>
            <a:prstGeom prst="rect">
              <a:avLst/>
            </a:prstGeom>
            <a:solidFill>
              <a:schemeClr val="tx1"/>
            </a:solidFill>
            <a:ln w="6350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rot="0" spcFirstLastPara="1" vertOverflow="overflow" horzOverflow="overflow" vert="horz" wrap="square" lIns="50800" tIns="50800" rIns="50800" bIns="50800" numCol="1" spcCol="38100" rtlCol="0" anchor="ctr">
              <a:noAutofit/>
            </a:bodyPr>
            <a:lstStyle/>
            <a:p>
              <a:pPr marL="0" marR="0" indent="0" algn="ctr" defTabSz="457200" rtl="0" fontAlgn="auto" latinLnBrk="1" hangingPunct="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endParaRPr kumimoji="0" lang="en-GB" sz="1200" b="0" i="0" u="none" strike="noStrike" cap="none" spc="0" normalizeH="0" baseline="0">
                <a:ln>
                  <a:noFill/>
                </a:ln>
                <a:solidFill>
                  <a:srgbClr val="FFFFFF"/>
                </a:solidFill>
                <a:effectLst>
                  <a:outerShdw blurRad="25400" dist="23998" dir="2700000" rotWithShape="0">
                    <a:srgbClr val="000000">
                      <a:alpha val="31034"/>
                    </a:srgbClr>
                  </a:outerShdw>
                </a:effectLst>
                <a:uFillTx/>
                <a:latin typeface="+mn-lt"/>
                <a:ea typeface="+mn-ea"/>
                <a:cs typeface="+mn-cs"/>
                <a:sym typeface="Helvetica"/>
              </a:endParaRPr>
            </a:p>
          </xdr:txBody>
        </xdr:sp>
      </xdr:grpSp>
      <xdr:grpSp>
        <xdr:nvGrpSpPr>
          <xdr:cNvPr id="92" name="Group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GrpSpPr/>
        </xdr:nvGrpSpPr>
        <xdr:grpSpPr>
          <a:xfrm rot="5400000">
            <a:off x="9782738" y="6397626"/>
            <a:ext cx="286214" cy="498116"/>
            <a:chOff x="8428183" y="2317714"/>
            <a:chExt cx="322065" cy="583370"/>
          </a:xfrm>
        </xdr:grpSpPr>
        <xdr:sp macro="" textlink="">
          <xdr:nvSpPr>
            <xdr:cNvPr id="98" name="Shape 9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SpPr/>
          </xdr:nvSpPr>
          <xdr:spPr>
            <a:xfrm>
              <a:off x="8428183" y="2545397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9" name="Shape 3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SpPr/>
          </xdr:nvSpPr>
          <xdr:spPr>
            <a:xfrm flipV="1">
              <a:off x="8567942" y="2317714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0" name="Shape 39">
              <a:extLst>
                <a:ext uri="{FF2B5EF4-FFF2-40B4-BE49-F238E27FC236}">
                  <a16:creationId xmlns:a16="http://schemas.microsoft.com/office/drawing/2014/main" id="{00000000-0008-0000-0200-000064000000}"/>
                </a:ext>
              </a:extLst>
            </xdr:cNvPr>
            <xdr:cNvSpPr/>
          </xdr:nvSpPr>
          <xdr:spPr>
            <a:xfrm flipH="1">
              <a:off x="8519330" y="2325224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1" name="Shape 13">
              <a:extLst>
                <a:ext uri="{FF2B5EF4-FFF2-40B4-BE49-F238E27FC236}">
                  <a16:creationId xmlns:a16="http://schemas.microsoft.com/office/drawing/2014/main" id="{00000000-0008-0000-0200-000065000000}"/>
                </a:ext>
              </a:extLst>
            </xdr:cNvPr>
            <xdr:cNvSpPr/>
          </xdr:nvSpPr>
          <xdr:spPr>
            <a:xfrm flipV="1">
              <a:off x="8489201" y="2417420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2" name="Shape 37">
              <a:extLst>
                <a:ext uri="{FF2B5EF4-FFF2-40B4-BE49-F238E27FC236}">
                  <a16:creationId xmlns:a16="http://schemas.microsoft.com/office/drawing/2014/main" id="{00000000-0008-0000-0200-000066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3" name="Shape 9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/>
          </xdr:nvSpPr>
          <xdr:spPr>
            <a:xfrm>
              <a:off x="8665659" y="2545877"/>
              <a:ext cx="84578" cy="84579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4" name="Shape 9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05" name="Shape 9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/>
        </xdr:nvSpPr>
        <xdr:spPr>
          <a:xfrm rot="16200000">
            <a:off x="9383648" y="6156923"/>
            <a:ext cx="905603" cy="999320"/>
          </a:xfrm>
          <a:prstGeom prst="rect">
            <a:avLst/>
          </a:prstGeom>
          <a:noFill/>
          <a:ln w="6350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  <xdr:sp macro="" textlink="">
        <xdr:nvSpPr>
          <xdr:cNvPr id="94" name="Shape 18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/>
        </xdr:nvSpPr>
        <xdr:spPr>
          <a:xfrm>
            <a:off x="9719315" y="6211407"/>
            <a:ext cx="0" cy="305655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5" name="Shape 18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/>
        </xdr:nvSpPr>
        <xdr:spPr>
          <a:xfrm>
            <a:off x="9948052" y="6202615"/>
            <a:ext cx="0" cy="308097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6" name="Shape 18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/>
        </xdr:nvSpPr>
        <xdr:spPr>
          <a:xfrm>
            <a:off x="9721268" y="6782236"/>
            <a:ext cx="0" cy="32079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  <xdr:sp macro="" textlink="">
        <xdr:nvSpPr>
          <xdr:cNvPr id="97" name="Shape 18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/>
        </xdr:nvSpPr>
        <xdr:spPr>
          <a:xfrm>
            <a:off x="9940236" y="6782236"/>
            <a:ext cx="0" cy="327148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38</xdr:col>
      <xdr:colOff>152002</xdr:colOff>
      <xdr:row>20</xdr:row>
      <xdr:rowOff>53529</xdr:rowOff>
    </xdr:from>
    <xdr:to>
      <xdr:col>38</xdr:col>
      <xdr:colOff>152002</xdr:colOff>
      <xdr:row>20</xdr:row>
      <xdr:rowOff>91231</xdr:rowOff>
    </xdr:to>
    <xdr:sp macro="" textlink="">
      <xdr:nvSpPr>
        <xdr:cNvPr id="116" name="Shape 18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 flipH="1">
          <a:off x="9717047" y="4172448"/>
          <a:ext cx="0" cy="37702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38</xdr:col>
      <xdr:colOff>192031</xdr:colOff>
      <xdr:row>20</xdr:row>
      <xdr:rowOff>39636</xdr:rowOff>
    </xdr:from>
    <xdr:to>
      <xdr:col>41</xdr:col>
      <xdr:colOff>78568</xdr:colOff>
      <xdr:row>22</xdr:row>
      <xdr:rowOff>152316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9757076" y="4158555"/>
          <a:ext cx="641672" cy="5245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Normal</a:t>
          </a:r>
        </a:p>
        <a:p>
          <a:r>
            <a:rPr lang="en-GB" sz="1100"/>
            <a:t>Loads</a:t>
          </a:r>
        </a:p>
        <a:p>
          <a:endParaRPr lang="en-GB" sz="1100"/>
        </a:p>
        <a:p>
          <a:endParaRPr lang="en-GB" sz="1800"/>
        </a:p>
      </xdr:txBody>
    </xdr:sp>
    <xdr:clientData/>
  </xdr:twoCellAnchor>
  <xdr:twoCellAnchor>
    <xdr:from>
      <xdr:col>38</xdr:col>
      <xdr:colOff>96182</xdr:colOff>
      <xdr:row>14</xdr:row>
      <xdr:rowOff>86868</xdr:rowOff>
    </xdr:from>
    <xdr:to>
      <xdr:col>39</xdr:col>
      <xdr:colOff>146966</xdr:colOff>
      <xdr:row>20</xdr:row>
      <xdr:rowOff>32268</xdr:rowOff>
    </xdr:to>
    <xdr:grpSp>
      <xdr:nvGrpSpPr>
        <xdr:cNvPr id="118" name="Group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/>
      </xdr:nvGrpSpPr>
      <xdr:grpSpPr>
        <a:xfrm>
          <a:off x="9748182" y="2931668"/>
          <a:ext cx="304784" cy="1164600"/>
          <a:chOff x="9589750" y="4130035"/>
          <a:chExt cx="310215" cy="1169550"/>
        </a:xfrm>
      </xdr:grpSpPr>
      <xdr:sp macro="" textlink="">
        <xdr:nvSpPr>
          <xdr:cNvPr id="119" name="Shape 27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SpPr/>
        </xdr:nvSpPr>
        <xdr:spPr>
          <a:xfrm>
            <a:off x="9593489" y="4963526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0" name="Shape 27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/>
        </xdr:nvSpPr>
        <xdr:spPr>
          <a:xfrm>
            <a:off x="9589750" y="4736233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1" name="Shape 26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/>
        </xdr:nvSpPr>
        <xdr:spPr>
          <a:xfrm flipH="1">
            <a:off x="9684192" y="4822358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CxnSpPr/>
        </xdr:nvCxnSpPr>
        <xdr:spPr>
          <a:xfrm>
            <a:off x="9642667" y="4130035"/>
            <a:ext cx="0" cy="61528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CxnSpPr/>
        </xdr:nvCxnSpPr>
        <xdr:spPr>
          <a:xfrm>
            <a:off x="9647492" y="5069129"/>
            <a:ext cx="0" cy="230456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211903</xdr:colOff>
      <xdr:row>25</xdr:row>
      <xdr:rowOff>189729</xdr:rowOff>
    </xdr:from>
    <xdr:to>
      <xdr:col>13</xdr:col>
      <xdr:colOff>49160</xdr:colOff>
      <xdr:row>26</xdr:row>
      <xdr:rowOff>89157</xdr:rowOff>
    </xdr:to>
    <xdr:sp macro="" textlink="">
      <xdr:nvSpPr>
        <xdr:cNvPr id="124" name="Shape 27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>
          <a:off x="3259903" y="5269729"/>
          <a:ext cx="91257" cy="102628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208077</xdr:colOff>
      <xdr:row>24</xdr:row>
      <xdr:rowOff>165886</xdr:rowOff>
    </xdr:from>
    <xdr:to>
      <xdr:col>13</xdr:col>
      <xdr:colOff>45334</xdr:colOff>
      <xdr:row>25</xdr:row>
      <xdr:rowOff>65312</xdr:rowOff>
    </xdr:to>
    <xdr:sp macro="" textlink="">
      <xdr:nvSpPr>
        <xdr:cNvPr id="125" name="Shape 27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SpPr/>
      </xdr:nvSpPr>
      <xdr:spPr>
        <a:xfrm>
          <a:off x="3256077" y="5042686"/>
          <a:ext cx="91257" cy="102626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13</xdr:col>
      <xdr:colOff>44585</xdr:colOff>
      <xdr:row>25</xdr:row>
      <xdr:rowOff>51377</xdr:rowOff>
    </xdr:from>
    <xdr:to>
      <xdr:col>14</xdr:col>
      <xdr:colOff>5230</xdr:colOff>
      <xdr:row>26</xdr:row>
      <xdr:rowOff>27756</xdr:rowOff>
    </xdr:to>
    <xdr:sp macro="" textlink="">
      <xdr:nvSpPr>
        <xdr:cNvPr id="126" name="Shape 26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 flipH="1">
          <a:off x="3346585" y="5131377"/>
          <a:ext cx="214645" cy="179579"/>
        </a:xfrm>
        <a:prstGeom prst="line">
          <a:avLst/>
        </a:prstGeom>
        <a:noFill/>
        <a:ln w="9525" cap="flat">
          <a:solidFill>
            <a:srgbClr val="000000"/>
          </a:solidFill>
          <a:prstDash val="solid"/>
          <a:round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12</xdr:col>
      <xdr:colOff>139368</xdr:colOff>
      <xdr:row>22</xdr:row>
      <xdr:rowOff>50689</xdr:rowOff>
    </xdr:from>
    <xdr:to>
      <xdr:col>13</xdr:col>
      <xdr:colOff>111970</xdr:colOff>
      <xdr:row>24</xdr:row>
      <xdr:rowOff>18939</xdr:rowOff>
    </xdr:to>
    <xdr:grpSp>
      <xdr:nvGrpSpPr>
        <xdr:cNvPr id="127" name="3PCables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GrpSpPr/>
      </xdr:nvGrpSpPr>
      <xdr:grpSpPr>
        <a:xfrm>
          <a:off x="3187368" y="4521089"/>
          <a:ext cx="226602" cy="374650"/>
          <a:chOff x="3201903" y="4462268"/>
          <a:chExt cx="227837" cy="369303"/>
        </a:xfrm>
      </xdr:grpSpPr>
      <xdr:sp macro="" textlink="">
        <xdr:nvSpPr>
          <xdr:cNvPr id="128" name="Shape 26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/>
        </xdr:nvSpPr>
        <xdr:spPr>
          <a:xfrm flipH="1">
            <a:off x="3201903" y="4462268"/>
            <a:ext cx="219855" cy="212126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29" name="Shape 26">
            <a:extLst>
              <a:ext uri="{FF2B5EF4-FFF2-40B4-BE49-F238E27FC236}">
                <a16:creationId xmlns:a16="http://schemas.microsoft.com/office/drawing/2014/main" id="{00000000-0008-0000-0200-000081000000}"/>
              </a:ext>
            </a:extLst>
          </xdr:cNvPr>
          <xdr:cNvSpPr/>
        </xdr:nvSpPr>
        <xdr:spPr>
          <a:xfrm flipH="1">
            <a:off x="3209589" y="4619000"/>
            <a:ext cx="220151" cy="212571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</xdr:grpSp>
    <xdr:clientData/>
  </xdr:twoCellAnchor>
  <xdr:twoCellAnchor>
    <xdr:from>
      <xdr:col>13</xdr:col>
      <xdr:colOff>10762</xdr:colOff>
      <xdr:row>26</xdr:row>
      <xdr:rowOff>70156</xdr:rowOff>
    </xdr:from>
    <xdr:to>
      <xdr:col>13</xdr:col>
      <xdr:colOff>10762</xdr:colOff>
      <xdr:row>29</xdr:row>
      <xdr:rowOff>163005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CxnSpPr/>
      </xdr:nvCxnSpPr>
      <xdr:spPr>
        <a:xfrm>
          <a:off x="3312762" y="5353356"/>
          <a:ext cx="0" cy="7024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144637</xdr:colOff>
      <xdr:row>15</xdr:row>
      <xdr:rowOff>55406</xdr:rowOff>
    </xdr:from>
    <xdr:to>
      <xdr:col>36</xdr:col>
      <xdr:colOff>144393</xdr:colOff>
      <xdr:row>16</xdr:row>
      <xdr:rowOff>135592</xdr:rowOff>
    </xdr:to>
    <xdr:grpSp>
      <xdr:nvGrpSpPr>
        <xdr:cNvPr id="131" name="3PEnvoy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GrpSpPr/>
      </xdr:nvGrpSpPr>
      <xdr:grpSpPr>
        <a:xfrm>
          <a:off x="9034637" y="3103406"/>
          <a:ext cx="253756" cy="283386"/>
          <a:chOff x="7844688" y="3097141"/>
          <a:chExt cx="256533" cy="281443"/>
        </a:xfrm>
      </xdr:grpSpPr>
      <xdr:cxnSp macro="">
        <xdr:nvCxnSpPr>
          <xdr:cNvPr id="132" name="Straight Connector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Straight Connector 132">
            <a:extLst>
              <a:ext uri="{FF2B5EF4-FFF2-40B4-BE49-F238E27FC236}">
                <a16:creationId xmlns:a16="http://schemas.microsoft.com/office/drawing/2014/main" id="{00000000-0008-0000-0200-00008500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58</xdr:col>
      <xdr:colOff>126777</xdr:colOff>
      <xdr:row>33</xdr:row>
      <xdr:rowOff>1467</xdr:rowOff>
    </xdr:from>
    <xdr:to>
      <xdr:col>59</xdr:col>
      <xdr:colOff>239002</xdr:colOff>
      <xdr:row>37</xdr:row>
      <xdr:rowOff>166038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GrpSpPr/>
      </xdr:nvGrpSpPr>
      <xdr:grpSpPr>
        <a:xfrm>
          <a:off x="14858777" y="6707067"/>
          <a:ext cx="366225" cy="977371"/>
          <a:chOff x="9530059" y="4275667"/>
          <a:chExt cx="369906" cy="974625"/>
        </a:xfrm>
      </xdr:grpSpPr>
      <xdr:sp macro="" textlink="">
        <xdr:nvSpPr>
          <xdr:cNvPr id="135" name="Shape 27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6" name="Shape 27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7" name="Shape 26">
            <a:extLst>
              <a:ext uri="{FF2B5EF4-FFF2-40B4-BE49-F238E27FC236}">
                <a16:creationId xmlns:a16="http://schemas.microsoft.com/office/drawing/2014/main" id="{00000000-0008-0000-0200-000089000000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38" name="Shape 26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39" name="Straight Connector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" name="Straight Connector 139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/>
        </xdr:nvCxnSpPr>
        <xdr:spPr>
          <a:xfrm>
            <a:off x="9651134" y="5033545"/>
            <a:ext cx="0" cy="21674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166846</xdr:colOff>
      <xdr:row>14</xdr:row>
      <xdr:rowOff>102196</xdr:rowOff>
    </xdr:from>
    <xdr:to>
      <xdr:col>37</xdr:col>
      <xdr:colOff>128355</xdr:colOff>
      <xdr:row>23</xdr:row>
      <xdr:rowOff>159735</xdr:rowOff>
    </xdr:to>
    <xdr:grpSp>
      <xdr:nvGrpSpPr>
        <xdr:cNvPr id="141" name="1PEnvoy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GrpSpPr/>
      </xdr:nvGrpSpPr>
      <xdr:grpSpPr>
        <a:xfrm>
          <a:off x="8802846" y="2946996"/>
          <a:ext cx="723509" cy="1886339"/>
          <a:chOff x="7163288" y="2923783"/>
          <a:chExt cx="737620" cy="1856705"/>
        </a:xfrm>
      </xdr:grpSpPr>
      <xdr:grpSp>
        <xdr:nvGrpSpPr>
          <xdr:cNvPr id="142" name="Envoy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GrpSpPr/>
        </xdr:nvGrpSpPr>
        <xdr:grpSpPr>
          <a:xfrm>
            <a:off x="7163288" y="2923783"/>
            <a:ext cx="737620" cy="1856705"/>
            <a:chOff x="7504618" y="2998008"/>
            <a:chExt cx="718997" cy="1906625"/>
          </a:xfrm>
        </xdr:grpSpPr>
        <xdr:cxnSp macro="">
          <xdr:nvCxnSpPr>
            <xdr:cNvPr id="144" name="Straight Connector 143">
              <a:extLst>
                <a:ext uri="{FF2B5EF4-FFF2-40B4-BE49-F238E27FC236}">
                  <a16:creationId xmlns:a16="http://schemas.microsoft.com/office/drawing/2014/main" id="{00000000-0008-0000-0200-000090000000}"/>
                </a:ext>
              </a:extLst>
            </xdr:cNvPr>
            <xdr:cNvCxnSpPr/>
          </xdr:nvCxnSpPr>
          <xdr:spPr>
            <a:xfrm>
              <a:off x="7844992" y="2998008"/>
              <a:ext cx="0" cy="98306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145" name="eheh">
              <a:extLst>
                <a:ext uri="{FF2B5EF4-FFF2-40B4-BE49-F238E27FC236}">
                  <a16:creationId xmlns:a16="http://schemas.microsoft.com/office/drawing/2014/main" id="{00000000-0008-0000-0200-000091000000}"/>
                </a:ext>
              </a:extLst>
            </xdr:cNvPr>
            <xdr:cNvGrpSpPr/>
          </xdr:nvGrpSpPr>
          <xdr:grpSpPr>
            <a:xfrm>
              <a:off x="7504618" y="3064121"/>
              <a:ext cx="718997" cy="1840512"/>
              <a:chOff x="7504618" y="3064121"/>
              <a:chExt cx="718997" cy="1840512"/>
            </a:xfrm>
          </xdr:grpSpPr>
          <xdr:grpSp>
            <xdr:nvGrpSpPr>
              <xdr:cNvPr id="146" name="Group 145">
                <a:extLst>
                  <a:ext uri="{FF2B5EF4-FFF2-40B4-BE49-F238E27FC236}">
                    <a16:creationId xmlns:a16="http://schemas.microsoft.com/office/drawing/2014/main" id="{00000000-0008-0000-0200-000092000000}"/>
                  </a:ext>
                </a:extLst>
              </xdr:cNvPr>
              <xdr:cNvGrpSpPr/>
            </xdr:nvGrpSpPr>
            <xdr:grpSpPr>
              <a:xfrm>
                <a:off x="7797244" y="3986264"/>
                <a:ext cx="270603" cy="518147"/>
                <a:chOff x="3031404" y="7080878"/>
                <a:chExt cx="274934" cy="526076"/>
              </a:xfrm>
            </xdr:grpSpPr>
            <xdr:sp macro="" textlink="">
              <xdr:nvSpPr>
                <xdr:cNvPr id="150" name="Shape 27">
                  <a:extLst>
                    <a:ext uri="{FF2B5EF4-FFF2-40B4-BE49-F238E27FC236}">
                      <a16:creationId xmlns:a16="http://schemas.microsoft.com/office/drawing/2014/main" id="{00000000-0008-0000-0200-000096000000}"/>
                    </a:ext>
                  </a:extLst>
                </xdr:cNvPr>
                <xdr:cNvSpPr/>
              </xdr:nvSpPr>
              <xdr:spPr>
                <a:xfrm>
                  <a:off x="3031404" y="7288624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00000000-0008-0000-0200-000097000000}"/>
                    </a:ext>
                  </a:extLst>
                </xdr:cNvPr>
                <xdr:cNvGrpSpPr/>
              </xdr:nvGrpSpPr>
              <xdr:grpSpPr>
                <a:xfrm>
                  <a:off x="3037139" y="7080878"/>
                  <a:ext cx="269199" cy="526076"/>
                  <a:chOff x="3037139" y="7080878"/>
                  <a:chExt cx="269199" cy="526076"/>
                </a:xfrm>
              </xdr:grpSpPr>
              <xdr:sp macro="" textlink="">
                <xdr:nvSpPr>
                  <xdr:cNvPr id="152" name="Shape 27">
                    <a:extLst>
                      <a:ext uri="{FF2B5EF4-FFF2-40B4-BE49-F238E27FC236}">
                        <a16:creationId xmlns:a16="http://schemas.microsoft.com/office/drawing/2014/main" id="{00000000-0008-0000-0200-000098000000}"/>
                      </a:ext>
                    </a:extLst>
                  </xdr:cNvPr>
                  <xdr:cNvSpPr/>
                </xdr:nvSpPr>
                <xdr:spPr>
                  <a:xfrm>
                    <a:off x="3037139" y="7080878"/>
                    <a:ext cx="100174" cy="9968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12700" cap="flat">
                    <a:solidFill>
                      <a:srgbClr val="53585F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53" name="Shape 26">
                    <a:extLst>
                      <a:ext uri="{FF2B5EF4-FFF2-40B4-BE49-F238E27FC236}">
                        <a16:creationId xmlns:a16="http://schemas.microsoft.com/office/drawing/2014/main" id="{00000000-0008-0000-0200-000099000000}"/>
                      </a:ext>
                    </a:extLst>
                  </xdr:cNvPr>
                  <xdr:cNvSpPr/>
                </xdr:nvSpPr>
                <xdr:spPr>
                  <a:xfrm flipH="1">
                    <a:off x="3093639" y="7113371"/>
                    <a:ext cx="212699" cy="1888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cxnSp macro="">
                <xdr:nvCxnSpPr>
                  <xdr:cNvPr id="154" name="Straight Connector 153">
                    <a:extLst>
                      <a:ext uri="{FF2B5EF4-FFF2-40B4-BE49-F238E27FC236}">
                        <a16:creationId xmlns:a16="http://schemas.microsoft.com/office/drawing/2014/main" id="{00000000-0008-0000-0200-00009A000000}"/>
                      </a:ext>
                    </a:extLst>
                  </xdr:cNvPr>
                  <xdr:cNvCxnSpPr/>
                </xdr:nvCxnSpPr>
                <xdr:spPr>
                  <a:xfrm>
                    <a:off x="3080266" y="7383937"/>
                    <a:ext cx="0" cy="223017"/>
                  </a:xfrm>
                  <a:prstGeom prst="line">
                    <a:avLst/>
                  </a:prstGeom>
                  <a:ln w="6350"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147" name="Straight Connector 146">
                <a:extLst>
                  <a:ext uri="{FF2B5EF4-FFF2-40B4-BE49-F238E27FC236}">
                    <a16:creationId xmlns:a16="http://schemas.microsoft.com/office/drawing/2014/main" id="{00000000-0008-0000-0200-000093000000}"/>
                  </a:ext>
                </a:extLst>
              </xdr:cNvPr>
              <xdr:cNvCxnSpPr/>
            </xdr:nvCxnSpPr>
            <xdr:spPr>
              <a:xfrm flipH="1">
                <a:off x="7726131" y="3064121"/>
                <a:ext cx="252581" cy="186025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48" name="Rectangle 147">
                <a:extLst>
                  <a:ext uri="{FF2B5EF4-FFF2-40B4-BE49-F238E27FC236}">
                    <a16:creationId xmlns:a16="http://schemas.microsoft.com/office/drawing/2014/main" id="{00000000-0008-0000-0200-000094000000}"/>
                  </a:ext>
                </a:extLst>
              </xdr:cNvPr>
              <xdr:cNvSpPr/>
            </xdr:nvSpPr>
            <xdr:spPr>
              <a:xfrm>
                <a:off x="7504618" y="4504408"/>
                <a:ext cx="718997" cy="400225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sp macro="" textlink="">
            <xdr:nvSpPr>
              <xdr:cNvPr id="149" name="TextBox 148">
                <a:extLst>
                  <a:ext uri="{FF2B5EF4-FFF2-40B4-BE49-F238E27FC236}">
                    <a16:creationId xmlns:a16="http://schemas.microsoft.com/office/drawing/2014/main" id="{00000000-0008-0000-0200-000095000000}"/>
                  </a:ext>
                </a:extLst>
              </xdr:cNvPr>
              <xdr:cNvSpPr txBox="1"/>
            </xdr:nvSpPr>
            <xdr:spPr>
              <a:xfrm>
                <a:off x="7504618" y="4504408"/>
                <a:ext cx="632789" cy="38997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Envoy</a:t>
                </a:r>
              </a:p>
            </xdr:txBody>
          </xdr:sp>
        </xdr:grpSp>
      </xdr:grpSp>
      <xdr:sp macro="" textlink="">
        <xdr:nvSpPr>
          <xdr:cNvPr id="143" name="Rectangle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7425494" y="3451249"/>
            <a:ext cx="186810" cy="276491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26</xdr:col>
      <xdr:colOff>241142</xdr:colOff>
      <xdr:row>14</xdr:row>
      <xdr:rowOff>96375</xdr:rowOff>
    </xdr:from>
    <xdr:to>
      <xdr:col>44</xdr:col>
      <xdr:colOff>130063</xdr:colOff>
      <xdr:row>38</xdr:row>
      <xdr:rowOff>160091</xdr:rowOff>
    </xdr:to>
    <xdr:grpSp>
      <xdr:nvGrpSpPr>
        <xdr:cNvPr id="155" name="Group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GrpSpPr/>
      </xdr:nvGrpSpPr>
      <xdr:grpSpPr>
        <a:xfrm>
          <a:off x="6845142" y="2941175"/>
          <a:ext cx="4460921" cy="4940516"/>
          <a:chOff x="11969349" y="6573806"/>
          <a:chExt cx="4461233" cy="4945860"/>
        </a:xfrm>
      </xdr:grpSpPr>
      <xdr:grpSp>
        <xdr:nvGrpSpPr>
          <xdr:cNvPr id="156" name="Group 155"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GrpSpPr/>
        </xdr:nvGrpSpPr>
        <xdr:grpSpPr>
          <a:xfrm>
            <a:off x="11969349" y="6573806"/>
            <a:ext cx="4461233" cy="4945860"/>
            <a:chOff x="11776508" y="6732671"/>
            <a:chExt cx="4388192" cy="5067087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00000000-0008-0000-0200-00009E000000}"/>
                </a:ext>
              </a:extLst>
            </xdr:cNvPr>
            <xdr:cNvGrpSpPr/>
          </xdr:nvGrpSpPr>
          <xdr:grpSpPr>
            <a:xfrm>
              <a:off x="11776508" y="6732671"/>
              <a:ext cx="367747" cy="4338462"/>
              <a:chOff x="13211020" y="8173691"/>
              <a:chExt cx="356561" cy="4094680"/>
            </a:xfrm>
          </xdr:grpSpPr>
          <xdr:grpSp>
            <xdr:nvGrpSpPr>
              <xdr:cNvPr id="224" name="Group 223">
                <a:extLst>
                  <a:ext uri="{FF2B5EF4-FFF2-40B4-BE49-F238E27FC236}">
                    <a16:creationId xmlns:a16="http://schemas.microsoft.com/office/drawing/2014/main" id="{00000000-0008-0000-0200-0000E0000000}"/>
                  </a:ext>
                </a:extLst>
              </xdr:cNvPr>
              <xdr:cNvGrpSpPr/>
            </xdr:nvGrpSpPr>
            <xdr:grpSpPr>
              <a:xfrm>
                <a:off x="13211020" y="8173691"/>
                <a:ext cx="356561" cy="1705084"/>
                <a:chOff x="13211020" y="8173691"/>
                <a:chExt cx="356561" cy="1705084"/>
              </a:xfrm>
            </xdr:grpSpPr>
            <xdr:sp macro="" textlink="">
              <xdr:nvSpPr>
                <xdr:cNvPr id="226" name="Shape 27">
                  <a:extLst>
                    <a:ext uri="{FF2B5EF4-FFF2-40B4-BE49-F238E27FC236}">
                      <a16:creationId xmlns:a16="http://schemas.microsoft.com/office/drawing/2014/main" id="{00000000-0008-0000-0200-0000E2000000}"/>
                    </a:ext>
                  </a:extLst>
                </xdr:cNvPr>
                <xdr:cNvSpPr/>
              </xdr:nvSpPr>
              <xdr:spPr>
                <a:xfrm>
                  <a:off x="13282234" y="9632869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28" name="Shape 26">
                  <a:extLst>
                    <a:ext uri="{FF2B5EF4-FFF2-40B4-BE49-F238E27FC236}">
                      <a16:creationId xmlns:a16="http://schemas.microsoft.com/office/drawing/2014/main" id="{00000000-0008-0000-0200-0000E4000000}"/>
                    </a:ext>
                  </a:extLst>
                </xdr:cNvPr>
                <xdr:cNvSpPr/>
              </xdr:nvSpPr>
              <xdr:spPr>
                <a:xfrm flipH="1">
                  <a:off x="13354882" y="9689949"/>
                  <a:ext cx="212699" cy="1888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cxnSp macro="">
              <xdr:nvCxnSpPr>
                <xdr:cNvPr id="229" name="Straight Connector 228">
                  <a:extLst>
                    <a:ext uri="{FF2B5EF4-FFF2-40B4-BE49-F238E27FC236}">
                      <a16:creationId xmlns:a16="http://schemas.microsoft.com/office/drawing/2014/main" id="{00000000-0008-0000-0200-0000E5000000}"/>
                    </a:ext>
                  </a:extLst>
                </xdr:cNvPr>
                <xdr:cNvCxnSpPr/>
              </xdr:nvCxnSpPr>
              <xdr:spPr>
                <a:xfrm>
                  <a:off x="13341512" y="8173691"/>
                  <a:ext cx="0" cy="1481046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30" name="Straight Connector 229">
                  <a:extLst>
                    <a:ext uri="{FF2B5EF4-FFF2-40B4-BE49-F238E27FC236}">
                      <a16:creationId xmlns:a16="http://schemas.microsoft.com/office/drawing/2014/main" id="{00000000-0008-0000-0200-0000E6000000}"/>
                    </a:ext>
                  </a:extLst>
                </xdr:cNvPr>
                <xdr:cNvCxnSpPr/>
              </xdr:nvCxnSpPr>
              <xdr:spPr>
                <a:xfrm flipH="1">
                  <a:off x="13211020" y="8461703"/>
                  <a:ext cx="256704" cy="18812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25" name="Straight Connector 224">
                <a:extLst>
                  <a:ext uri="{FF2B5EF4-FFF2-40B4-BE49-F238E27FC236}">
                    <a16:creationId xmlns:a16="http://schemas.microsoft.com/office/drawing/2014/main" id="{00000000-0008-0000-0200-0000E1000000}"/>
                  </a:ext>
                </a:extLst>
              </xdr:cNvPr>
              <xdr:cNvCxnSpPr/>
            </xdr:nvCxnSpPr>
            <xdr:spPr>
              <a:xfrm>
                <a:off x="13331760" y="9959686"/>
                <a:ext cx="0" cy="2308685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59" name="Group 158">
              <a:extLst>
                <a:ext uri="{FF2B5EF4-FFF2-40B4-BE49-F238E27FC236}">
                  <a16:creationId xmlns:a16="http://schemas.microsoft.com/office/drawing/2014/main" id="{00000000-0008-0000-0200-00009F000000}"/>
                </a:ext>
              </a:extLst>
            </xdr:cNvPr>
            <xdr:cNvGrpSpPr/>
          </xdr:nvGrpSpPr>
          <xdr:grpSpPr>
            <a:xfrm>
              <a:off x="12917444" y="9810251"/>
              <a:ext cx="3247256" cy="1272400"/>
              <a:chOff x="13782881" y="9716978"/>
              <a:chExt cx="3078731" cy="1287783"/>
            </a:xfrm>
          </xdr:grpSpPr>
          <xdr:grpSp>
            <xdr:nvGrpSpPr>
              <xdr:cNvPr id="169" name="Group 168">
                <a:extLst>
                  <a:ext uri="{FF2B5EF4-FFF2-40B4-BE49-F238E27FC236}">
                    <a16:creationId xmlns:a16="http://schemas.microsoft.com/office/drawing/2014/main" id="{00000000-0008-0000-0200-0000A9000000}"/>
                  </a:ext>
                </a:extLst>
              </xdr:cNvPr>
              <xdr:cNvGrpSpPr/>
            </xdr:nvGrpSpPr>
            <xdr:grpSpPr>
              <a:xfrm>
                <a:off x="13787058" y="9716978"/>
                <a:ext cx="2756889" cy="1287783"/>
                <a:chOff x="9014280" y="3850532"/>
                <a:chExt cx="2829080" cy="1262101"/>
              </a:xfrm>
            </xdr:grpSpPr>
            <xdr:sp macro="" textlink="">
              <xdr:nvSpPr>
                <xdr:cNvPr id="172" name="Rectangle 171">
                  <a:extLst>
                    <a:ext uri="{FF2B5EF4-FFF2-40B4-BE49-F238E27FC236}">
                      <a16:creationId xmlns:a16="http://schemas.microsoft.com/office/drawing/2014/main" id="{00000000-0008-0000-0200-0000AC000000}"/>
                    </a:ext>
                  </a:extLst>
                </xdr:cNvPr>
                <xdr:cNvSpPr/>
              </xdr:nvSpPr>
              <xdr:spPr>
                <a:xfrm>
                  <a:off x="11752759" y="5025958"/>
                  <a:ext cx="90601" cy="86675"/>
                </a:xfrm>
                <a:prstGeom prst="rect">
                  <a:avLst/>
                </a:prstGeom>
                <a:solidFill>
                  <a:schemeClr val="tx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173" name="Group 172">
                  <a:extLst>
                    <a:ext uri="{FF2B5EF4-FFF2-40B4-BE49-F238E27FC236}">
                      <a16:creationId xmlns:a16="http://schemas.microsoft.com/office/drawing/2014/main" id="{00000000-0008-0000-0200-0000AD000000}"/>
                    </a:ext>
                  </a:extLst>
                </xdr:cNvPr>
                <xdr:cNvGrpSpPr/>
              </xdr:nvGrpSpPr>
              <xdr:grpSpPr>
                <a:xfrm>
                  <a:off x="9014280" y="3850532"/>
                  <a:ext cx="2724109" cy="1227296"/>
                  <a:chOff x="9014280" y="3850532"/>
                  <a:chExt cx="2724109" cy="1227296"/>
                </a:xfrm>
              </xdr:grpSpPr>
              <xdr:grpSp>
                <xdr:nvGrpSpPr>
                  <xdr:cNvPr id="174" name="Group 173">
                    <a:extLst>
                      <a:ext uri="{FF2B5EF4-FFF2-40B4-BE49-F238E27FC236}">
                        <a16:creationId xmlns:a16="http://schemas.microsoft.com/office/drawing/2014/main" id="{00000000-0008-0000-0200-0000AE000000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1629570" cy="969122"/>
                    <a:chOff x="9773409" y="3850532"/>
                    <a:chExt cx="1629570" cy="969122"/>
                  </a:xfrm>
                </xdr:grpSpPr>
                <xdr:grpSp>
                  <xdr:nvGrpSpPr>
                    <xdr:cNvPr id="179" name="Group 178">
                      <a:extLst>
                        <a:ext uri="{FF2B5EF4-FFF2-40B4-BE49-F238E27FC236}">
                          <a16:creationId xmlns:a16="http://schemas.microsoft.com/office/drawing/2014/main" id="{00000000-0008-0000-0200-0000B3000000}"/>
                        </a:ext>
                      </a:extLst>
                    </xdr:cNvPr>
                    <xdr:cNvGrpSpPr/>
                  </xdr:nvGrpSpPr>
                  <xdr:grpSpPr>
                    <a:xfrm>
                      <a:off x="11043409" y="3855114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211" name="Shape 5">
                        <a:extLst>
                          <a:ext uri="{FF2B5EF4-FFF2-40B4-BE49-F238E27FC236}">
                            <a16:creationId xmlns:a16="http://schemas.microsoft.com/office/drawing/2014/main" id="{00000000-0008-0000-0200-0000D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212" name="Shape 8">
                        <a:extLst>
                          <a:ext uri="{FF2B5EF4-FFF2-40B4-BE49-F238E27FC236}">
                            <a16:creationId xmlns:a16="http://schemas.microsoft.com/office/drawing/2014/main" id="{00000000-0008-0000-0200-0000D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13" name="Group 212">
                        <a:extLst>
                          <a:ext uri="{FF2B5EF4-FFF2-40B4-BE49-F238E27FC236}">
                            <a16:creationId xmlns:a16="http://schemas.microsoft.com/office/drawing/2014/main" id="{00000000-0008-0000-0200-0000D5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14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D6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15" name="Group 214">
                          <a:extLst>
                            <a:ext uri="{FF2B5EF4-FFF2-40B4-BE49-F238E27FC236}">
                              <a16:creationId xmlns:a16="http://schemas.microsoft.com/office/drawing/2014/main" id="{00000000-0008-0000-0200-0000D7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17" name="Rectangle 216">
                            <a:extLst>
                              <a:ext uri="{FF2B5EF4-FFF2-40B4-BE49-F238E27FC236}">
                                <a16:creationId xmlns:a16="http://schemas.microsoft.com/office/drawing/2014/main" id="{00000000-0008-0000-0200-0000D9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18" name="Group 217">
                            <a:extLst>
                              <a:ext uri="{FF2B5EF4-FFF2-40B4-BE49-F238E27FC236}">
                                <a16:creationId xmlns:a16="http://schemas.microsoft.com/office/drawing/2014/main" id="{00000000-0008-0000-0200-0000D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19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B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20" name="Rectangle 21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C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21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D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22" name="Straight Connector 221">
                              <a:extLst>
                                <a:ext uri="{FF2B5EF4-FFF2-40B4-BE49-F238E27FC236}">
                                  <a16:creationId xmlns:a16="http://schemas.microsoft.com/office/drawing/2014/main" id="{00000000-0008-0000-0200-0000DE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23" name="Straight Connector 222">
                              <a:extLst>
                                <a:ext uri="{FF2B5EF4-FFF2-40B4-BE49-F238E27FC236}">
                                  <a16:creationId xmlns:a16="http://schemas.microsoft.com/office/drawing/2014/main" id="{00000000-0008-0000-0200-0000DF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16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D8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0" name="Group 179">
                      <a:extLst>
                        <a:ext uri="{FF2B5EF4-FFF2-40B4-BE49-F238E27FC236}">
                          <a16:creationId xmlns:a16="http://schemas.microsoft.com/office/drawing/2014/main" id="{00000000-0008-0000-0200-0000B4000000}"/>
                        </a:ext>
                      </a:extLst>
                    </xdr:cNvPr>
                    <xdr:cNvGrpSpPr/>
                  </xdr:nvGrpSpPr>
                  <xdr:grpSpPr>
                    <a:xfrm>
                      <a:off x="9773409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98" name="Shape 5">
                        <a:extLst>
                          <a:ext uri="{FF2B5EF4-FFF2-40B4-BE49-F238E27FC236}">
                            <a16:creationId xmlns:a16="http://schemas.microsoft.com/office/drawing/2014/main" id="{00000000-0008-0000-0200-0000C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99" name="Shape 8">
                        <a:extLst>
                          <a:ext uri="{FF2B5EF4-FFF2-40B4-BE49-F238E27FC236}">
                            <a16:creationId xmlns:a16="http://schemas.microsoft.com/office/drawing/2014/main" id="{00000000-0008-0000-0200-0000C7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200" name="Group 199">
                        <a:extLst>
                          <a:ext uri="{FF2B5EF4-FFF2-40B4-BE49-F238E27FC236}">
                            <a16:creationId xmlns:a16="http://schemas.microsoft.com/office/drawing/2014/main" id="{00000000-0008-0000-0200-0000C8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201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C9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202" name="Group 201">
                          <a:extLst>
                            <a:ext uri="{FF2B5EF4-FFF2-40B4-BE49-F238E27FC236}">
                              <a16:creationId xmlns:a16="http://schemas.microsoft.com/office/drawing/2014/main" id="{00000000-0008-0000-0200-0000CA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204" name="Rectangle 203">
                            <a:extLst>
                              <a:ext uri="{FF2B5EF4-FFF2-40B4-BE49-F238E27FC236}">
                                <a16:creationId xmlns:a16="http://schemas.microsoft.com/office/drawing/2014/main" id="{00000000-0008-0000-0200-0000CC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205" name="Group 204">
                            <a:extLst>
                              <a:ext uri="{FF2B5EF4-FFF2-40B4-BE49-F238E27FC236}">
                                <a16:creationId xmlns:a16="http://schemas.microsoft.com/office/drawing/2014/main" id="{00000000-0008-0000-0200-0000C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206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207" name="Rectangle 20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208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D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209" name="Straight Connector 208">
                              <a:extLst>
                                <a:ext uri="{FF2B5EF4-FFF2-40B4-BE49-F238E27FC236}">
                                  <a16:creationId xmlns:a16="http://schemas.microsoft.com/office/drawing/2014/main" id="{00000000-0008-0000-0200-0000D1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10" name="Straight Connector 209">
                              <a:extLst>
                                <a:ext uri="{FF2B5EF4-FFF2-40B4-BE49-F238E27FC236}">
                                  <a16:creationId xmlns:a16="http://schemas.microsoft.com/office/drawing/2014/main" id="{00000000-0008-0000-0200-0000D2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203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CB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181" name="Group 180">
                      <a:extLst>
                        <a:ext uri="{FF2B5EF4-FFF2-40B4-BE49-F238E27FC236}">
                          <a16:creationId xmlns:a16="http://schemas.microsoft.com/office/drawing/2014/main" id="{00000000-0008-0000-0200-0000B5000000}"/>
                        </a:ext>
                      </a:extLst>
                    </xdr:cNvPr>
                    <xdr:cNvGrpSpPr/>
                  </xdr:nvGrpSpPr>
                  <xdr:grpSpPr>
                    <a:xfrm>
                      <a:off x="10268085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185" name="Shape 5">
                        <a:extLst>
                          <a:ext uri="{FF2B5EF4-FFF2-40B4-BE49-F238E27FC236}">
                            <a16:creationId xmlns:a16="http://schemas.microsoft.com/office/drawing/2014/main" id="{00000000-0008-0000-0200-0000B9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186" name="Shape 8">
                        <a:extLst>
                          <a:ext uri="{FF2B5EF4-FFF2-40B4-BE49-F238E27FC236}">
                            <a16:creationId xmlns:a16="http://schemas.microsoft.com/office/drawing/2014/main" id="{00000000-0008-0000-0200-0000BA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187" name="Group 186">
                        <a:extLst>
                          <a:ext uri="{FF2B5EF4-FFF2-40B4-BE49-F238E27FC236}">
                            <a16:creationId xmlns:a16="http://schemas.microsoft.com/office/drawing/2014/main" id="{00000000-0008-0000-0200-0000BB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188" name="Shape 7">
                          <a:extLst>
                            <a:ext uri="{FF2B5EF4-FFF2-40B4-BE49-F238E27FC236}">
                              <a16:creationId xmlns:a16="http://schemas.microsoft.com/office/drawing/2014/main" id="{00000000-0008-0000-0200-0000BC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189" name="Group 188">
                          <a:extLst>
                            <a:ext uri="{FF2B5EF4-FFF2-40B4-BE49-F238E27FC236}">
                              <a16:creationId xmlns:a16="http://schemas.microsoft.com/office/drawing/2014/main" id="{00000000-0008-0000-0200-0000BD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191" name="Rectangle 190">
                            <a:extLst>
                              <a:ext uri="{FF2B5EF4-FFF2-40B4-BE49-F238E27FC236}">
                                <a16:creationId xmlns:a16="http://schemas.microsoft.com/office/drawing/2014/main" id="{00000000-0008-0000-0200-0000BF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192" name="Group 191">
                            <a:extLst>
                              <a:ext uri="{FF2B5EF4-FFF2-40B4-BE49-F238E27FC236}">
                                <a16:creationId xmlns:a16="http://schemas.microsoft.com/office/drawing/2014/main" id="{00000000-0008-0000-0200-0000C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193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194" name="Rectangle 193">
                              <a:extLst>
                                <a:ext uri="{FF2B5EF4-FFF2-40B4-BE49-F238E27FC236}">
                                  <a16:creationId xmlns:a16="http://schemas.microsoft.com/office/drawing/2014/main" id="{00000000-0008-0000-0200-0000C2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195" name="Shape 4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196" name="Straight Connector 195">
                              <a:extLst>
                                <a:ext uri="{FF2B5EF4-FFF2-40B4-BE49-F238E27FC236}">
                                  <a16:creationId xmlns:a16="http://schemas.microsoft.com/office/drawing/2014/main" id="{00000000-0008-0000-0200-0000C4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197" name="Straight Connector 196">
                              <a:extLst>
                                <a:ext uri="{FF2B5EF4-FFF2-40B4-BE49-F238E27FC236}">
                                  <a16:creationId xmlns:a16="http://schemas.microsoft.com/office/drawing/2014/main" id="{00000000-0008-0000-0200-0000C5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190" name="Shape 6">
                          <a:extLst>
                            <a:ext uri="{FF2B5EF4-FFF2-40B4-BE49-F238E27FC236}">
                              <a16:creationId xmlns:a16="http://schemas.microsoft.com/office/drawing/2014/main" id="{00000000-0008-0000-0200-0000BE00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sp macro="" textlink="">
                  <xdr:nvSpPr>
                    <xdr:cNvPr id="182" name="Shape 27">
                      <a:extLst>
                        <a:ext uri="{FF2B5EF4-FFF2-40B4-BE49-F238E27FC236}">
                          <a16:creationId xmlns:a16="http://schemas.microsoft.com/office/drawing/2014/main" id="{00000000-0008-0000-0200-0000B6000000}"/>
                        </a:ext>
                      </a:extLst>
                    </xdr:cNvPr>
                    <xdr:cNvSpPr/>
                  </xdr:nvSpPr>
                  <xdr:spPr>
                    <a:xfrm>
                      <a:off x="10638097" y="421258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3" name="Shape 27">
                      <a:extLst>
                        <a:ext uri="{FF2B5EF4-FFF2-40B4-BE49-F238E27FC236}">
                          <a16:creationId xmlns:a16="http://schemas.microsoft.com/office/drawing/2014/main" id="{00000000-0008-0000-0200-0000B7000000}"/>
                        </a:ext>
                      </a:extLst>
                    </xdr:cNvPr>
                    <xdr:cNvSpPr/>
                  </xdr:nvSpPr>
                  <xdr:spPr>
                    <a:xfrm>
                      <a:off x="10763475" y="4216361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84" name="Shape 27">
                      <a:extLst>
                        <a:ext uri="{FF2B5EF4-FFF2-40B4-BE49-F238E27FC236}">
                          <a16:creationId xmlns:a16="http://schemas.microsoft.com/office/drawing/2014/main" id="{00000000-0008-0000-0200-0000B8000000}"/>
                        </a:ext>
                      </a:extLst>
                    </xdr:cNvPr>
                    <xdr:cNvSpPr/>
                  </xdr:nvSpPr>
                  <xdr:spPr>
                    <a:xfrm>
                      <a:off x="10902364" y="422014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cxnSp macro="">
                <xdr:nvCxnSpPr>
                  <xdr:cNvPr id="175" name="Straight Connector 174">
                    <a:extLst>
                      <a:ext uri="{FF2B5EF4-FFF2-40B4-BE49-F238E27FC236}">
                        <a16:creationId xmlns:a16="http://schemas.microsoft.com/office/drawing/2014/main" id="{00000000-0008-0000-0200-0000AF000000}"/>
                      </a:ext>
                    </a:extLst>
                  </xdr:cNvPr>
                  <xdr:cNvCxnSpPr/>
                </xdr:nvCxnSpPr>
                <xdr:spPr>
                  <a:xfrm>
                    <a:off x="9014280" y="5075080"/>
                    <a:ext cx="2724109" cy="0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6" name="Straight Connector 175">
                    <a:extLst>
                      <a:ext uri="{FF2B5EF4-FFF2-40B4-BE49-F238E27FC236}">
                        <a16:creationId xmlns:a16="http://schemas.microsoft.com/office/drawing/2014/main" id="{00000000-0008-0000-0200-0000B0000000}"/>
                      </a:ext>
                    </a:extLst>
                  </xdr:cNvPr>
                  <xdr:cNvCxnSpPr/>
                </xdr:nvCxnSpPr>
                <xdr:spPr>
                  <a:xfrm>
                    <a:off x="9939320" y="481083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7" name="Straight Connector 176">
                    <a:extLst>
                      <a:ext uri="{FF2B5EF4-FFF2-40B4-BE49-F238E27FC236}">
                        <a16:creationId xmlns:a16="http://schemas.microsoft.com/office/drawing/2014/main" id="{00000000-0008-0000-0200-0000B1000000}"/>
                      </a:ext>
                    </a:extLst>
                  </xdr:cNvPr>
                  <xdr:cNvCxnSpPr/>
                </xdr:nvCxnSpPr>
                <xdr:spPr>
                  <a:xfrm>
                    <a:off x="10442999" y="4814611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178" name="Straight Connector 177">
                    <a:extLst>
                      <a:ext uri="{FF2B5EF4-FFF2-40B4-BE49-F238E27FC236}">
                        <a16:creationId xmlns:a16="http://schemas.microsoft.com/office/drawing/2014/main" id="{00000000-0008-0000-0200-0000B2000000}"/>
                      </a:ext>
                    </a:extLst>
                  </xdr:cNvPr>
                  <xdr:cNvCxnSpPr/>
                </xdr:nvCxnSpPr>
                <xdr:spPr>
                  <a:xfrm>
                    <a:off x="11230405" y="481839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">
            <xdr:nvSpPr>
              <xdr:cNvPr id="170" name="TextBox 169">
                <a:extLst>
                  <a:ext uri="{FF2B5EF4-FFF2-40B4-BE49-F238E27FC236}">
                    <a16:creationId xmlns:a16="http://schemas.microsoft.com/office/drawing/2014/main" id="{00000000-0008-0000-0200-0000AA000000}"/>
                  </a:ext>
                </a:extLst>
              </xdr:cNvPr>
              <xdr:cNvSpPr txBox="1"/>
            </xdr:nvSpPr>
            <xdr:spPr>
              <a:xfrm>
                <a:off x="13782881" y="10617330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Q-Cable</a:t>
                </a:r>
              </a:p>
            </xdr:txBody>
          </xdr:sp>
          <xdr:sp macro="" textlink="">
            <xdr:nvSpPr>
              <xdr:cNvPr id="171" name="TboxL2">
                <a:extLst>
                  <a:ext uri="{FF2B5EF4-FFF2-40B4-BE49-F238E27FC236}">
                    <a16:creationId xmlns:a16="http://schemas.microsoft.com/office/drawing/2014/main" id="{00000000-0008-0000-0200-0000AB000000}"/>
                  </a:ext>
                </a:extLst>
              </xdr:cNvPr>
              <xdr:cNvSpPr txBox="1"/>
            </xdr:nvSpPr>
            <xdr:spPr>
              <a:xfrm>
                <a:off x="16149212" y="10544173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L2</a:t>
                </a:r>
              </a:p>
            </xdr:txBody>
          </xdr:sp>
        </xdr:grpSp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00000000-0008-0000-0200-0000A0000000}"/>
                </a:ext>
              </a:extLst>
            </xdr:cNvPr>
            <xdr:cNvGrpSpPr/>
          </xdr:nvGrpSpPr>
          <xdr:grpSpPr>
            <a:xfrm>
              <a:off x="12099042" y="10834545"/>
              <a:ext cx="960038" cy="965213"/>
              <a:chOff x="12247446" y="11423625"/>
              <a:chExt cx="925593" cy="940996"/>
            </a:xfrm>
          </xdr:grpSpPr>
          <xdr:sp macro="" textlink="">
            <xdr:nvSpPr>
              <xdr:cNvPr id="161" name="Rectangle 160">
                <a:extLst>
                  <a:ext uri="{FF2B5EF4-FFF2-40B4-BE49-F238E27FC236}">
                    <a16:creationId xmlns:a16="http://schemas.microsoft.com/office/drawing/2014/main" id="{00000000-0008-0000-0200-0000A1000000}"/>
                  </a:ext>
                </a:extLst>
              </xdr:cNvPr>
              <xdr:cNvSpPr/>
            </xdr:nvSpPr>
            <xdr:spPr>
              <a:xfrm>
                <a:off x="12269276" y="11423625"/>
                <a:ext cx="797179" cy="440628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162" name="Group 161">
                <a:extLst>
                  <a:ext uri="{FF2B5EF4-FFF2-40B4-BE49-F238E27FC236}">
                    <a16:creationId xmlns:a16="http://schemas.microsoft.com/office/drawing/2014/main" id="{00000000-0008-0000-0200-0000A2000000}"/>
                  </a:ext>
                </a:extLst>
              </xdr:cNvPr>
              <xdr:cNvGrpSpPr/>
            </xdr:nvGrpSpPr>
            <xdr:grpSpPr>
              <a:xfrm>
                <a:off x="12247446" y="11495767"/>
                <a:ext cx="925593" cy="868854"/>
                <a:chOff x="12308421" y="11553000"/>
                <a:chExt cx="930700" cy="872986"/>
              </a:xfrm>
            </xdr:grpSpPr>
            <xdr:cxnSp macro="">
              <xdr:nvCxnSpPr>
                <xdr:cNvPr id="163" name="Straight Connector 162">
                  <a:extLst>
                    <a:ext uri="{FF2B5EF4-FFF2-40B4-BE49-F238E27FC236}">
                      <a16:creationId xmlns:a16="http://schemas.microsoft.com/office/drawing/2014/main" id="{00000000-0008-0000-0200-0000A3000000}"/>
                    </a:ext>
                  </a:extLst>
                </xdr:cNvPr>
                <xdr:cNvCxnSpPr>
                  <a:cxnSpLocks/>
                  <a:endCxn id="161" idx="3"/>
                </xdr:cNvCxnSpPr>
              </xdr:nvCxnSpPr>
              <xdr:spPr>
                <a:xfrm>
                  <a:off x="12880218" y="11700755"/>
                  <a:ext cx="25013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64" name="Straight Connector 163">
                  <a:extLst>
                    <a:ext uri="{FF2B5EF4-FFF2-40B4-BE49-F238E27FC236}">
                      <a16:creationId xmlns:a16="http://schemas.microsoft.com/office/drawing/2014/main" id="{00000000-0008-0000-0200-0000A4000000}"/>
                    </a:ext>
                  </a:extLst>
                </xdr:cNvPr>
                <xdr:cNvCxnSpPr>
                  <a:cxnSpLocks/>
                  <a:stCxn id="161" idx="1"/>
                </xdr:cNvCxnSpPr>
              </xdr:nvCxnSpPr>
              <xdr:spPr>
                <a:xfrm>
                  <a:off x="12334247" y="11700756"/>
                  <a:ext cx="23595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65" name="Shape 27">
                  <a:extLst>
                    <a:ext uri="{FF2B5EF4-FFF2-40B4-BE49-F238E27FC236}">
                      <a16:creationId xmlns:a16="http://schemas.microsoft.com/office/drawing/2014/main" id="{00000000-0008-0000-0200-0000A5000000}"/>
                    </a:ext>
                  </a:extLst>
                </xdr:cNvPr>
                <xdr:cNvSpPr/>
              </xdr:nvSpPr>
              <xdr:spPr>
                <a:xfrm>
                  <a:off x="12554616" y="11653881"/>
                  <a:ext cx="88419" cy="7622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6" name="Shape 26">
                  <a:extLst>
                    <a:ext uri="{FF2B5EF4-FFF2-40B4-BE49-F238E27FC236}">
                      <a16:creationId xmlns:a16="http://schemas.microsoft.com/office/drawing/2014/main" id="{00000000-0008-0000-0200-0000A6000000}"/>
                    </a:ext>
                  </a:extLst>
                </xdr:cNvPr>
                <xdr:cNvSpPr/>
              </xdr:nvSpPr>
              <xdr:spPr>
                <a:xfrm flipH="1" flipV="1">
                  <a:off x="12613774" y="11553000"/>
                  <a:ext cx="185088" cy="10934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67" name="TextBox 166">
                  <a:extLst>
                    <a:ext uri="{FF2B5EF4-FFF2-40B4-BE49-F238E27FC236}">
                      <a16:creationId xmlns:a16="http://schemas.microsoft.com/office/drawing/2014/main" id="{00000000-0008-0000-0200-0000A7000000}"/>
                    </a:ext>
                  </a:extLst>
                </xdr:cNvPr>
                <xdr:cNvSpPr txBox="1"/>
              </xdr:nvSpPr>
              <xdr:spPr>
                <a:xfrm>
                  <a:off x="12308421" y="11753719"/>
                  <a:ext cx="930700" cy="67226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800"/>
                    <a:t>Inverter Supply</a:t>
                  </a:r>
                </a:p>
                <a:p>
                  <a:pPr algn="ctr"/>
                  <a:r>
                    <a:rPr lang="en-GB" sz="800"/>
                    <a:t>A.C. Isolator</a:t>
                  </a:r>
                </a:p>
              </xdr:txBody>
            </xdr:sp>
            <xdr:sp macro="" textlink="">
              <xdr:nvSpPr>
                <xdr:cNvPr id="168" name="Shape 27">
                  <a:extLst>
                    <a:ext uri="{FF2B5EF4-FFF2-40B4-BE49-F238E27FC236}">
                      <a16:creationId xmlns:a16="http://schemas.microsoft.com/office/drawing/2014/main" id="{00000000-0008-0000-0200-0000A8000000}"/>
                    </a:ext>
                  </a:extLst>
                </xdr:cNvPr>
                <xdr:cNvSpPr/>
              </xdr:nvSpPr>
              <xdr:spPr>
                <a:xfrm>
                  <a:off x="12784205" y="11660585"/>
                  <a:ext cx="88420" cy="7840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</xdr:grpSp>
      <xdr:cxnSp macro="">
        <xdr:nvCxnSpPr>
          <xdr:cNvPr id="157" name="Straight Connector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CxnSpPr/>
        </xdr:nvCxnSpPr>
        <xdr:spPr>
          <a:xfrm flipH="1">
            <a:off x="12109217" y="10801094"/>
            <a:ext cx="20944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32</xdr:col>
      <xdr:colOff>11043</xdr:colOff>
      <xdr:row>28</xdr:row>
      <xdr:rowOff>147456</xdr:rowOff>
    </xdr:from>
    <xdr:to>
      <xdr:col>43</xdr:col>
      <xdr:colOff>245533</xdr:colOff>
      <xdr:row>36</xdr:row>
      <xdr:rowOff>165652</xdr:rowOff>
    </xdr:to>
    <xdr:sp macro="" textlink="">
      <xdr:nvSpPr>
        <xdr:cNvPr id="349" name="Dash1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8139043" y="5837056"/>
          <a:ext cx="3028490" cy="1643796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67</xdr:col>
      <xdr:colOff>185756</xdr:colOff>
      <xdr:row>53</xdr:row>
      <xdr:rowOff>9104</xdr:rowOff>
    </xdr:from>
    <xdr:to>
      <xdr:col>69</xdr:col>
      <xdr:colOff>85630</xdr:colOff>
      <xdr:row>55</xdr:row>
      <xdr:rowOff>2235</xdr:rowOff>
    </xdr:to>
    <xdr:grpSp>
      <xdr:nvGrpSpPr>
        <xdr:cNvPr id="350" name="Ground1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GrpSpPr/>
      </xdr:nvGrpSpPr>
      <xdr:grpSpPr>
        <a:xfrm>
          <a:off x="17203756" y="10778704"/>
          <a:ext cx="407874" cy="399531"/>
          <a:chOff x="10160000" y="2820276"/>
          <a:chExt cx="508000" cy="401148"/>
        </a:xfrm>
      </xdr:grpSpPr>
      <xdr:grpSp>
        <xdr:nvGrpSpPr>
          <xdr:cNvPr id="351" name="Group 350">
            <a:extLst>
              <a:ext uri="{FF2B5EF4-FFF2-40B4-BE49-F238E27FC236}">
                <a16:creationId xmlns:a16="http://schemas.microsoft.com/office/drawing/2014/main" id="{00000000-0008-0000-0200-00005F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53" name="Straight Connector 352">
              <a:extLst>
                <a:ext uri="{FF2B5EF4-FFF2-40B4-BE49-F238E27FC236}">
                  <a16:creationId xmlns:a16="http://schemas.microsoft.com/office/drawing/2014/main" id="{00000000-0008-0000-0200-000061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4" name="Straight Connector 353">
              <a:extLst>
                <a:ext uri="{FF2B5EF4-FFF2-40B4-BE49-F238E27FC236}">
                  <a16:creationId xmlns:a16="http://schemas.microsoft.com/office/drawing/2014/main" id="{00000000-0008-0000-0200-000062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5" name="Straight Connector 354">
              <a:extLst>
                <a:ext uri="{FF2B5EF4-FFF2-40B4-BE49-F238E27FC236}">
                  <a16:creationId xmlns:a16="http://schemas.microsoft.com/office/drawing/2014/main" id="{00000000-0008-0000-0200-000063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52" name="Straight Connector 351">
            <a:extLst>
              <a:ext uri="{FF2B5EF4-FFF2-40B4-BE49-F238E27FC236}">
                <a16:creationId xmlns:a16="http://schemas.microsoft.com/office/drawing/2014/main" id="{00000000-0008-0000-0200-000060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35736</xdr:colOff>
      <xdr:row>39</xdr:row>
      <xdr:rowOff>94092</xdr:rowOff>
    </xdr:from>
    <xdr:to>
      <xdr:col>20</xdr:col>
      <xdr:colOff>160867</xdr:colOff>
      <xdr:row>39</xdr:row>
      <xdr:rowOff>94092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CxnSpPr/>
      </xdr:nvCxnSpPr>
      <xdr:spPr>
        <a:xfrm>
          <a:off x="3337736" y="8018892"/>
          <a:ext cx="1903131" cy="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155340</xdr:colOff>
      <xdr:row>14</xdr:row>
      <xdr:rowOff>84667</xdr:rowOff>
    </xdr:from>
    <xdr:to>
      <xdr:col>20</xdr:col>
      <xdr:colOff>155340</xdr:colOff>
      <xdr:row>39</xdr:row>
      <xdr:rowOff>101600</xdr:rowOff>
    </xdr:to>
    <xdr:cxnSp macro="">
      <xdr:nvCxnSpPr>
        <xdr:cNvPr id="357" name="Straight Connector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CxnSpPr/>
      </xdr:nvCxnSpPr>
      <xdr:spPr>
        <a:xfrm>
          <a:off x="5235340" y="2929467"/>
          <a:ext cx="0" cy="50969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93133</xdr:colOff>
      <xdr:row>14</xdr:row>
      <xdr:rowOff>104072</xdr:rowOff>
    </xdr:from>
    <xdr:to>
      <xdr:col>39</xdr:col>
      <xdr:colOff>125856</xdr:colOff>
      <xdr:row>14</xdr:row>
      <xdr:rowOff>104072</xdr:rowOff>
    </xdr:to>
    <xdr:cxnSp macro="">
      <xdr:nvCxnSpPr>
        <xdr:cNvPr id="358" name="Straight Connector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/>
      </xdr:nvCxnSpPr>
      <xdr:spPr>
        <a:xfrm>
          <a:off x="5173133" y="2948872"/>
          <a:ext cx="485872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107281</xdr:colOff>
      <xdr:row>52</xdr:row>
      <xdr:rowOff>63500</xdr:rowOff>
    </xdr:from>
    <xdr:to>
      <xdr:col>23</xdr:col>
      <xdr:colOff>12700</xdr:colOff>
      <xdr:row>53</xdr:row>
      <xdr:rowOff>44062</xdr:rowOff>
    </xdr:to>
    <xdr:cxnSp macro="">
      <xdr:nvCxnSpPr>
        <xdr:cNvPr id="359" name="2P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CxnSpPr/>
      </xdr:nvCxnSpPr>
      <xdr:spPr>
        <a:xfrm flipH="1">
          <a:off x="5695281" y="10629900"/>
          <a:ext cx="159419" cy="1837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183482</xdr:colOff>
      <xdr:row>52</xdr:row>
      <xdr:rowOff>63500</xdr:rowOff>
    </xdr:from>
    <xdr:to>
      <xdr:col>23</xdr:col>
      <xdr:colOff>101600</xdr:colOff>
      <xdr:row>53</xdr:row>
      <xdr:rowOff>56762</xdr:rowOff>
    </xdr:to>
    <xdr:cxnSp macro="">
      <xdr:nvCxnSpPr>
        <xdr:cNvPr id="360" name="2P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CxnSpPr/>
      </xdr:nvCxnSpPr>
      <xdr:spPr>
        <a:xfrm flipH="1">
          <a:off x="5771482" y="10629900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20402</xdr:colOff>
      <xdr:row>52</xdr:row>
      <xdr:rowOff>73314</xdr:rowOff>
    </xdr:from>
    <xdr:to>
      <xdr:col>23</xdr:col>
      <xdr:colOff>192520</xdr:colOff>
      <xdr:row>53</xdr:row>
      <xdr:rowOff>66576</xdr:rowOff>
    </xdr:to>
    <xdr:cxnSp macro="">
      <xdr:nvCxnSpPr>
        <xdr:cNvPr id="361" name="2P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H="1">
          <a:off x="5862402" y="10639714"/>
          <a:ext cx="172118" cy="19646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194030</xdr:colOff>
      <xdr:row>39</xdr:row>
      <xdr:rowOff>13542</xdr:rowOff>
    </xdr:from>
    <xdr:to>
      <xdr:col>20</xdr:col>
      <xdr:colOff>96673</xdr:colOff>
      <xdr:row>39</xdr:row>
      <xdr:rowOff>197305</xdr:rowOff>
    </xdr:to>
    <xdr:cxnSp macro="">
      <xdr:nvCxnSpPr>
        <xdr:cNvPr id="362" name="2P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H="1">
          <a:off x="5020030" y="7938342"/>
          <a:ext cx="156643" cy="18376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4988</xdr:colOff>
      <xdr:row>38</xdr:row>
      <xdr:rowOff>199809</xdr:rowOff>
    </xdr:from>
    <xdr:to>
      <xdr:col>20</xdr:col>
      <xdr:colOff>14026</xdr:colOff>
      <xdr:row>40</xdr:row>
      <xdr:rowOff>1629</xdr:rowOff>
    </xdr:to>
    <xdr:grpSp>
      <xdr:nvGrpSpPr>
        <xdr:cNvPr id="396" name="3PGate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GrpSpPr/>
      </xdr:nvGrpSpPr>
      <xdr:grpSpPr>
        <a:xfrm>
          <a:off x="4830988" y="7921409"/>
          <a:ext cx="263038" cy="208220"/>
          <a:chOff x="5324801" y="8025755"/>
          <a:chExt cx="260750" cy="213712"/>
        </a:xfrm>
      </xdr:grpSpPr>
      <xdr:cxnSp macro="">
        <xdr:nvCxnSpPr>
          <xdr:cNvPr id="363" name="2P">
            <a:extLst>
              <a:ext uri="{FF2B5EF4-FFF2-40B4-BE49-F238E27FC236}">
                <a16:creationId xmlns:a16="http://schemas.microsoft.com/office/drawing/2014/main" id="{00000000-0008-0000-0200-00006B010000}"/>
              </a:ext>
            </a:extLst>
          </xdr:cNvPr>
          <xdr:cNvCxnSpPr/>
        </xdr:nvCxnSpPr>
        <xdr:spPr>
          <a:xfrm flipH="1">
            <a:off x="5324801" y="8025755"/>
            <a:ext cx="174894" cy="199209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4" name="2P">
            <a:extLst>
              <a:ext uri="{FF2B5EF4-FFF2-40B4-BE49-F238E27FC236}">
                <a16:creationId xmlns:a16="http://schemas.microsoft.com/office/drawing/2014/main" id="{00000000-0008-0000-0200-00006C010000}"/>
              </a:ext>
            </a:extLst>
          </xdr:cNvPr>
          <xdr:cNvCxnSpPr/>
        </xdr:nvCxnSpPr>
        <xdr:spPr>
          <a:xfrm flipH="1">
            <a:off x="5415721" y="8040259"/>
            <a:ext cx="169830" cy="19920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236389</xdr:colOff>
      <xdr:row>36</xdr:row>
      <xdr:rowOff>21783</xdr:rowOff>
    </xdr:from>
    <xdr:to>
      <xdr:col>19</xdr:col>
      <xdr:colOff>220133</xdr:colOff>
      <xdr:row>36</xdr:row>
      <xdr:rowOff>21783</xdr:rowOff>
    </xdr:to>
    <xdr:cxnSp macro="">
      <xdr:nvCxnSpPr>
        <xdr:cNvPr id="365" name="Straight Connector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CxnSpPr/>
      </xdr:nvCxnSpPr>
      <xdr:spPr>
        <a:xfrm flipH="1">
          <a:off x="4554389" y="7336983"/>
          <a:ext cx="491744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109603</xdr:colOff>
      <xdr:row>27</xdr:row>
      <xdr:rowOff>78562</xdr:rowOff>
    </xdr:from>
    <xdr:to>
      <xdr:col>22</xdr:col>
      <xdr:colOff>189603</xdr:colOff>
      <xdr:row>28</xdr:row>
      <xdr:rowOff>45137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GrpSpPr/>
      </xdr:nvGrpSpPr>
      <xdr:grpSpPr>
        <a:xfrm>
          <a:off x="5443603" y="5564962"/>
          <a:ext cx="334000" cy="169775"/>
          <a:chOff x="10817680" y="7023878"/>
          <a:chExt cx="333698" cy="170683"/>
        </a:xfrm>
      </xdr:grpSpPr>
      <xdr:cxnSp macro="">
        <xdr:nvCxnSpPr>
          <xdr:cNvPr id="367" name="Straight Connector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8" name="Straight Connector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9" name="Straight Connector 368">
            <a:extLst>
              <a:ext uri="{FF2B5EF4-FFF2-40B4-BE49-F238E27FC236}">
                <a16:creationId xmlns:a16="http://schemas.microsoft.com/office/drawing/2014/main" id="{00000000-0008-0000-0200-000071010000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0" name="Straight Connector 369">
            <a:extLst>
              <a:ext uri="{FF2B5EF4-FFF2-40B4-BE49-F238E27FC236}">
                <a16:creationId xmlns:a16="http://schemas.microsoft.com/office/drawing/2014/main" id="{00000000-0008-0000-0200-000072010000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214116</xdr:colOff>
      <xdr:row>26</xdr:row>
      <xdr:rowOff>176703</xdr:rowOff>
    </xdr:from>
    <xdr:to>
      <xdr:col>24</xdr:col>
      <xdr:colOff>215884</xdr:colOff>
      <xdr:row>28</xdr:row>
      <xdr:rowOff>142650</xdr:rowOff>
    </xdr:to>
    <xdr:sp macro="" textlink="">
      <xdr:nvSpPr>
        <xdr:cNvPr id="371" name="TboxL2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548116" y="5459903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56</xdr:col>
      <xdr:colOff>86701</xdr:colOff>
      <xdr:row>33</xdr:row>
      <xdr:rowOff>25401</xdr:rowOff>
    </xdr:from>
    <xdr:to>
      <xdr:col>68</xdr:col>
      <xdr:colOff>129034</xdr:colOff>
      <xdr:row>53</xdr:row>
      <xdr:rowOff>11494</xdr:rowOff>
    </xdr:to>
    <xdr:grpSp>
      <xdr:nvGrpSpPr>
        <xdr:cNvPr id="372" name="ExistA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GrpSpPr/>
      </xdr:nvGrpSpPr>
      <xdr:grpSpPr>
        <a:xfrm>
          <a:off x="14310701" y="6731001"/>
          <a:ext cx="3090333" cy="4050093"/>
          <a:chOff x="2828940" y="8197704"/>
          <a:chExt cx="3087854" cy="4220349"/>
        </a:xfrm>
      </xdr:grpSpPr>
      <xdr:grpSp>
        <xdr:nvGrpSpPr>
          <xdr:cNvPr id="373" name="Group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GrpSpPr/>
        </xdr:nvGrpSpPr>
        <xdr:grpSpPr>
          <a:xfrm>
            <a:off x="2870479" y="10960100"/>
            <a:ext cx="2816009" cy="1269276"/>
            <a:chOff x="4867607" y="4975411"/>
            <a:chExt cx="2753654" cy="1316399"/>
          </a:xfrm>
        </xdr:grpSpPr>
        <xdr:grpSp>
          <xdr:nvGrpSpPr>
            <xdr:cNvPr id="382" name="Group 381">
              <a:extLst>
                <a:ext uri="{FF2B5EF4-FFF2-40B4-BE49-F238E27FC236}">
                  <a16:creationId xmlns:a16="http://schemas.microsoft.com/office/drawing/2014/main" id="{00000000-0008-0000-0200-00007E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90" name="Group 389">
                <a:extLst>
                  <a:ext uri="{FF2B5EF4-FFF2-40B4-BE49-F238E27FC236}">
                    <a16:creationId xmlns:a16="http://schemas.microsoft.com/office/drawing/2014/main" id="{00000000-0008-0000-0200-000086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92" name="Shape 5">
                  <a:extLst>
                    <a:ext uri="{FF2B5EF4-FFF2-40B4-BE49-F238E27FC236}">
                      <a16:creationId xmlns:a16="http://schemas.microsoft.com/office/drawing/2014/main" id="{00000000-0008-0000-0200-000088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3" name="Shape 6">
                  <a:extLst>
                    <a:ext uri="{FF2B5EF4-FFF2-40B4-BE49-F238E27FC236}">
                      <a16:creationId xmlns:a16="http://schemas.microsoft.com/office/drawing/2014/main" id="{00000000-0008-0000-0200-000089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4" name="Shape 7">
                  <a:extLst>
                    <a:ext uri="{FF2B5EF4-FFF2-40B4-BE49-F238E27FC236}">
                      <a16:creationId xmlns:a16="http://schemas.microsoft.com/office/drawing/2014/main" id="{00000000-0008-0000-0200-00008A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95" name="Shape 8">
                  <a:extLst>
                    <a:ext uri="{FF2B5EF4-FFF2-40B4-BE49-F238E27FC236}">
                      <a16:creationId xmlns:a16="http://schemas.microsoft.com/office/drawing/2014/main" id="{00000000-0008-0000-0200-00008B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91" name="Rectangle 390">
                <a:extLst>
                  <a:ext uri="{FF2B5EF4-FFF2-40B4-BE49-F238E27FC236}">
                    <a16:creationId xmlns:a16="http://schemas.microsoft.com/office/drawing/2014/main" id="{00000000-0008-0000-0200-000087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383" name="Group 382">
              <a:extLst>
                <a:ext uri="{FF2B5EF4-FFF2-40B4-BE49-F238E27FC236}">
                  <a16:creationId xmlns:a16="http://schemas.microsoft.com/office/drawing/2014/main" id="{00000000-0008-0000-0200-00007F010000}"/>
                </a:ext>
              </a:extLst>
            </xdr:cNvPr>
            <xdr:cNvGrpSpPr/>
          </xdr:nvGrpSpPr>
          <xdr:grpSpPr>
            <a:xfrm>
              <a:off x="4867607" y="5492101"/>
              <a:ext cx="1990393" cy="564535"/>
              <a:chOff x="6401079" y="6917765"/>
              <a:chExt cx="1984619" cy="545353"/>
            </a:xfrm>
          </xdr:grpSpPr>
          <xdr:sp macro="" textlink="">
            <xdr:nvSpPr>
              <xdr:cNvPr id="384" name="Shape 27">
                <a:extLst>
                  <a:ext uri="{FF2B5EF4-FFF2-40B4-BE49-F238E27FC236}">
                    <a16:creationId xmlns:a16="http://schemas.microsoft.com/office/drawing/2014/main" id="{00000000-0008-0000-0200-000080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5" name="Shape 27">
                <a:extLst>
                  <a:ext uri="{FF2B5EF4-FFF2-40B4-BE49-F238E27FC236}">
                    <a16:creationId xmlns:a16="http://schemas.microsoft.com/office/drawing/2014/main" id="{00000000-0008-0000-0200-000081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6" name="Shape 26">
                <a:extLst>
                  <a:ext uri="{FF2B5EF4-FFF2-40B4-BE49-F238E27FC236}">
                    <a16:creationId xmlns:a16="http://schemas.microsoft.com/office/drawing/2014/main" id="{00000000-0008-0000-0200-000082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87" name="Straight Connector 386">
                <a:extLst>
                  <a:ext uri="{FF2B5EF4-FFF2-40B4-BE49-F238E27FC236}">
                    <a16:creationId xmlns:a16="http://schemas.microsoft.com/office/drawing/2014/main" id="{00000000-0008-0000-0200-000083010000}"/>
                  </a:ext>
                </a:extLst>
              </xdr:cNvPr>
              <xdr:cNvCxnSpPr/>
            </xdr:nvCxnSpPr>
            <xdr:spPr>
              <a:xfrm flipH="1">
                <a:off x="6401079" y="7270910"/>
                <a:ext cx="7183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8" name="Straight Connector 387">
                <a:extLst>
                  <a:ext uri="{FF2B5EF4-FFF2-40B4-BE49-F238E27FC236}">
                    <a16:creationId xmlns:a16="http://schemas.microsoft.com/office/drawing/2014/main" id="{00000000-0008-0000-0200-000084010000}"/>
                  </a:ext>
                </a:extLst>
              </xdr:cNvPr>
              <xdr:cNvCxnSpPr/>
            </xdr:nvCxnSpPr>
            <xdr:spPr>
              <a:xfrm flipH="1">
                <a:off x="7625907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89" name="Rectangle 388">
                <a:extLst>
                  <a:ext uri="{FF2B5EF4-FFF2-40B4-BE49-F238E27FC236}">
                    <a16:creationId xmlns:a16="http://schemas.microsoft.com/office/drawing/2014/main" id="{00000000-0008-0000-0200-000085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74" name="Group 373">
            <a:extLst>
              <a:ext uri="{FF2B5EF4-FFF2-40B4-BE49-F238E27FC236}">
                <a16:creationId xmlns:a16="http://schemas.microsoft.com/office/drawing/2014/main" id="{00000000-0008-0000-0200-000076010000}"/>
              </a:ext>
            </a:extLst>
          </xdr:cNvPr>
          <xdr:cNvGrpSpPr/>
        </xdr:nvGrpSpPr>
        <xdr:grpSpPr>
          <a:xfrm>
            <a:off x="2828940" y="8711961"/>
            <a:ext cx="269224" cy="3096381"/>
            <a:chOff x="4209075" y="8189559"/>
            <a:chExt cx="275787" cy="3076616"/>
          </a:xfrm>
        </xdr:grpSpPr>
        <xdr:grpSp>
          <xdr:nvGrpSpPr>
            <xdr:cNvPr id="377" name="Group 376">
              <a:extLst>
                <a:ext uri="{FF2B5EF4-FFF2-40B4-BE49-F238E27FC236}">
                  <a16:creationId xmlns:a16="http://schemas.microsoft.com/office/drawing/2014/main" id="{00000000-0008-0000-0200-000079010000}"/>
                </a:ext>
              </a:extLst>
            </xdr:cNvPr>
            <xdr:cNvGrpSpPr/>
          </xdr:nvGrpSpPr>
          <xdr:grpSpPr>
            <a:xfrm>
              <a:off x="4209075" y="8189559"/>
              <a:ext cx="275787" cy="318559"/>
              <a:chOff x="4209075" y="8189559"/>
              <a:chExt cx="275787" cy="318559"/>
            </a:xfrm>
          </xdr:grpSpPr>
          <xdr:sp macro="" textlink="">
            <xdr:nvSpPr>
              <xdr:cNvPr id="379" name="Shape 27">
                <a:extLst>
                  <a:ext uri="{FF2B5EF4-FFF2-40B4-BE49-F238E27FC236}">
                    <a16:creationId xmlns:a16="http://schemas.microsoft.com/office/drawing/2014/main" id="{00000000-0008-0000-0200-00007B010000}"/>
                  </a:ext>
                </a:extLst>
              </xdr:cNvPr>
              <xdr:cNvSpPr/>
            </xdr:nvSpPr>
            <xdr:spPr>
              <a:xfrm>
                <a:off x="4209075" y="818955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0" name="Shape 27">
                <a:extLst>
                  <a:ext uri="{FF2B5EF4-FFF2-40B4-BE49-F238E27FC236}">
                    <a16:creationId xmlns:a16="http://schemas.microsoft.com/office/drawing/2014/main" id="{00000000-0008-0000-0200-00007C010000}"/>
                  </a:ext>
                </a:extLst>
              </xdr:cNvPr>
              <xdr:cNvSpPr/>
            </xdr:nvSpPr>
            <xdr:spPr>
              <a:xfrm>
                <a:off x="4209920" y="8408431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81" name="Shape 26">
                <a:extLst>
                  <a:ext uri="{FF2B5EF4-FFF2-40B4-BE49-F238E27FC236}">
                    <a16:creationId xmlns:a16="http://schemas.microsoft.com/office/drawing/2014/main" id="{00000000-0008-0000-0200-00007D010000}"/>
                  </a:ext>
                </a:extLst>
              </xdr:cNvPr>
              <xdr:cNvSpPr/>
            </xdr:nvSpPr>
            <xdr:spPr>
              <a:xfrm flipH="1">
                <a:off x="4272163" y="8222080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78" name="Straight Connector 377">
              <a:extLst>
                <a:ext uri="{FF2B5EF4-FFF2-40B4-BE49-F238E27FC236}">
                  <a16:creationId xmlns:a16="http://schemas.microsoft.com/office/drawing/2014/main" id="{00000000-0008-0000-0200-00007A010000}"/>
                </a:ext>
              </a:extLst>
            </xdr:cNvPr>
            <xdr:cNvCxnSpPr/>
          </xdr:nvCxnSpPr>
          <xdr:spPr>
            <a:xfrm>
              <a:off x="4257709" y="8521439"/>
              <a:ext cx="0" cy="2744736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75" name="Straight Connector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CxnSpPr/>
        </xdr:nvCxnSpPr>
        <xdr:spPr>
          <a:xfrm>
            <a:off x="2870513" y="8197704"/>
            <a:ext cx="0" cy="51206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6" name="Dash">
            <a:extLst>
              <a:ext uri="{FF2B5EF4-FFF2-40B4-BE49-F238E27FC236}">
                <a16:creationId xmlns:a16="http://schemas.microsoft.com/office/drawing/2014/main" id="{00000000-0008-0000-0200-000078010000}"/>
              </a:ext>
            </a:extLst>
          </xdr:cNvPr>
          <xdr:cNvSpPr/>
        </xdr:nvSpPr>
        <xdr:spPr>
          <a:xfrm>
            <a:off x="3066644" y="10875109"/>
            <a:ext cx="2850150" cy="1542944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38</xdr:col>
      <xdr:colOff>18416</xdr:colOff>
      <xdr:row>15</xdr:row>
      <xdr:rowOff>51017</xdr:rowOff>
    </xdr:from>
    <xdr:to>
      <xdr:col>39</xdr:col>
      <xdr:colOff>18172</xdr:colOff>
      <xdr:row>16</xdr:row>
      <xdr:rowOff>131203</xdr:rowOff>
    </xdr:to>
    <xdr:grpSp>
      <xdr:nvGrpSpPr>
        <xdr:cNvPr id="397" name="3PLoads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GrpSpPr/>
      </xdr:nvGrpSpPr>
      <xdr:grpSpPr>
        <a:xfrm>
          <a:off x="9670416" y="3099017"/>
          <a:ext cx="253756" cy="283386"/>
          <a:chOff x="7844688" y="3097141"/>
          <a:chExt cx="256533" cy="281443"/>
        </a:xfrm>
      </xdr:grpSpPr>
      <xdr:cxnSp macro="">
        <xdr:nvCxnSpPr>
          <xdr:cNvPr id="398" name="Straight Connector 397">
            <a:extLst>
              <a:ext uri="{FF2B5EF4-FFF2-40B4-BE49-F238E27FC236}">
                <a16:creationId xmlns:a16="http://schemas.microsoft.com/office/drawing/2014/main" id="{00000000-0008-0000-0200-00008E010000}"/>
              </a:ext>
            </a:extLst>
          </xdr:cNvPr>
          <xdr:cNvCxnSpPr/>
        </xdr:nvCxnSpPr>
        <xdr:spPr>
          <a:xfrm flipH="1">
            <a:off x="7844688" y="309714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9" name="Straight Connector 398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CxnSpPr/>
        </xdr:nvCxnSpPr>
        <xdr:spPr>
          <a:xfrm flipH="1">
            <a:off x="7844688" y="3197231"/>
            <a:ext cx="256533" cy="1813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2215</xdr:colOff>
      <xdr:row>14</xdr:row>
      <xdr:rowOff>160677</xdr:rowOff>
    </xdr:from>
    <xdr:to>
      <xdr:col>39</xdr:col>
      <xdr:colOff>2212</xdr:colOff>
      <xdr:row>15</xdr:row>
      <xdr:rowOff>141447</xdr:rowOff>
    </xdr:to>
    <xdr:cxnSp macro="">
      <xdr:nvCxnSpPr>
        <xdr:cNvPr id="400" name="Straight Connector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CxnSpPr/>
      </xdr:nvCxnSpPr>
      <xdr:spPr>
        <a:xfrm flipH="1">
          <a:off x="9567260" y="3043920"/>
          <a:ext cx="251709" cy="18671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187645</xdr:colOff>
      <xdr:row>14</xdr:row>
      <xdr:rowOff>73776</xdr:rowOff>
    </xdr:from>
    <xdr:to>
      <xdr:col>58</xdr:col>
      <xdr:colOff>48159</xdr:colOff>
      <xdr:row>33</xdr:row>
      <xdr:rowOff>1</xdr:rowOff>
    </xdr:to>
    <xdr:grpSp>
      <xdr:nvGrpSpPr>
        <xdr:cNvPr id="284" name="Group 283">
          <a:extLst>
            <a:ext uri="{FF2B5EF4-FFF2-40B4-BE49-F238E27FC236}">
              <a16:creationId xmlns:a16="http://schemas.microsoft.com/office/drawing/2014/main" id="{72ADD9C5-E6E6-8D4F-A810-2725248F8254}"/>
            </a:ext>
          </a:extLst>
        </xdr:cNvPr>
        <xdr:cNvGrpSpPr/>
      </xdr:nvGrpSpPr>
      <xdr:grpSpPr>
        <a:xfrm>
          <a:off x="14411645" y="2918576"/>
          <a:ext cx="368514" cy="3787025"/>
          <a:chOff x="9530059" y="4275667"/>
          <a:chExt cx="369906" cy="3785865"/>
        </a:xfrm>
      </xdr:grpSpPr>
      <xdr:sp macro="" textlink="">
        <xdr:nvSpPr>
          <xdr:cNvPr id="285" name="Shape 27">
            <a:extLst>
              <a:ext uri="{FF2B5EF4-FFF2-40B4-BE49-F238E27FC236}">
                <a16:creationId xmlns:a16="http://schemas.microsoft.com/office/drawing/2014/main" id="{8761F445-99DB-DF4A-8554-5F7DFFCFF4B3}"/>
              </a:ext>
            </a:extLst>
          </xdr:cNvPr>
          <xdr:cNvSpPr/>
        </xdr:nvSpPr>
        <xdr:spPr>
          <a:xfrm>
            <a:off x="9593489" y="4938880"/>
            <a:ext cx="95175" cy="10034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86" name="Shape 27">
            <a:extLst>
              <a:ext uri="{FF2B5EF4-FFF2-40B4-BE49-F238E27FC236}">
                <a16:creationId xmlns:a16="http://schemas.microsoft.com/office/drawing/2014/main" id="{3AAD983C-0BC4-D44A-9CA3-C94CE078BDE0}"/>
              </a:ext>
            </a:extLst>
          </xdr:cNvPr>
          <xdr:cNvSpPr/>
        </xdr:nvSpPr>
        <xdr:spPr>
          <a:xfrm>
            <a:off x="9589750" y="4711587"/>
            <a:ext cx="95175" cy="100343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87" name="Shape 26">
            <a:extLst>
              <a:ext uri="{FF2B5EF4-FFF2-40B4-BE49-F238E27FC236}">
                <a16:creationId xmlns:a16="http://schemas.microsoft.com/office/drawing/2014/main" id="{C375D497-03D6-8141-BD31-A6F61C7D9693}"/>
              </a:ext>
            </a:extLst>
          </xdr:cNvPr>
          <xdr:cNvSpPr/>
        </xdr:nvSpPr>
        <xdr:spPr>
          <a:xfrm flipH="1">
            <a:off x="9684192" y="4797712"/>
            <a:ext cx="215773" cy="178862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88" name="Shape 26">
            <a:extLst>
              <a:ext uri="{FF2B5EF4-FFF2-40B4-BE49-F238E27FC236}">
                <a16:creationId xmlns:a16="http://schemas.microsoft.com/office/drawing/2014/main" id="{08345DD9-A451-F747-ADF8-B009591B74B4}"/>
              </a:ext>
            </a:extLst>
          </xdr:cNvPr>
          <xdr:cNvSpPr/>
        </xdr:nvSpPr>
        <xdr:spPr>
          <a:xfrm flipH="1">
            <a:off x="9530059" y="4346396"/>
            <a:ext cx="219966" cy="215253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289" name="Straight Connector 288">
            <a:extLst>
              <a:ext uri="{FF2B5EF4-FFF2-40B4-BE49-F238E27FC236}">
                <a16:creationId xmlns:a16="http://schemas.microsoft.com/office/drawing/2014/main" id="{58653478-FFD3-4C45-B663-862CF006FF52}"/>
              </a:ext>
            </a:extLst>
          </xdr:cNvPr>
          <xdr:cNvCxnSpPr/>
        </xdr:nvCxnSpPr>
        <xdr:spPr>
          <a:xfrm>
            <a:off x="9642667" y="4275667"/>
            <a:ext cx="0" cy="4696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" name="Straight Connector 289">
            <a:extLst>
              <a:ext uri="{FF2B5EF4-FFF2-40B4-BE49-F238E27FC236}">
                <a16:creationId xmlns:a16="http://schemas.microsoft.com/office/drawing/2014/main" id="{25C53C01-B6F5-0845-AAD2-391F66B2D469}"/>
              </a:ext>
            </a:extLst>
          </xdr:cNvPr>
          <xdr:cNvCxnSpPr/>
        </xdr:nvCxnSpPr>
        <xdr:spPr>
          <a:xfrm>
            <a:off x="9651134" y="5033545"/>
            <a:ext cx="0" cy="3027987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55</xdr:col>
      <xdr:colOff>49427</xdr:colOff>
      <xdr:row>33</xdr:row>
      <xdr:rowOff>4758</xdr:rowOff>
    </xdr:from>
    <xdr:to>
      <xdr:col>60</xdr:col>
      <xdr:colOff>22882</xdr:colOff>
      <xdr:row>33</xdr:row>
      <xdr:rowOff>4758</xdr:rowOff>
    </xdr:to>
    <xdr:cxnSp macro="">
      <xdr:nvCxnSpPr>
        <xdr:cNvPr id="293" name="Straight Connector 292">
          <a:extLst>
            <a:ext uri="{FF2B5EF4-FFF2-40B4-BE49-F238E27FC236}">
              <a16:creationId xmlns:a16="http://schemas.microsoft.com/office/drawing/2014/main" id="{2E48046E-7853-C249-92E6-FCE6FD59F82F}"/>
            </a:ext>
          </a:extLst>
        </xdr:cNvPr>
        <xdr:cNvCxnSpPr/>
      </xdr:nvCxnSpPr>
      <xdr:spPr>
        <a:xfrm>
          <a:off x="13893571" y="6800974"/>
          <a:ext cx="1232014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205947</xdr:colOff>
      <xdr:row>30</xdr:row>
      <xdr:rowOff>68649</xdr:rowOff>
    </xdr:from>
    <xdr:to>
      <xdr:col>62</xdr:col>
      <xdr:colOff>68650</xdr:colOff>
      <xdr:row>41</xdr:row>
      <xdr:rowOff>91531</xdr:rowOff>
    </xdr:to>
    <xdr:sp macro="" textlink="">
      <xdr:nvSpPr>
        <xdr:cNvPr id="295" name="Dash">
          <a:extLst>
            <a:ext uri="{FF2B5EF4-FFF2-40B4-BE49-F238E27FC236}">
              <a16:creationId xmlns:a16="http://schemas.microsoft.com/office/drawing/2014/main" id="{30CE2663-4589-4A4D-A538-9427959EC0D4}"/>
            </a:ext>
          </a:extLst>
        </xdr:cNvPr>
        <xdr:cNvSpPr/>
      </xdr:nvSpPr>
      <xdr:spPr>
        <a:xfrm>
          <a:off x="13546668" y="6247027"/>
          <a:ext cx="2128108" cy="22882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70825</xdr:colOff>
      <xdr:row>23</xdr:row>
      <xdr:rowOff>22750</xdr:rowOff>
    </xdr:from>
    <xdr:to>
      <xdr:col>27</xdr:col>
      <xdr:colOff>174916</xdr:colOff>
      <xdr:row>23</xdr:row>
      <xdr:rowOff>120070</xdr:rowOff>
    </xdr:to>
    <xdr:sp macro="" textlink="">
      <xdr:nvSpPr>
        <xdr:cNvPr id="300" name="Shape 27">
          <a:extLst>
            <a:ext uri="{FF2B5EF4-FFF2-40B4-BE49-F238E27FC236}">
              <a16:creationId xmlns:a16="http://schemas.microsoft.com/office/drawing/2014/main" id="{106B2AA5-E9AC-4B4B-A15D-8E1D68B0F870}"/>
            </a:ext>
          </a:extLst>
        </xdr:cNvPr>
        <xdr:cNvSpPr/>
      </xdr:nvSpPr>
      <xdr:spPr>
        <a:xfrm>
          <a:off x="6928825" y="4696350"/>
          <a:ext cx="104091" cy="97320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21</xdr:col>
      <xdr:colOff>164940</xdr:colOff>
      <xdr:row>14</xdr:row>
      <xdr:rowOff>121776</xdr:rowOff>
    </xdr:from>
    <xdr:to>
      <xdr:col>44</xdr:col>
      <xdr:colOff>138528</xdr:colOff>
      <xdr:row>47</xdr:row>
      <xdr:rowOff>66958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EB749EE7-EEF7-524E-92DD-1B08B68AA07E}"/>
            </a:ext>
          </a:extLst>
        </xdr:cNvPr>
        <xdr:cNvGrpSpPr/>
      </xdr:nvGrpSpPr>
      <xdr:grpSpPr>
        <a:xfrm>
          <a:off x="5498940" y="2966576"/>
          <a:ext cx="5815588" cy="6650782"/>
          <a:chOff x="10614587" y="4861690"/>
          <a:chExt cx="5815995" cy="6657976"/>
        </a:xfrm>
      </xdr:grpSpPr>
      <xdr:grpSp>
        <xdr:nvGrpSpPr>
          <xdr:cNvPr id="313" name="Group 312">
            <a:extLst>
              <a:ext uri="{FF2B5EF4-FFF2-40B4-BE49-F238E27FC236}">
                <a16:creationId xmlns:a16="http://schemas.microsoft.com/office/drawing/2014/main" id="{EDA9D5EE-08B6-3642-96E7-F83ABD694962}"/>
              </a:ext>
            </a:extLst>
          </xdr:cNvPr>
          <xdr:cNvGrpSpPr/>
        </xdr:nvGrpSpPr>
        <xdr:grpSpPr>
          <a:xfrm>
            <a:off x="10614587" y="4861690"/>
            <a:ext cx="5815995" cy="6657976"/>
            <a:chOff x="10443927" y="4978590"/>
            <a:chExt cx="5720773" cy="6821168"/>
          </a:xfrm>
        </xdr:grpSpPr>
        <xdr:grpSp>
          <xdr:nvGrpSpPr>
            <xdr:cNvPr id="315" name="Group 314">
              <a:extLst>
                <a:ext uri="{FF2B5EF4-FFF2-40B4-BE49-F238E27FC236}">
                  <a16:creationId xmlns:a16="http://schemas.microsoft.com/office/drawing/2014/main" id="{246D2821-3BFC-D64B-94A9-6599CDC630CE}"/>
                </a:ext>
              </a:extLst>
            </xdr:cNvPr>
            <xdr:cNvGrpSpPr/>
          </xdr:nvGrpSpPr>
          <xdr:grpSpPr>
            <a:xfrm>
              <a:off x="10443927" y="4978590"/>
              <a:ext cx="342761" cy="6083859"/>
              <a:chOff x="11918973" y="6518173"/>
              <a:chExt cx="332335" cy="5742002"/>
            </a:xfrm>
          </xdr:grpSpPr>
          <xdr:grpSp>
            <xdr:nvGrpSpPr>
              <xdr:cNvPr id="433" name="Group 432">
                <a:extLst>
                  <a:ext uri="{FF2B5EF4-FFF2-40B4-BE49-F238E27FC236}">
                    <a16:creationId xmlns:a16="http://schemas.microsoft.com/office/drawing/2014/main" id="{D5F1A305-9E20-EA41-B710-61F0C5FF02C6}"/>
                  </a:ext>
                </a:extLst>
              </xdr:cNvPr>
              <xdr:cNvGrpSpPr/>
            </xdr:nvGrpSpPr>
            <xdr:grpSpPr>
              <a:xfrm>
                <a:off x="11918973" y="6518173"/>
                <a:ext cx="332335" cy="1705084"/>
                <a:chOff x="11918973" y="6518173"/>
                <a:chExt cx="332335" cy="1705084"/>
              </a:xfrm>
            </xdr:grpSpPr>
            <xdr:sp macro="" textlink="">
              <xdr:nvSpPr>
                <xdr:cNvPr id="435" name="Shape 27">
                  <a:extLst>
                    <a:ext uri="{FF2B5EF4-FFF2-40B4-BE49-F238E27FC236}">
                      <a16:creationId xmlns:a16="http://schemas.microsoft.com/office/drawing/2014/main" id="{3A688907-9BDA-924D-B929-5ABC43564409}"/>
                    </a:ext>
                  </a:extLst>
                </xdr:cNvPr>
                <xdr:cNvSpPr/>
              </xdr:nvSpPr>
              <xdr:spPr>
                <a:xfrm>
                  <a:off x="11965961" y="7977352"/>
                  <a:ext cx="100174" cy="9968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1270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436" name="Shape 26">
                  <a:extLst>
                    <a:ext uri="{FF2B5EF4-FFF2-40B4-BE49-F238E27FC236}">
                      <a16:creationId xmlns:a16="http://schemas.microsoft.com/office/drawing/2014/main" id="{FFE64E14-3430-5D4E-8DAE-BBE157D6A7CF}"/>
                    </a:ext>
                  </a:extLst>
                </xdr:cNvPr>
                <xdr:cNvSpPr/>
              </xdr:nvSpPr>
              <xdr:spPr>
                <a:xfrm flipH="1">
                  <a:off x="12038609" y="8034431"/>
                  <a:ext cx="212699" cy="1888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cxnSp macro="">
              <xdr:nvCxnSpPr>
                <xdr:cNvPr id="437" name="Straight Connector 436">
                  <a:extLst>
                    <a:ext uri="{FF2B5EF4-FFF2-40B4-BE49-F238E27FC236}">
                      <a16:creationId xmlns:a16="http://schemas.microsoft.com/office/drawing/2014/main" id="{AEE88425-C56C-3A4C-812B-B4AC2052CC7B}"/>
                    </a:ext>
                  </a:extLst>
                </xdr:cNvPr>
                <xdr:cNvCxnSpPr/>
              </xdr:nvCxnSpPr>
              <xdr:spPr>
                <a:xfrm>
                  <a:off x="12025239" y="6518173"/>
                  <a:ext cx="0" cy="1481046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8" name="Straight Connector 437">
                  <a:extLst>
                    <a:ext uri="{FF2B5EF4-FFF2-40B4-BE49-F238E27FC236}">
                      <a16:creationId xmlns:a16="http://schemas.microsoft.com/office/drawing/2014/main" id="{B2BF215F-C165-1747-8377-7D8E2FD94471}"/>
                    </a:ext>
                  </a:extLst>
                </xdr:cNvPr>
                <xdr:cNvCxnSpPr/>
              </xdr:nvCxnSpPr>
              <xdr:spPr>
                <a:xfrm flipH="1">
                  <a:off x="11918973" y="6789793"/>
                  <a:ext cx="256704" cy="188123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434" name="Straight Connector 433">
                <a:extLst>
                  <a:ext uri="{FF2B5EF4-FFF2-40B4-BE49-F238E27FC236}">
                    <a16:creationId xmlns:a16="http://schemas.microsoft.com/office/drawing/2014/main" id="{0ECFAC78-0C98-714B-93CC-F1C8F2307BB1}"/>
                  </a:ext>
                </a:extLst>
              </xdr:cNvPr>
              <xdr:cNvCxnSpPr/>
            </xdr:nvCxnSpPr>
            <xdr:spPr>
              <a:xfrm>
                <a:off x="12015485" y="8304168"/>
                <a:ext cx="0" cy="3956007"/>
              </a:xfrm>
              <a:prstGeom prst="line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16" name="Group 315">
              <a:extLst>
                <a:ext uri="{FF2B5EF4-FFF2-40B4-BE49-F238E27FC236}">
                  <a16:creationId xmlns:a16="http://schemas.microsoft.com/office/drawing/2014/main" id="{337A43FA-FE90-264A-AFC5-D76279ADD414}"/>
                </a:ext>
              </a:extLst>
            </xdr:cNvPr>
            <xdr:cNvGrpSpPr/>
          </xdr:nvGrpSpPr>
          <xdr:grpSpPr>
            <a:xfrm>
              <a:off x="12917444" y="9810251"/>
              <a:ext cx="3247256" cy="1272400"/>
              <a:chOff x="13782881" y="9716978"/>
              <a:chExt cx="3078731" cy="1287783"/>
            </a:xfrm>
          </xdr:grpSpPr>
          <xdr:grpSp>
            <xdr:nvGrpSpPr>
              <xdr:cNvPr id="326" name="Group 325">
                <a:extLst>
                  <a:ext uri="{FF2B5EF4-FFF2-40B4-BE49-F238E27FC236}">
                    <a16:creationId xmlns:a16="http://schemas.microsoft.com/office/drawing/2014/main" id="{59986BCA-0C9E-144B-B7B1-AD0FC6A76FA5}"/>
                  </a:ext>
                </a:extLst>
              </xdr:cNvPr>
              <xdr:cNvGrpSpPr/>
            </xdr:nvGrpSpPr>
            <xdr:grpSpPr>
              <a:xfrm>
                <a:off x="13787058" y="9716978"/>
                <a:ext cx="2756889" cy="1287783"/>
                <a:chOff x="9014280" y="3850532"/>
                <a:chExt cx="2829080" cy="1262101"/>
              </a:xfrm>
            </xdr:grpSpPr>
            <xdr:sp macro="" textlink="">
              <xdr:nvSpPr>
                <xdr:cNvPr id="329" name="Rectangle 328">
                  <a:extLst>
                    <a:ext uri="{FF2B5EF4-FFF2-40B4-BE49-F238E27FC236}">
                      <a16:creationId xmlns:a16="http://schemas.microsoft.com/office/drawing/2014/main" id="{70E9C277-F057-0847-99E2-3479B2649802}"/>
                    </a:ext>
                  </a:extLst>
                </xdr:cNvPr>
                <xdr:cNvSpPr/>
              </xdr:nvSpPr>
              <xdr:spPr>
                <a:xfrm>
                  <a:off x="11752759" y="5025958"/>
                  <a:ext cx="90601" cy="86675"/>
                </a:xfrm>
                <a:prstGeom prst="rect">
                  <a:avLst/>
                </a:prstGeom>
                <a:solidFill>
                  <a:schemeClr val="tx1"/>
                </a:solidFill>
                <a:ln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330" name="Group 329">
                  <a:extLst>
                    <a:ext uri="{FF2B5EF4-FFF2-40B4-BE49-F238E27FC236}">
                      <a16:creationId xmlns:a16="http://schemas.microsoft.com/office/drawing/2014/main" id="{B44E8D6A-D0C1-9E4A-B395-F6BDA30195DA}"/>
                    </a:ext>
                  </a:extLst>
                </xdr:cNvPr>
                <xdr:cNvGrpSpPr/>
              </xdr:nvGrpSpPr>
              <xdr:grpSpPr>
                <a:xfrm>
                  <a:off x="9014280" y="3850532"/>
                  <a:ext cx="2724109" cy="1227296"/>
                  <a:chOff x="9014280" y="3850532"/>
                  <a:chExt cx="2724109" cy="1227296"/>
                </a:xfrm>
              </xdr:grpSpPr>
              <xdr:grpSp>
                <xdr:nvGrpSpPr>
                  <xdr:cNvPr id="331" name="Group 330">
                    <a:extLst>
                      <a:ext uri="{FF2B5EF4-FFF2-40B4-BE49-F238E27FC236}">
                        <a16:creationId xmlns:a16="http://schemas.microsoft.com/office/drawing/2014/main" id="{0E8BE5BD-0D96-BF4D-8CD0-E4EF80C0B59F}"/>
                      </a:ext>
                    </a:extLst>
                  </xdr:cNvPr>
                  <xdr:cNvGrpSpPr/>
                </xdr:nvGrpSpPr>
                <xdr:grpSpPr>
                  <a:xfrm>
                    <a:off x="9773409" y="3850532"/>
                    <a:ext cx="1629570" cy="969122"/>
                    <a:chOff x="9773409" y="3850532"/>
                    <a:chExt cx="1629570" cy="969122"/>
                  </a:xfrm>
                </xdr:grpSpPr>
                <xdr:grpSp>
                  <xdr:nvGrpSpPr>
                    <xdr:cNvPr id="336" name="Group 335">
                      <a:extLst>
                        <a:ext uri="{FF2B5EF4-FFF2-40B4-BE49-F238E27FC236}">
                          <a16:creationId xmlns:a16="http://schemas.microsoft.com/office/drawing/2014/main" id="{00D5FB68-801C-5E44-A300-886D47287781}"/>
                        </a:ext>
                      </a:extLst>
                    </xdr:cNvPr>
                    <xdr:cNvGrpSpPr/>
                  </xdr:nvGrpSpPr>
                  <xdr:grpSpPr>
                    <a:xfrm>
                      <a:off x="11043409" y="3855114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420" name="Shape 5">
                        <a:extLst>
                          <a:ext uri="{FF2B5EF4-FFF2-40B4-BE49-F238E27FC236}">
                            <a16:creationId xmlns:a16="http://schemas.microsoft.com/office/drawing/2014/main" id="{FA57F050-73AF-6744-9382-972B2E2217CB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421" name="Shape 8">
                        <a:extLst>
                          <a:ext uri="{FF2B5EF4-FFF2-40B4-BE49-F238E27FC236}">
                            <a16:creationId xmlns:a16="http://schemas.microsoft.com/office/drawing/2014/main" id="{704D48FA-4BDE-ED48-BAB9-992AA71AAB8B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22" name="Group 421">
                        <a:extLst>
                          <a:ext uri="{FF2B5EF4-FFF2-40B4-BE49-F238E27FC236}">
                            <a16:creationId xmlns:a16="http://schemas.microsoft.com/office/drawing/2014/main" id="{EC9BAF74-1B4A-BC47-A285-D4F715AF5304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23" name="Shape 7">
                          <a:extLst>
                            <a:ext uri="{FF2B5EF4-FFF2-40B4-BE49-F238E27FC236}">
                              <a16:creationId xmlns:a16="http://schemas.microsoft.com/office/drawing/2014/main" id="{942C4692-DDAA-484D-8BC7-53B35F81D4DB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424" name="Group 423">
                          <a:extLst>
                            <a:ext uri="{FF2B5EF4-FFF2-40B4-BE49-F238E27FC236}">
                              <a16:creationId xmlns:a16="http://schemas.microsoft.com/office/drawing/2014/main" id="{F4E9C55E-0DF1-1546-9B6A-A9FD00A87537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426" name="Rectangle 425">
                            <a:extLst>
                              <a:ext uri="{FF2B5EF4-FFF2-40B4-BE49-F238E27FC236}">
                                <a16:creationId xmlns:a16="http://schemas.microsoft.com/office/drawing/2014/main" id="{4A3E7919-C39E-BE43-B6A0-6926A7629D39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427" name="Group 426">
                            <a:extLst>
                              <a:ext uri="{FF2B5EF4-FFF2-40B4-BE49-F238E27FC236}">
                                <a16:creationId xmlns:a16="http://schemas.microsoft.com/office/drawing/2014/main" id="{C1DC3936-6201-B641-9D7A-A7FB67FEBB79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428" name="Shape 46">
                              <a:extLst>
                                <a:ext uri="{FF2B5EF4-FFF2-40B4-BE49-F238E27FC236}">
                                  <a16:creationId xmlns:a16="http://schemas.microsoft.com/office/drawing/2014/main" id="{2355EB71-7C69-2947-B1AE-D23CFD8ED85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429" name="Rectangle 428">
                              <a:extLst>
                                <a:ext uri="{FF2B5EF4-FFF2-40B4-BE49-F238E27FC236}">
                                  <a16:creationId xmlns:a16="http://schemas.microsoft.com/office/drawing/2014/main" id="{3DCE4246-73A2-ED47-96B7-79CB53EF2507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430" name="Shape 46">
                              <a:extLst>
                                <a:ext uri="{FF2B5EF4-FFF2-40B4-BE49-F238E27FC236}">
                                  <a16:creationId xmlns:a16="http://schemas.microsoft.com/office/drawing/2014/main" id="{1A1D441B-AEB8-8D4C-8FAA-C6CA6976BEE6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431" name="Straight Connector 430">
                              <a:extLst>
                                <a:ext uri="{FF2B5EF4-FFF2-40B4-BE49-F238E27FC236}">
                                  <a16:creationId xmlns:a16="http://schemas.microsoft.com/office/drawing/2014/main" id="{89D99667-EA26-6C4D-902A-09929661B4C1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432" name="Straight Connector 431">
                              <a:extLst>
                                <a:ext uri="{FF2B5EF4-FFF2-40B4-BE49-F238E27FC236}">
                                  <a16:creationId xmlns:a16="http://schemas.microsoft.com/office/drawing/2014/main" id="{4B882594-1AF9-C64F-9374-4C4B99CC4E25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425" name="Shape 6">
                          <a:extLst>
                            <a:ext uri="{FF2B5EF4-FFF2-40B4-BE49-F238E27FC236}">
                              <a16:creationId xmlns:a16="http://schemas.microsoft.com/office/drawing/2014/main" id="{40F3BC93-D636-DF46-B017-373A1D5AAB05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337" name="Group 336">
                      <a:extLst>
                        <a:ext uri="{FF2B5EF4-FFF2-40B4-BE49-F238E27FC236}">
                          <a16:creationId xmlns:a16="http://schemas.microsoft.com/office/drawing/2014/main" id="{87109F42-AE3C-FC45-B568-66A0DA0E1A57}"/>
                        </a:ext>
                      </a:extLst>
                    </xdr:cNvPr>
                    <xdr:cNvGrpSpPr/>
                  </xdr:nvGrpSpPr>
                  <xdr:grpSpPr>
                    <a:xfrm>
                      <a:off x="9773409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407" name="Shape 5">
                        <a:extLst>
                          <a:ext uri="{FF2B5EF4-FFF2-40B4-BE49-F238E27FC236}">
                            <a16:creationId xmlns:a16="http://schemas.microsoft.com/office/drawing/2014/main" id="{FD70C62B-5805-0046-96F8-E6163BAA48BD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408" name="Shape 8">
                        <a:extLst>
                          <a:ext uri="{FF2B5EF4-FFF2-40B4-BE49-F238E27FC236}">
                            <a16:creationId xmlns:a16="http://schemas.microsoft.com/office/drawing/2014/main" id="{7C0DEC5F-C36F-3F41-9950-1618DC3ECA3D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409" name="Group 408">
                        <a:extLst>
                          <a:ext uri="{FF2B5EF4-FFF2-40B4-BE49-F238E27FC236}">
                            <a16:creationId xmlns:a16="http://schemas.microsoft.com/office/drawing/2014/main" id="{EA917228-71FC-C746-BDFB-AA70E70FF9B4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410" name="Shape 7">
                          <a:extLst>
                            <a:ext uri="{FF2B5EF4-FFF2-40B4-BE49-F238E27FC236}">
                              <a16:creationId xmlns:a16="http://schemas.microsoft.com/office/drawing/2014/main" id="{AE04A7FC-7E84-6548-A312-17B3B1BB815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411" name="Group 410">
                          <a:extLst>
                            <a:ext uri="{FF2B5EF4-FFF2-40B4-BE49-F238E27FC236}">
                              <a16:creationId xmlns:a16="http://schemas.microsoft.com/office/drawing/2014/main" id="{CF7F796B-33D7-9048-8F8C-970960F0D7AA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413" name="Rectangle 412">
                            <a:extLst>
                              <a:ext uri="{FF2B5EF4-FFF2-40B4-BE49-F238E27FC236}">
                                <a16:creationId xmlns:a16="http://schemas.microsoft.com/office/drawing/2014/main" id="{5151A082-23C5-DE42-8651-72A0F6E72CE6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414" name="Group 413">
                            <a:extLst>
                              <a:ext uri="{FF2B5EF4-FFF2-40B4-BE49-F238E27FC236}">
                                <a16:creationId xmlns:a16="http://schemas.microsoft.com/office/drawing/2014/main" id="{89CD1770-48C2-CA4D-86A1-3DA44B96FD97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415" name="Shape 46">
                              <a:extLst>
                                <a:ext uri="{FF2B5EF4-FFF2-40B4-BE49-F238E27FC236}">
                                  <a16:creationId xmlns:a16="http://schemas.microsoft.com/office/drawing/2014/main" id="{D3640051-D329-5B49-A94B-1ABFDC9B6865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416" name="Rectangle 415">
                              <a:extLst>
                                <a:ext uri="{FF2B5EF4-FFF2-40B4-BE49-F238E27FC236}">
                                  <a16:creationId xmlns:a16="http://schemas.microsoft.com/office/drawing/2014/main" id="{9D2AA604-E8E2-A64A-8F32-01C9F16CBFD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417" name="Shape 46">
                              <a:extLst>
                                <a:ext uri="{FF2B5EF4-FFF2-40B4-BE49-F238E27FC236}">
                                  <a16:creationId xmlns:a16="http://schemas.microsoft.com/office/drawing/2014/main" id="{1ED10E92-0D59-8442-A02E-E694AFE6740B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418" name="Straight Connector 417">
                              <a:extLst>
                                <a:ext uri="{FF2B5EF4-FFF2-40B4-BE49-F238E27FC236}">
                                  <a16:creationId xmlns:a16="http://schemas.microsoft.com/office/drawing/2014/main" id="{5FD6A5F6-E651-7740-9082-693A6252B13C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419" name="Straight Connector 418">
                              <a:extLst>
                                <a:ext uri="{FF2B5EF4-FFF2-40B4-BE49-F238E27FC236}">
                                  <a16:creationId xmlns:a16="http://schemas.microsoft.com/office/drawing/2014/main" id="{2FAE3E58-78AD-B74E-B199-D703F301D05F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412" name="Shape 6">
                          <a:extLst>
                            <a:ext uri="{FF2B5EF4-FFF2-40B4-BE49-F238E27FC236}">
                              <a16:creationId xmlns:a16="http://schemas.microsoft.com/office/drawing/2014/main" id="{E9BEB308-2FC1-8A4B-8E49-FBE11E4EF96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grpSp>
                  <xdr:nvGrpSpPr>
                    <xdr:cNvPr id="338" name="Group 337">
                      <a:extLst>
                        <a:ext uri="{FF2B5EF4-FFF2-40B4-BE49-F238E27FC236}">
                          <a16:creationId xmlns:a16="http://schemas.microsoft.com/office/drawing/2014/main" id="{90518039-9DC6-0A4A-86E5-7B00A6E8C189}"/>
                        </a:ext>
                      </a:extLst>
                    </xdr:cNvPr>
                    <xdr:cNvGrpSpPr/>
                  </xdr:nvGrpSpPr>
                  <xdr:grpSpPr>
                    <a:xfrm>
                      <a:off x="10268085" y="3850532"/>
                      <a:ext cx="359570" cy="964540"/>
                      <a:chOff x="5976919" y="875457"/>
                      <a:chExt cx="528506" cy="1417708"/>
                    </a:xfrm>
                  </xdr:grpSpPr>
                  <xdr:sp macro="" textlink="">
                    <xdr:nvSpPr>
                      <xdr:cNvPr id="342" name="Shape 5">
                        <a:extLst>
                          <a:ext uri="{FF2B5EF4-FFF2-40B4-BE49-F238E27FC236}">
                            <a16:creationId xmlns:a16="http://schemas.microsoft.com/office/drawing/2014/main" id="{5B905166-C7F6-8042-BAD2-952B842313EA}"/>
                          </a:ext>
                        </a:extLst>
                      </xdr:cNvPr>
                      <xdr:cNvSpPr/>
                    </xdr:nvSpPr>
                    <xdr:spPr>
                      <a:xfrm>
                        <a:off x="5985725" y="1892729"/>
                        <a:ext cx="510889" cy="400436"/>
                      </a:xfrm>
                      <a:prstGeom prst="line">
                        <a:avLst/>
                      </a:prstGeom>
                      <a:noFill/>
                      <a:ln w="6350" cap="flat">
                        <a:solidFill>
                          <a:srgbClr val="000000"/>
                        </a:solidFill>
                        <a:prstDash val="solid"/>
                        <a:miter lim="400000"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sp macro="" textlink="">
                    <xdr:nvSpPr>
                      <xdr:cNvPr id="343" name="Shape 8">
                        <a:extLst>
                          <a:ext uri="{FF2B5EF4-FFF2-40B4-BE49-F238E27FC236}">
                            <a16:creationId xmlns:a16="http://schemas.microsoft.com/office/drawing/2014/main" id="{BD9DD09F-76CB-C941-85E1-07859E2048DF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65923" y="2177865"/>
                        <a:ext cx="140766" cy="81907"/>
                      </a:xfrm>
                      <a:custGeom>
                        <a:avLst/>
                        <a:gdLst/>
                        <a:ahLst/>
                        <a:cxnLst>
                          <a:cxn ang="0">
                            <a:pos x="wd2" y="hd2"/>
                          </a:cxn>
                          <a:cxn ang="5400000">
                            <a:pos x="wd2" y="hd2"/>
                          </a:cxn>
                          <a:cxn ang="10800000">
                            <a:pos x="wd2" y="hd2"/>
                          </a:cxn>
                          <a:cxn ang="16200000">
                            <a:pos x="wd2" y="hd2"/>
                          </a:cxn>
                        </a:cxnLst>
                        <a:rect l="0" t="0" r="r" b="b"/>
                        <a:pathLst>
                          <a:path w="21600" h="21600" extrusionOk="0">
                            <a:moveTo>
                              <a:pt x="0" y="19200"/>
                            </a:moveTo>
                            <a:cubicBezTo>
                              <a:pt x="2057" y="9600"/>
                              <a:pt x="5143" y="0"/>
                              <a:pt x="7200" y="0"/>
                            </a:cubicBezTo>
                            <a:cubicBezTo>
                              <a:pt x="9257" y="0"/>
                              <a:pt x="12343" y="21600"/>
                              <a:pt x="14400" y="21600"/>
                            </a:cubicBezTo>
                            <a:cubicBezTo>
                              <a:pt x="16457" y="21600"/>
                              <a:pt x="20571" y="4800"/>
                              <a:pt x="21600" y="2400"/>
                            </a:cubicBezTo>
                          </a:path>
                        </a:pathLst>
                      </a:custGeom>
                      <a:noFill/>
                      <a:ln w="9525" cap="flat">
                        <a:solidFill>
                          <a:srgbClr val="000000"/>
                        </a:solidFill>
                        <a:prstDash val="solid"/>
                        <a:round/>
                      </a:ln>
                      <a:effectLst/>
                    </xdr:spPr>
                    <xdr:txBody>
                      <a:bodyPr/>
                      <a:lstStyle/>
                      <a:p>
                        <a:pPr lvl="0"/>
                        <a:endParaRPr/>
                      </a:p>
                    </xdr:txBody>
                  </xdr:sp>
                  <xdr:grpSp>
                    <xdr:nvGrpSpPr>
                      <xdr:cNvPr id="344" name="Group 343">
                        <a:extLst>
                          <a:ext uri="{FF2B5EF4-FFF2-40B4-BE49-F238E27FC236}">
                            <a16:creationId xmlns:a16="http://schemas.microsoft.com/office/drawing/2014/main" id="{45283AFF-E5AB-8F42-9C16-6C550BF84D4B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76919" y="875457"/>
                        <a:ext cx="528506" cy="1415685"/>
                        <a:chOff x="5976919" y="875457"/>
                        <a:chExt cx="528506" cy="1415685"/>
                      </a:xfrm>
                    </xdr:grpSpPr>
                    <xdr:sp macro="" textlink="">
                      <xdr:nvSpPr>
                        <xdr:cNvPr id="345" name="Shape 7">
                          <a:extLst>
                            <a:ext uri="{FF2B5EF4-FFF2-40B4-BE49-F238E27FC236}">
                              <a16:creationId xmlns:a16="http://schemas.microsoft.com/office/drawing/2014/main" id="{E61BC749-558D-434B-A45C-2C434BD72A39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75482" y="2006159"/>
                          <a:ext cx="153979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solid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  <xdr:grpSp>
                      <xdr:nvGrpSpPr>
                        <xdr:cNvPr id="346" name="Group 345">
                          <a:extLst>
                            <a:ext uri="{FF2B5EF4-FFF2-40B4-BE49-F238E27FC236}">
                              <a16:creationId xmlns:a16="http://schemas.microsoft.com/office/drawing/2014/main" id="{F2399873-9F10-FA40-BAA1-4C74B6AEB707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5976919" y="875457"/>
                          <a:ext cx="528506" cy="1415685"/>
                          <a:chOff x="5976919" y="875457"/>
                          <a:chExt cx="528506" cy="1415685"/>
                        </a:xfrm>
                      </xdr:grpSpPr>
                      <xdr:sp macro="" textlink="">
                        <xdr:nvSpPr>
                          <xdr:cNvPr id="348" name="Rectangle 347">
                            <a:extLst>
                              <a:ext uri="{FF2B5EF4-FFF2-40B4-BE49-F238E27FC236}">
                                <a16:creationId xmlns:a16="http://schemas.microsoft.com/office/drawing/2014/main" id="{C2CD0BFD-77F5-9349-8492-8B816AC4B053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5976919" y="1886661"/>
                            <a:ext cx="528506" cy="404481"/>
                          </a:xfrm>
                          <a:prstGeom prst="rect">
                            <a:avLst/>
                          </a:prstGeom>
                          <a:noFill/>
                          <a:ln w="635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rot="0" spcFirstLastPara="1" vertOverflow="overflow" horzOverflow="overflow" vert="horz" wrap="square" lIns="50800" tIns="50800" rIns="50800" bIns="50800" numCol="1" spcCol="38100" rtlCol="0" anchor="ctr">
                            <a:noAutofit/>
                          </a:bodyPr>
                          <a:lstStyle/>
                          <a:p>
                            <a:pPr marL="0" marR="0" indent="0" algn="ctr" defTabSz="457200" rtl="0" fontAlgn="auto" latinLnBrk="1" hangingPunct="0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</a:pPr>
                            <a:endParaRPr kumimoji="0" lang="en-GB" sz="1200" b="0" i="0" u="none" strike="noStrike" cap="none" spc="0" normalizeH="0" baseline="0">
                              <a:ln>
                                <a:noFill/>
                              </a:ln>
                              <a:solidFill>
                                <a:srgbClr val="FFFFFF"/>
                              </a:solidFill>
                              <a:effectLst>
                                <a:outerShdw blurRad="25400" dist="23998" dir="2700000" rotWithShape="0">
                                  <a:srgbClr val="000000">
                                    <a:alpha val="31034"/>
                                  </a:srgbClr>
                                </a:outerShdw>
                              </a:effectLst>
                              <a:uFillTx/>
                              <a:latin typeface="+mn-lt"/>
                              <a:ea typeface="+mn-ea"/>
                              <a:cs typeface="+mn-cs"/>
                              <a:sym typeface="Helvetica"/>
                            </a:endParaRPr>
                          </a:p>
                        </xdr:txBody>
                      </xdr:sp>
                      <xdr:grpSp>
                        <xdr:nvGrpSpPr>
                          <xdr:cNvPr id="401" name="Group 400">
                            <a:extLst>
                              <a:ext uri="{FF2B5EF4-FFF2-40B4-BE49-F238E27FC236}">
                                <a16:creationId xmlns:a16="http://schemas.microsoft.com/office/drawing/2014/main" id="{985B6F4F-E42A-AB45-9928-D2F2C8BB273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5976922" y="875457"/>
                            <a:ext cx="520060" cy="1014094"/>
                            <a:chOff x="5976922" y="875457"/>
                            <a:chExt cx="520060" cy="1014094"/>
                          </a:xfrm>
                        </xdr:grpSpPr>
                        <xdr:sp macro="" textlink="">
                          <xdr:nvSpPr>
                            <xdr:cNvPr id="402" name="Shape 46">
                              <a:extLst>
                                <a:ext uri="{FF2B5EF4-FFF2-40B4-BE49-F238E27FC236}">
                                  <a16:creationId xmlns:a16="http://schemas.microsoft.com/office/drawing/2014/main" id="{407D8734-DFA1-0C42-934B-8A7A35D970D7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flipH="1" flipV="1">
                              <a:off x="5976923" y="875457"/>
                              <a:ext cx="254940" cy="297419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sp macro="" textlink="">
                          <xdr:nvSpPr>
                            <xdr:cNvPr id="403" name="Rectangle 402">
                              <a:extLst>
                                <a:ext uri="{FF2B5EF4-FFF2-40B4-BE49-F238E27FC236}">
                                  <a16:creationId xmlns:a16="http://schemas.microsoft.com/office/drawing/2014/main" id="{41904A52-A154-CA4F-A0C3-FD5E0BF46163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5976922" y="878621"/>
                              <a:ext cx="511627" cy="805473"/>
                            </a:xfrm>
                            <a:prstGeom prst="rect">
                              <a:avLst/>
                            </a:prstGeom>
                            <a:noFill/>
                            <a:ln w="63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GB" sz="1100"/>
                            </a:p>
                          </xdr:txBody>
                        </xdr:sp>
                        <xdr:sp macro="" textlink="">
                          <xdr:nvSpPr>
                            <xdr:cNvPr id="404" name="Shape 46">
                              <a:extLst>
                                <a:ext uri="{FF2B5EF4-FFF2-40B4-BE49-F238E27FC236}">
                                  <a16:creationId xmlns:a16="http://schemas.microsoft.com/office/drawing/2014/main" id="{86295D17-5C77-A947-ACA0-24CC49C52607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040000" flipH="1" flipV="1">
                              <a:off x="6220345" y="891428"/>
                              <a:ext cx="279414" cy="273861"/>
                            </a:xfrm>
                            <a:prstGeom prst="line">
                              <a:avLst/>
                            </a:prstGeom>
                            <a:noFill/>
                            <a:ln w="9525" cap="flat">
                              <a:solidFill>
                                <a:srgbClr val="000000"/>
                              </a:solidFill>
                              <a:prstDash val="solid"/>
                              <a:round/>
                            </a:ln>
                            <a:effectLst/>
                          </xdr:spPr>
                          <xdr:txBody>
                            <a:bodyPr/>
                            <a:lstStyle/>
                            <a:p>
                              <a:pPr lvl="0"/>
                              <a:endParaRPr/>
                            </a:p>
                          </xdr:txBody>
                        </xdr:sp>
                        <xdr:cxnSp macro="">
                          <xdr:nvCxnSpPr>
                            <xdr:cNvPr id="405" name="Straight Connector 404">
                              <a:extLst>
                                <a:ext uri="{FF2B5EF4-FFF2-40B4-BE49-F238E27FC236}">
                                  <a16:creationId xmlns:a16="http://schemas.microsoft.com/office/drawing/2014/main" id="{E09CF4AC-36ED-1241-B8E9-57A1F139655B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143027" y="1684419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406" name="Straight Connector 405">
                              <a:extLst>
                                <a:ext uri="{FF2B5EF4-FFF2-40B4-BE49-F238E27FC236}">
                                  <a16:creationId xmlns:a16="http://schemas.microsoft.com/office/drawing/2014/main" id="{7C2D6D04-BA0F-CA4F-B9EF-3C06B4E13DE7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327249" y="1687310"/>
                              <a:ext cx="0" cy="202241"/>
                            </a:xfrm>
                            <a:prstGeom prst="line">
                              <a:avLst/>
                            </a:prstGeom>
                            <a:ln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</xdr:grpSp>
                    <xdr:sp macro="" textlink="">
                      <xdr:nvSpPr>
                        <xdr:cNvPr id="347" name="Shape 6">
                          <a:extLst>
                            <a:ext uri="{FF2B5EF4-FFF2-40B4-BE49-F238E27FC236}">
                              <a16:creationId xmlns:a16="http://schemas.microsoft.com/office/drawing/2014/main" id="{19D89811-7DD7-4F4D-AB7E-B362141092DD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6287662" y="1956312"/>
                          <a:ext cx="147372" cy="0"/>
                        </a:xfrm>
                        <a:prstGeom prst="line">
                          <a:avLst/>
                        </a:prstGeom>
                        <a:noFill/>
                        <a:ln w="9525" cap="flat">
                          <a:solidFill>
                            <a:srgbClr val="000000"/>
                          </a:solidFill>
                          <a:prstDash val="dash"/>
                          <a:round/>
                        </a:ln>
                        <a:effectLst/>
                      </xdr:spPr>
                      <xdr:txBody>
                        <a:bodyPr/>
                        <a:lstStyle/>
                        <a:p>
                          <a:pPr lvl="0"/>
                          <a:endParaRPr/>
                        </a:p>
                      </xdr:txBody>
                    </xdr:sp>
                  </xdr:grpSp>
                </xdr:grpSp>
                <xdr:sp macro="" textlink="">
                  <xdr:nvSpPr>
                    <xdr:cNvPr id="339" name="Shape 27">
                      <a:extLst>
                        <a:ext uri="{FF2B5EF4-FFF2-40B4-BE49-F238E27FC236}">
                          <a16:creationId xmlns:a16="http://schemas.microsoft.com/office/drawing/2014/main" id="{3EBBB096-FD89-004E-A7E4-57ED37C76EAC}"/>
                        </a:ext>
                      </a:extLst>
                    </xdr:cNvPr>
                    <xdr:cNvSpPr/>
                  </xdr:nvSpPr>
                  <xdr:spPr>
                    <a:xfrm>
                      <a:off x="10638097" y="421258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40" name="Shape 27">
                      <a:extLst>
                        <a:ext uri="{FF2B5EF4-FFF2-40B4-BE49-F238E27FC236}">
                          <a16:creationId xmlns:a16="http://schemas.microsoft.com/office/drawing/2014/main" id="{A47BCA17-661D-6646-9095-4EE851AC68A2}"/>
                        </a:ext>
                      </a:extLst>
                    </xdr:cNvPr>
                    <xdr:cNvSpPr/>
                  </xdr:nvSpPr>
                  <xdr:spPr>
                    <a:xfrm>
                      <a:off x="10763475" y="4216361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41" name="Shape 27">
                      <a:extLst>
                        <a:ext uri="{FF2B5EF4-FFF2-40B4-BE49-F238E27FC236}">
                          <a16:creationId xmlns:a16="http://schemas.microsoft.com/office/drawing/2014/main" id="{A4EBBE8A-CF22-D34A-8A91-09CBACF56FAB}"/>
                        </a:ext>
                      </a:extLst>
                    </xdr:cNvPr>
                    <xdr:cNvSpPr/>
                  </xdr:nvSpPr>
                  <xdr:spPr>
                    <a:xfrm>
                      <a:off x="10902364" y="4220140"/>
                      <a:ext cx="75217" cy="80841"/>
                    </a:xfrm>
                    <a:custGeom>
                      <a:avLst/>
                      <a:gdLst/>
                      <a:ahLst/>
                      <a:cxnLst>
                        <a:cxn ang="0">
                          <a:pos x="wd2" y="hd2"/>
                        </a:cxn>
                        <a:cxn ang="5400000">
                          <a:pos x="wd2" y="hd2"/>
                        </a:cxn>
                        <a:cxn ang="10800000">
                          <a:pos x="wd2" y="hd2"/>
                        </a:cxn>
                        <a:cxn ang="16200000">
                          <a:pos x="wd2" y="hd2"/>
                        </a:cxn>
                      </a:cxnLst>
                      <a:rect l="0" t="0" r="r" b="b"/>
                      <a:pathLst>
                        <a:path w="19679" h="19679" extrusionOk="0">
                          <a:moveTo>
                            <a:pt x="16796" y="2882"/>
                          </a:moveTo>
                          <a:cubicBezTo>
                            <a:pt x="20639" y="6724"/>
                            <a:pt x="20639" y="12954"/>
                            <a:pt x="16796" y="16796"/>
                          </a:cubicBezTo>
                          <a:cubicBezTo>
                            <a:pt x="12954" y="20639"/>
                            <a:pt x="6724" y="20639"/>
                            <a:pt x="2882" y="16796"/>
                          </a:cubicBezTo>
                          <a:cubicBezTo>
                            <a:pt x="-961" y="12954"/>
                            <a:pt x="-961" y="6724"/>
                            <a:pt x="2882" y="2882"/>
                          </a:cubicBezTo>
                          <a:cubicBezTo>
                            <a:pt x="6724" y="-961"/>
                            <a:pt x="12954" y="-961"/>
                            <a:pt x="16796" y="2882"/>
                          </a:cubicBezTo>
                          <a:close/>
                        </a:path>
                      </a:pathLst>
                    </a:custGeom>
                    <a:noFill/>
                    <a:ln w="6350" cap="flat">
                      <a:solidFill>
                        <a:schemeClr val="tx1"/>
                      </a:solidFill>
                      <a:prstDash val="solid"/>
                      <a:miter lim="400000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cxnSp macro="">
                <xdr:nvCxnSpPr>
                  <xdr:cNvPr id="332" name="Straight Connector 331">
                    <a:extLst>
                      <a:ext uri="{FF2B5EF4-FFF2-40B4-BE49-F238E27FC236}">
                        <a16:creationId xmlns:a16="http://schemas.microsoft.com/office/drawing/2014/main" id="{09A49CD9-4616-4C4B-965E-EAE9DAA61C31}"/>
                      </a:ext>
                    </a:extLst>
                  </xdr:cNvPr>
                  <xdr:cNvCxnSpPr/>
                </xdr:nvCxnSpPr>
                <xdr:spPr>
                  <a:xfrm>
                    <a:off x="9014280" y="5075080"/>
                    <a:ext cx="2724109" cy="0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33" name="Straight Connector 332">
                    <a:extLst>
                      <a:ext uri="{FF2B5EF4-FFF2-40B4-BE49-F238E27FC236}">
                        <a16:creationId xmlns:a16="http://schemas.microsoft.com/office/drawing/2014/main" id="{C0A63D43-524F-8241-A3B3-000DD697008F}"/>
                      </a:ext>
                    </a:extLst>
                  </xdr:cNvPr>
                  <xdr:cNvCxnSpPr/>
                </xdr:nvCxnSpPr>
                <xdr:spPr>
                  <a:xfrm>
                    <a:off x="9939320" y="481083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34" name="Straight Connector 333">
                    <a:extLst>
                      <a:ext uri="{FF2B5EF4-FFF2-40B4-BE49-F238E27FC236}">
                        <a16:creationId xmlns:a16="http://schemas.microsoft.com/office/drawing/2014/main" id="{FB135619-43B1-6F49-906F-8E09C3977973}"/>
                      </a:ext>
                    </a:extLst>
                  </xdr:cNvPr>
                  <xdr:cNvCxnSpPr/>
                </xdr:nvCxnSpPr>
                <xdr:spPr>
                  <a:xfrm>
                    <a:off x="10442999" y="4814611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35" name="Straight Connector 334">
                    <a:extLst>
                      <a:ext uri="{FF2B5EF4-FFF2-40B4-BE49-F238E27FC236}">
                        <a16:creationId xmlns:a16="http://schemas.microsoft.com/office/drawing/2014/main" id="{EFD0D683-4FC4-B141-9D45-95775ACFA7BB}"/>
                      </a:ext>
                    </a:extLst>
                  </xdr:cNvPr>
                  <xdr:cNvCxnSpPr/>
                </xdr:nvCxnSpPr>
                <xdr:spPr>
                  <a:xfrm>
                    <a:off x="11230405" y="4818392"/>
                    <a:ext cx="0" cy="259436"/>
                  </a:xfrm>
                  <a:prstGeom prst="line">
                    <a:avLst/>
                  </a:prstGeom>
                  <a:ln>
                    <a:solidFill>
                      <a:schemeClr val="tx1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">
            <xdr:nvSpPr>
              <xdr:cNvPr id="327" name="TextBox 326">
                <a:extLst>
                  <a:ext uri="{FF2B5EF4-FFF2-40B4-BE49-F238E27FC236}">
                    <a16:creationId xmlns:a16="http://schemas.microsoft.com/office/drawing/2014/main" id="{B240E7E6-4FE5-8B49-AB7F-69F6DB31A184}"/>
                  </a:ext>
                </a:extLst>
              </xdr:cNvPr>
              <xdr:cNvSpPr txBox="1"/>
            </xdr:nvSpPr>
            <xdr:spPr>
              <a:xfrm>
                <a:off x="13782881" y="10617330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Q-Cable</a:t>
                </a:r>
              </a:p>
            </xdr:txBody>
          </xdr:sp>
          <xdr:sp macro="" textlink="">
            <xdr:nvSpPr>
              <xdr:cNvPr id="328" name="TboxL2">
                <a:extLst>
                  <a:ext uri="{FF2B5EF4-FFF2-40B4-BE49-F238E27FC236}">
                    <a16:creationId xmlns:a16="http://schemas.microsoft.com/office/drawing/2014/main" id="{AC693259-7312-B448-BCD3-E30CA28E8B8B}"/>
                  </a:ext>
                </a:extLst>
              </xdr:cNvPr>
              <xdr:cNvSpPr txBox="1"/>
            </xdr:nvSpPr>
            <xdr:spPr>
              <a:xfrm>
                <a:off x="16149212" y="10544173"/>
                <a:ext cx="712400" cy="385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800"/>
                  <a:t>L3</a:t>
                </a:r>
              </a:p>
            </xdr:txBody>
          </xdr:sp>
        </xdr:grpSp>
        <xdr:grpSp>
          <xdr:nvGrpSpPr>
            <xdr:cNvPr id="317" name="Group 316">
              <a:extLst>
                <a:ext uri="{FF2B5EF4-FFF2-40B4-BE49-F238E27FC236}">
                  <a16:creationId xmlns:a16="http://schemas.microsoft.com/office/drawing/2014/main" id="{FFB348C2-7ED8-F14F-BED2-449DBB6428A4}"/>
                </a:ext>
              </a:extLst>
            </xdr:cNvPr>
            <xdr:cNvGrpSpPr/>
          </xdr:nvGrpSpPr>
          <xdr:grpSpPr>
            <a:xfrm>
              <a:off x="12099042" y="10834545"/>
              <a:ext cx="960038" cy="965213"/>
              <a:chOff x="12247446" y="11423625"/>
              <a:chExt cx="925593" cy="940996"/>
            </a:xfrm>
          </xdr:grpSpPr>
          <xdr:sp macro="" textlink="">
            <xdr:nvSpPr>
              <xdr:cNvPr id="318" name="Rectangle 317">
                <a:extLst>
                  <a:ext uri="{FF2B5EF4-FFF2-40B4-BE49-F238E27FC236}">
                    <a16:creationId xmlns:a16="http://schemas.microsoft.com/office/drawing/2014/main" id="{97F3211D-5F91-6842-8498-B67C2F9848E3}"/>
                  </a:ext>
                </a:extLst>
              </xdr:cNvPr>
              <xdr:cNvSpPr/>
            </xdr:nvSpPr>
            <xdr:spPr>
              <a:xfrm>
                <a:off x="12269276" y="11423625"/>
                <a:ext cx="797179" cy="440628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  <xdr:grpSp>
            <xdr:nvGrpSpPr>
              <xdr:cNvPr id="319" name="Group 318">
                <a:extLst>
                  <a:ext uri="{FF2B5EF4-FFF2-40B4-BE49-F238E27FC236}">
                    <a16:creationId xmlns:a16="http://schemas.microsoft.com/office/drawing/2014/main" id="{4AF8A588-D787-B248-962D-3508B450C45A}"/>
                  </a:ext>
                </a:extLst>
              </xdr:cNvPr>
              <xdr:cNvGrpSpPr/>
            </xdr:nvGrpSpPr>
            <xdr:grpSpPr>
              <a:xfrm>
                <a:off x="12247446" y="11495767"/>
                <a:ext cx="925593" cy="868854"/>
                <a:chOff x="12308421" y="11553000"/>
                <a:chExt cx="930700" cy="872986"/>
              </a:xfrm>
            </xdr:grpSpPr>
            <xdr:cxnSp macro="">
              <xdr:nvCxnSpPr>
                <xdr:cNvPr id="320" name="Straight Connector 319">
                  <a:extLst>
                    <a:ext uri="{FF2B5EF4-FFF2-40B4-BE49-F238E27FC236}">
                      <a16:creationId xmlns:a16="http://schemas.microsoft.com/office/drawing/2014/main" id="{F0780FC7-404C-384D-9214-DF66CD223BCE}"/>
                    </a:ext>
                  </a:extLst>
                </xdr:cNvPr>
                <xdr:cNvCxnSpPr>
                  <a:cxnSpLocks/>
                  <a:endCxn id="318" idx="3"/>
                </xdr:cNvCxnSpPr>
              </xdr:nvCxnSpPr>
              <xdr:spPr>
                <a:xfrm>
                  <a:off x="12880218" y="11700755"/>
                  <a:ext cx="25013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21" name="Straight Connector 320">
                  <a:extLst>
                    <a:ext uri="{FF2B5EF4-FFF2-40B4-BE49-F238E27FC236}">
                      <a16:creationId xmlns:a16="http://schemas.microsoft.com/office/drawing/2014/main" id="{EA23E525-B04A-984D-8858-EBBE65F1A0FC}"/>
                    </a:ext>
                  </a:extLst>
                </xdr:cNvPr>
                <xdr:cNvCxnSpPr>
                  <a:cxnSpLocks/>
                  <a:stCxn id="318" idx="1"/>
                </xdr:cNvCxnSpPr>
              </xdr:nvCxnSpPr>
              <xdr:spPr>
                <a:xfrm>
                  <a:off x="12334247" y="11700756"/>
                  <a:ext cx="235959" cy="0"/>
                </a:xfrm>
                <a:prstGeom prst="line">
                  <a:avLst/>
                </a:prstGeom>
                <a:ln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322" name="Shape 27">
                  <a:extLst>
                    <a:ext uri="{FF2B5EF4-FFF2-40B4-BE49-F238E27FC236}">
                      <a16:creationId xmlns:a16="http://schemas.microsoft.com/office/drawing/2014/main" id="{4B599786-3B09-C84C-A1DC-A2D3E5789A41}"/>
                    </a:ext>
                  </a:extLst>
                </xdr:cNvPr>
                <xdr:cNvSpPr/>
              </xdr:nvSpPr>
              <xdr:spPr>
                <a:xfrm>
                  <a:off x="12554616" y="11653881"/>
                  <a:ext cx="88419" cy="76228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23" name="Shape 26">
                  <a:extLst>
                    <a:ext uri="{FF2B5EF4-FFF2-40B4-BE49-F238E27FC236}">
                      <a16:creationId xmlns:a16="http://schemas.microsoft.com/office/drawing/2014/main" id="{77298D35-1FA0-6C4B-AAED-132F55950345}"/>
                    </a:ext>
                  </a:extLst>
                </xdr:cNvPr>
                <xdr:cNvSpPr/>
              </xdr:nvSpPr>
              <xdr:spPr>
                <a:xfrm flipH="1" flipV="1">
                  <a:off x="12613774" y="11553000"/>
                  <a:ext cx="185088" cy="109345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24" name="TextBox 323">
                  <a:extLst>
                    <a:ext uri="{FF2B5EF4-FFF2-40B4-BE49-F238E27FC236}">
                      <a16:creationId xmlns:a16="http://schemas.microsoft.com/office/drawing/2014/main" id="{B4480C3F-DBA0-D84E-926B-68CA6FBF8735}"/>
                    </a:ext>
                  </a:extLst>
                </xdr:cNvPr>
                <xdr:cNvSpPr txBox="1"/>
              </xdr:nvSpPr>
              <xdr:spPr>
                <a:xfrm>
                  <a:off x="12308421" y="11753719"/>
                  <a:ext cx="930700" cy="67226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en-GB" sz="800"/>
                    <a:t>Inverter Supply</a:t>
                  </a:r>
                </a:p>
                <a:p>
                  <a:pPr algn="ctr"/>
                  <a:r>
                    <a:rPr lang="en-GB" sz="800"/>
                    <a:t>A.C. Isolator</a:t>
                  </a:r>
                </a:p>
              </xdr:txBody>
            </xdr:sp>
            <xdr:sp macro="" textlink="">
              <xdr:nvSpPr>
                <xdr:cNvPr id="325" name="Shape 27">
                  <a:extLst>
                    <a:ext uri="{FF2B5EF4-FFF2-40B4-BE49-F238E27FC236}">
                      <a16:creationId xmlns:a16="http://schemas.microsoft.com/office/drawing/2014/main" id="{5F72597A-8F26-0847-972C-5F83787568F9}"/>
                    </a:ext>
                  </a:extLst>
                </xdr:cNvPr>
                <xdr:cNvSpPr/>
              </xdr:nvSpPr>
              <xdr:spPr>
                <a:xfrm>
                  <a:off x="12784205" y="11660585"/>
                  <a:ext cx="88420" cy="78404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rgbClr val="53585F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</xdr:grpSp>
      </xdr:grpSp>
      <xdr:cxnSp macro="">
        <xdr:nvCxnSpPr>
          <xdr:cNvPr id="314" name="Straight Connector 313">
            <a:extLst>
              <a:ext uri="{FF2B5EF4-FFF2-40B4-BE49-F238E27FC236}">
                <a16:creationId xmlns:a16="http://schemas.microsoft.com/office/drawing/2014/main" id="{130DF23A-B3C3-C849-A914-5ECBF11BA910}"/>
              </a:ext>
            </a:extLst>
          </xdr:cNvPr>
          <xdr:cNvCxnSpPr/>
        </xdr:nvCxnSpPr>
        <xdr:spPr>
          <a:xfrm flipH="1">
            <a:off x="10729055" y="10801094"/>
            <a:ext cx="158960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217411</xdr:colOff>
      <xdr:row>28</xdr:row>
      <xdr:rowOff>33867</xdr:rowOff>
    </xdr:from>
    <xdr:to>
      <xdr:col>19</xdr:col>
      <xdr:colOff>217411</xdr:colOff>
      <xdr:row>36</xdr:row>
      <xdr:rowOff>31234</xdr:rowOff>
    </xdr:to>
    <xdr:cxnSp macro="">
      <xdr:nvCxnSpPr>
        <xdr:cNvPr id="439" name="Straight Connector 438">
          <a:extLst>
            <a:ext uri="{FF2B5EF4-FFF2-40B4-BE49-F238E27FC236}">
              <a16:creationId xmlns:a16="http://schemas.microsoft.com/office/drawing/2014/main" id="{3AEA627A-CCD0-1A49-B58E-1966E59E3026}"/>
            </a:ext>
          </a:extLst>
        </xdr:cNvPr>
        <xdr:cNvCxnSpPr/>
      </xdr:nvCxnSpPr>
      <xdr:spPr>
        <a:xfrm>
          <a:off x="5043411" y="5723467"/>
          <a:ext cx="0" cy="1622967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202523</xdr:colOff>
      <xdr:row>28</xdr:row>
      <xdr:rowOff>38717</xdr:rowOff>
    </xdr:from>
    <xdr:to>
      <xdr:col>26</xdr:col>
      <xdr:colOff>211667</xdr:colOff>
      <xdr:row>28</xdr:row>
      <xdr:rowOff>38717</xdr:rowOff>
    </xdr:to>
    <xdr:cxnSp macro="">
      <xdr:nvCxnSpPr>
        <xdr:cNvPr id="440" name="Straight Connector 439">
          <a:extLst>
            <a:ext uri="{FF2B5EF4-FFF2-40B4-BE49-F238E27FC236}">
              <a16:creationId xmlns:a16="http://schemas.microsoft.com/office/drawing/2014/main" id="{6617F7C0-AB1E-3043-AB41-BCCE33679C7A}"/>
            </a:ext>
          </a:extLst>
        </xdr:cNvPr>
        <xdr:cNvCxnSpPr/>
      </xdr:nvCxnSpPr>
      <xdr:spPr>
        <a:xfrm flipH="1">
          <a:off x="5028523" y="5728317"/>
          <a:ext cx="1787144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211203</xdr:colOff>
      <xdr:row>27</xdr:row>
      <xdr:rowOff>78562</xdr:rowOff>
    </xdr:from>
    <xdr:to>
      <xdr:col>28</xdr:col>
      <xdr:colOff>37203</xdr:colOff>
      <xdr:row>28</xdr:row>
      <xdr:rowOff>45137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B24CFA7D-2D2B-814B-9A30-5076A0DD1922}"/>
            </a:ext>
          </a:extLst>
        </xdr:cNvPr>
        <xdr:cNvGrpSpPr/>
      </xdr:nvGrpSpPr>
      <xdr:grpSpPr>
        <a:xfrm>
          <a:off x="6815203" y="5564962"/>
          <a:ext cx="334000" cy="169775"/>
          <a:chOff x="10817680" y="7023878"/>
          <a:chExt cx="333698" cy="170683"/>
        </a:xfrm>
      </xdr:grpSpPr>
      <xdr:cxnSp macro="">
        <xdr:nvCxnSpPr>
          <xdr:cNvPr id="442" name="Straight Connector 441">
            <a:extLst>
              <a:ext uri="{FF2B5EF4-FFF2-40B4-BE49-F238E27FC236}">
                <a16:creationId xmlns:a16="http://schemas.microsoft.com/office/drawing/2014/main" id="{35496F0D-A05D-C643-BB50-A6FD477F6576}"/>
              </a:ext>
            </a:extLst>
          </xdr:cNvPr>
          <xdr:cNvCxnSpPr/>
        </xdr:nvCxnSpPr>
        <xdr:spPr>
          <a:xfrm flipH="1">
            <a:off x="10820918" y="7187925"/>
            <a:ext cx="330460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4F3DAB45-19A8-CC47-9A75-76810EBFFA24}"/>
              </a:ext>
            </a:extLst>
          </xdr:cNvPr>
          <xdr:cNvCxnSpPr/>
        </xdr:nvCxnSpPr>
        <xdr:spPr>
          <a:xfrm flipV="1">
            <a:off x="11149906" y="7027117"/>
            <a:ext cx="0" cy="158605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4" name="Straight Connector 443">
            <a:extLst>
              <a:ext uri="{FF2B5EF4-FFF2-40B4-BE49-F238E27FC236}">
                <a16:creationId xmlns:a16="http://schemas.microsoft.com/office/drawing/2014/main" id="{B2668389-ABDC-A541-9A6D-86BFF1E1AE2C}"/>
              </a:ext>
            </a:extLst>
          </xdr:cNvPr>
          <xdr:cNvCxnSpPr/>
        </xdr:nvCxnSpPr>
        <xdr:spPr>
          <a:xfrm flipV="1">
            <a:off x="10818999" y="7023878"/>
            <a:ext cx="0" cy="170683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5" name="Straight Connector 444">
            <a:extLst>
              <a:ext uri="{FF2B5EF4-FFF2-40B4-BE49-F238E27FC236}">
                <a16:creationId xmlns:a16="http://schemas.microsoft.com/office/drawing/2014/main" id="{16A20653-B50A-1A46-8DFC-F3E0C15DD9B2}"/>
              </a:ext>
            </a:extLst>
          </xdr:cNvPr>
          <xdr:cNvCxnSpPr/>
        </xdr:nvCxnSpPr>
        <xdr:spPr>
          <a:xfrm flipH="1">
            <a:off x="10817680" y="7025788"/>
            <a:ext cx="327218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27</xdr:col>
      <xdr:colOff>61716</xdr:colOff>
      <xdr:row>26</xdr:row>
      <xdr:rowOff>176703</xdr:rowOff>
    </xdr:from>
    <xdr:to>
      <xdr:col>30</xdr:col>
      <xdr:colOff>63484</xdr:colOff>
      <xdr:row>28</xdr:row>
      <xdr:rowOff>142650</xdr:rowOff>
    </xdr:to>
    <xdr:sp macro="" textlink="">
      <xdr:nvSpPr>
        <xdr:cNvPr id="446" name="TboxL2">
          <a:extLst>
            <a:ext uri="{FF2B5EF4-FFF2-40B4-BE49-F238E27FC236}">
              <a16:creationId xmlns:a16="http://schemas.microsoft.com/office/drawing/2014/main" id="{574CDA18-12A6-2042-B2DC-925FC2917029}"/>
            </a:ext>
          </a:extLst>
        </xdr:cNvPr>
        <xdr:cNvSpPr txBox="1"/>
      </xdr:nvSpPr>
      <xdr:spPr>
        <a:xfrm>
          <a:off x="6919716" y="5459903"/>
          <a:ext cx="763768" cy="3723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800"/>
            <a:t>PV</a:t>
          </a:r>
          <a:r>
            <a:rPr lang="en-GB" sz="800" baseline="0"/>
            <a:t> CT</a:t>
          </a:r>
          <a:endParaRPr lang="en-GB" sz="800"/>
        </a:p>
      </xdr:txBody>
    </xdr:sp>
    <xdr:clientData/>
  </xdr:twoCellAnchor>
  <xdr:twoCellAnchor>
    <xdr:from>
      <xdr:col>21</xdr:col>
      <xdr:colOff>198806</xdr:colOff>
      <xdr:row>23</xdr:row>
      <xdr:rowOff>37109</xdr:rowOff>
    </xdr:from>
    <xdr:to>
      <xdr:col>22</xdr:col>
      <xdr:colOff>49835</xdr:colOff>
      <xdr:row>23</xdr:row>
      <xdr:rowOff>140093</xdr:rowOff>
    </xdr:to>
    <xdr:sp macro="" textlink="">
      <xdr:nvSpPr>
        <xdr:cNvPr id="447" name="Shape 27">
          <a:extLst>
            <a:ext uri="{FF2B5EF4-FFF2-40B4-BE49-F238E27FC236}">
              <a16:creationId xmlns:a16="http://schemas.microsoft.com/office/drawing/2014/main" id="{F8ACDA70-434C-DC49-9012-D552821DEB1E}"/>
            </a:ext>
          </a:extLst>
        </xdr:cNvPr>
        <xdr:cNvSpPr/>
      </xdr:nvSpPr>
      <xdr:spPr>
        <a:xfrm>
          <a:off x="5532806" y="4710709"/>
          <a:ext cx="105029" cy="102984"/>
        </a:xfrm>
        <a:custGeom>
          <a:avLst/>
          <a:gdLst/>
          <a:ahLst/>
          <a:cxnLst>
            <a:cxn ang="0">
              <a:pos x="wd2" y="hd2"/>
            </a:cxn>
            <a:cxn ang="5400000">
              <a:pos x="wd2" y="hd2"/>
            </a:cxn>
            <a:cxn ang="10800000">
              <a:pos x="wd2" y="hd2"/>
            </a:cxn>
            <a:cxn ang="16200000">
              <a:pos x="wd2" y="hd2"/>
            </a:cxn>
          </a:cxnLst>
          <a:rect l="0" t="0" r="r" b="b"/>
          <a:pathLst>
            <a:path w="19679" h="19679" extrusionOk="0">
              <a:moveTo>
                <a:pt x="16796" y="2882"/>
              </a:moveTo>
              <a:cubicBezTo>
                <a:pt x="20639" y="6724"/>
                <a:pt x="20639" y="12954"/>
                <a:pt x="16796" y="16796"/>
              </a:cubicBezTo>
              <a:cubicBezTo>
                <a:pt x="12954" y="20639"/>
                <a:pt x="6724" y="20639"/>
                <a:pt x="2882" y="16796"/>
              </a:cubicBezTo>
              <a:cubicBezTo>
                <a:pt x="-961" y="12954"/>
                <a:pt x="-961" y="6724"/>
                <a:pt x="2882" y="2882"/>
              </a:cubicBezTo>
              <a:cubicBezTo>
                <a:pt x="6724" y="-961"/>
                <a:pt x="12954" y="-961"/>
                <a:pt x="16796" y="2882"/>
              </a:cubicBezTo>
              <a:close/>
            </a:path>
          </a:pathLst>
        </a:custGeom>
        <a:noFill/>
        <a:ln w="12700" cap="flat">
          <a:solidFill>
            <a:srgbClr val="53585F"/>
          </a:solidFill>
          <a:prstDash val="solid"/>
          <a:miter lim="400000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26</xdr:col>
      <xdr:colOff>118533</xdr:colOff>
      <xdr:row>28</xdr:row>
      <xdr:rowOff>84666</xdr:rowOff>
    </xdr:from>
    <xdr:to>
      <xdr:col>28</xdr:col>
      <xdr:colOff>80433</xdr:colOff>
      <xdr:row>33</xdr:row>
      <xdr:rowOff>122766</xdr:rowOff>
    </xdr:to>
    <xdr:sp macro="" textlink="">
      <xdr:nvSpPr>
        <xdr:cNvPr id="449" name="TextBox 448">
          <a:extLst>
            <a:ext uri="{FF2B5EF4-FFF2-40B4-BE49-F238E27FC236}">
              <a16:creationId xmlns:a16="http://schemas.microsoft.com/office/drawing/2014/main" id="{56D8EEC4-F678-1D4E-91C6-7F429A9BFEC5}"/>
            </a:ext>
          </a:extLst>
        </xdr:cNvPr>
        <xdr:cNvSpPr txBox="1"/>
      </xdr:nvSpPr>
      <xdr:spPr>
        <a:xfrm rot="16200000">
          <a:off x="6430433" y="6066366"/>
          <a:ext cx="10541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21</xdr:col>
      <xdr:colOff>16933</xdr:colOff>
      <xdr:row>28</xdr:row>
      <xdr:rowOff>50800</xdr:rowOff>
    </xdr:from>
    <xdr:to>
      <xdr:col>22</xdr:col>
      <xdr:colOff>232833</xdr:colOff>
      <xdr:row>33</xdr:row>
      <xdr:rowOff>88900</xdr:rowOff>
    </xdr:to>
    <xdr:sp macro="" textlink="">
      <xdr:nvSpPr>
        <xdr:cNvPr id="450" name="TextBox 449">
          <a:extLst>
            <a:ext uri="{FF2B5EF4-FFF2-40B4-BE49-F238E27FC236}">
              <a16:creationId xmlns:a16="http://schemas.microsoft.com/office/drawing/2014/main" id="{FF5E084F-A2C2-B24C-BC65-2BDAFE04B0EA}"/>
            </a:ext>
          </a:extLst>
        </xdr:cNvPr>
        <xdr:cNvSpPr txBox="1"/>
      </xdr:nvSpPr>
      <xdr:spPr>
        <a:xfrm rot="16200000">
          <a:off x="5058833" y="6032500"/>
          <a:ext cx="10541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6mm</a:t>
          </a:r>
          <a:r>
            <a:rPr lang="en-GB" sz="1100" baseline="0"/>
            <a:t> 2C+E</a:t>
          </a:r>
          <a:endParaRPr lang="en-GB" sz="1100"/>
        </a:p>
      </xdr:txBody>
    </xdr:sp>
    <xdr:clientData/>
  </xdr:twoCellAnchor>
  <xdr:twoCellAnchor>
    <xdr:from>
      <xdr:col>31</xdr:col>
      <xdr:colOff>245533</xdr:colOff>
      <xdr:row>37</xdr:row>
      <xdr:rowOff>23769</xdr:rowOff>
    </xdr:from>
    <xdr:to>
      <xdr:col>43</xdr:col>
      <xdr:colOff>237066</xdr:colOff>
      <xdr:row>45</xdr:row>
      <xdr:rowOff>41965</xdr:rowOff>
    </xdr:to>
    <xdr:sp macro="" textlink="">
      <xdr:nvSpPr>
        <xdr:cNvPr id="451" name="Dash1">
          <a:extLst>
            <a:ext uri="{FF2B5EF4-FFF2-40B4-BE49-F238E27FC236}">
              <a16:creationId xmlns:a16="http://schemas.microsoft.com/office/drawing/2014/main" id="{FA53ADD2-A8C8-0B4E-9538-FC66F8967015}"/>
            </a:ext>
          </a:extLst>
        </xdr:cNvPr>
        <xdr:cNvSpPr/>
      </xdr:nvSpPr>
      <xdr:spPr>
        <a:xfrm>
          <a:off x="8119533" y="7542169"/>
          <a:ext cx="3039533" cy="1643796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38"/>
  <sheetViews>
    <sheetView topLeftCell="A8" zoomScale="99" workbookViewId="0">
      <selection activeCell="E20" sqref="E20"/>
    </sheetView>
  </sheetViews>
  <sheetFormatPr baseColWidth="10" defaultRowHeight="16" x14ac:dyDescent="0.2"/>
  <cols>
    <col min="1" max="1" width="22.1640625" style="85" customWidth="1"/>
    <col min="2" max="2" width="37.1640625" style="28" customWidth="1"/>
    <col min="3" max="3" width="19.1640625" style="28" customWidth="1"/>
    <col min="4" max="4" width="19.83203125" style="28" customWidth="1"/>
    <col min="5" max="5" width="16.6640625" style="62" customWidth="1"/>
    <col min="6" max="6" width="18" style="67" customWidth="1"/>
    <col min="7" max="7" width="21.1640625" style="67" customWidth="1"/>
    <col min="8" max="8" width="15.5" style="85" customWidth="1"/>
  </cols>
  <sheetData>
    <row r="1" spans="1:8" x14ac:dyDescent="0.2">
      <c r="A1" s="125" t="s">
        <v>63</v>
      </c>
      <c r="B1" s="125"/>
      <c r="C1" s="91"/>
    </row>
    <row r="2" spans="1:8" x14ac:dyDescent="0.2">
      <c r="A2" s="63" t="s">
        <v>64</v>
      </c>
      <c r="B2" s="63">
        <v>26476</v>
      </c>
      <c r="C2" s="88"/>
    </row>
    <row r="3" spans="1:8" ht="34" x14ac:dyDescent="0.2">
      <c r="A3" s="64" t="s">
        <v>66</v>
      </c>
      <c r="B3" s="64" t="s">
        <v>148</v>
      </c>
      <c r="C3" s="88"/>
    </row>
    <row r="4" spans="1:8" ht="24" customHeight="1" x14ac:dyDescent="0.2">
      <c r="A4" s="63" t="s">
        <v>65</v>
      </c>
      <c r="B4" s="63" t="s">
        <v>149</v>
      </c>
      <c r="C4" s="88"/>
    </row>
    <row r="5" spans="1:8" x14ac:dyDescent="0.2">
      <c r="A5" s="63" t="s">
        <v>49</v>
      </c>
      <c r="B5" s="63">
        <v>3</v>
      </c>
      <c r="C5" s="88"/>
    </row>
    <row r="6" spans="1:8" x14ac:dyDescent="0.2">
      <c r="A6" s="91"/>
      <c r="B6" s="91"/>
      <c r="C6" s="84"/>
    </row>
    <row r="7" spans="1:8" x14ac:dyDescent="0.2">
      <c r="A7" s="91"/>
      <c r="B7" s="91"/>
    </row>
    <row r="8" spans="1:8" x14ac:dyDescent="0.2">
      <c r="A8" s="91"/>
      <c r="B8" s="91"/>
    </row>
    <row r="10" spans="1:8" x14ac:dyDescent="0.2">
      <c r="A10" s="126" t="s">
        <v>72</v>
      </c>
      <c r="B10" s="127"/>
      <c r="C10" s="84"/>
      <c r="D10" s="84"/>
      <c r="E10" s="86"/>
      <c r="F10" s="88"/>
    </row>
    <row r="11" spans="1:8" x14ac:dyDescent="0.2">
      <c r="A11" s="87" t="s">
        <v>67</v>
      </c>
      <c r="B11" s="66" t="s">
        <v>150</v>
      </c>
      <c r="C11" s="84"/>
      <c r="D11" s="84"/>
      <c r="E11" s="86"/>
      <c r="F11" s="88"/>
      <c r="G11" s="88"/>
      <c r="H11" s="88"/>
    </row>
    <row r="12" spans="1:8" x14ac:dyDescent="0.2">
      <c r="A12" s="87" t="s">
        <v>68</v>
      </c>
      <c r="B12" s="66" t="s">
        <v>62</v>
      </c>
      <c r="C12" s="84"/>
      <c r="D12" s="84"/>
      <c r="E12" s="86"/>
      <c r="F12" s="88"/>
      <c r="G12" s="88"/>
      <c r="H12" s="88"/>
    </row>
    <row r="13" spans="1:8" x14ac:dyDescent="0.2">
      <c r="A13" s="87" t="s">
        <v>69</v>
      </c>
      <c r="B13" s="66">
        <v>22</v>
      </c>
      <c r="C13" s="89"/>
      <c r="D13" s="89"/>
      <c r="E13" s="89"/>
      <c r="F13" s="83"/>
      <c r="G13" s="83"/>
      <c r="H13" s="84"/>
    </row>
    <row r="14" spans="1:8" x14ac:dyDescent="0.2">
      <c r="A14" s="63" t="s">
        <v>73</v>
      </c>
      <c r="B14" s="66">
        <v>365</v>
      </c>
    </row>
    <row r="15" spans="1:8" x14ac:dyDescent="0.2">
      <c r="A15" s="63" t="s">
        <v>74</v>
      </c>
      <c r="B15" s="65">
        <v>41.7</v>
      </c>
      <c r="D15" s="125" t="s">
        <v>76</v>
      </c>
      <c r="E15" s="125"/>
    </row>
    <row r="16" spans="1:8" x14ac:dyDescent="0.2">
      <c r="A16" s="63" t="s">
        <v>75</v>
      </c>
      <c r="B16" s="65">
        <v>10.88</v>
      </c>
      <c r="C16" s="90"/>
      <c r="D16" s="63" t="s">
        <v>70</v>
      </c>
      <c r="E16" s="63" t="s">
        <v>77</v>
      </c>
      <c r="F16" s="90"/>
    </row>
    <row r="17" spans="1:6" x14ac:dyDescent="0.2">
      <c r="B17" s="90"/>
      <c r="C17" s="90"/>
      <c r="D17" s="63" t="s">
        <v>71</v>
      </c>
      <c r="E17" s="63" t="s">
        <v>78</v>
      </c>
      <c r="F17" s="90"/>
    </row>
    <row r="18" spans="1:6" x14ac:dyDescent="0.2">
      <c r="A18" s="125" t="s">
        <v>76</v>
      </c>
      <c r="B18" s="125"/>
      <c r="C18" s="90"/>
      <c r="D18" s="63" t="s">
        <v>134</v>
      </c>
      <c r="E18" s="63">
        <v>1</v>
      </c>
      <c r="F18" s="90"/>
    </row>
    <row r="19" spans="1:6" x14ac:dyDescent="0.2">
      <c r="A19" s="63" t="s">
        <v>70</v>
      </c>
      <c r="B19" s="63" t="s">
        <v>151</v>
      </c>
      <c r="C19" s="90"/>
      <c r="D19" s="63" t="s">
        <v>135</v>
      </c>
      <c r="E19" s="63">
        <v>22</v>
      </c>
      <c r="F19" s="90"/>
    </row>
    <row r="20" spans="1:6" ht="16" customHeight="1" x14ac:dyDescent="0.2">
      <c r="A20" s="63" t="s">
        <v>71</v>
      </c>
      <c r="B20" s="63" t="s">
        <v>117</v>
      </c>
      <c r="C20" s="90"/>
      <c r="D20" s="63" t="s">
        <v>37</v>
      </c>
      <c r="E20" s="63">
        <v>4</v>
      </c>
      <c r="F20" s="90"/>
    </row>
    <row r="21" spans="1:6" ht="16" customHeight="1" x14ac:dyDescent="0.2">
      <c r="A21" s="63" t="s">
        <v>37</v>
      </c>
      <c r="B21" s="63">
        <v>0.28999999999999998</v>
      </c>
      <c r="C21" s="90"/>
      <c r="D21" s="63" t="s">
        <v>136</v>
      </c>
      <c r="E21" s="63">
        <v>12</v>
      </c>
      <c r="F21" s="90"/>
    </row>
    <row r="22" spans="1:6" x14ac:dyDescent="0.2">
      <c r="A22" s="63" t="s">
        <v>92</v>
      </c>
      <c r="B22" s="63"/>
      <c r="C22" s="90"/>
      <c r="D22" s="63" t="s">
        <v>137</v>
      </c>
      <c r="E22" s="63"/>
      <c r="F22" s="90"/>
    </row>
    <row r="23" spans="1:6" x14ac:dyDescent="0.2">
      <c r="A23" s="63" t="s">
        <v>93</v>
      </c>
      <c r="B23" s="63">
        <v>11</v>
      </c>
      <c r="C23" s="90"/>
      <c r="D23" s="63" t="s">
        <v>138</v>
      </c>
      <c r="E23" s="63">
        <v>12</v>
      </c>
      <c r="F23" s="90"/>
    </row>
    <row r="24" spans="1:6" x14ac:dyDescent="0.2">
      <c r="A24" s="63" t="s">
        <v>94</v>
      </c>
      <c r="B24" s="63">
        <v>11</v>
      </c>
      <c r="C24" s="90"/>
      <c r="D24" s="115" t="s">
        <v>139</v>
      </c>
      <c r="E24" s="115"/>
      <c r="F24" s="90"/>
    </row>
    <row r="25" spans="1:6" x14ac:dyDescent="0.2">
      <c r="A25" s="105" t="s">
        <v>84</v>
      </c>
      <c r="B25" s="105">
        <v>3</v>
      </c>
      <c r="C25" s="90"/>
      <c r="D25" s="114"/>
      <c r="E25" s="114"/>
      <c r="F25" s="90"/>
    </row>
    <row r="26" spans="1:6" x14ac:dyDescent="0.2">
      <c r="A26" s="91"/>
      <c r="B26" s="91"/>
    </row>
    <row r="27" spans="1:6" x14ac:dyDescent="0.2">
      <c r="A27" s="128" t="s">
        <v>79</v>
      </c>
      <c r="B27" s="129"/>
    </row>
    <row r="28" spans="1:6" x14ac:dyDescent="0.2">
      <c r="A28" s="63" t="s">
        <v>80</v>
      </c>
      <c r="B28" s="63">
        <v>147</v>
      </c>
    </row>
    <row r="29" spans="1:6" x14ac:dyDescent="0.2">
      <c r="A29" s="63" t="s">
        <v>81</v>
      </c>
      <c r="B29" s="63">
        <v>0</v>
      </c>
    </row>
    <row r="30" spans="1:6" x14ac:dyDescent="0.2">
      <c r="A30" s="63" t="s">
        <v>82</v>
      </c>
      <c r="B30" s="63">
        <v>10</v>
      </c>
    </row>
    <row r="31" spans="1:6" x14ac:dyDescent="0.2">
      <c r="A31" s="63" t="s">
        <v>83</v>
      </c>
      <c r="B31" s="63">
        <v>6</v>
      </c>
    </row>
    <row r="32" spans="1:6" x14ac:dyDescent="0.2">
      <c r="A32" s="63" t="s">
        <v>91</v>
      </c>
      <c r="B32" s="63">
        <v>13.83</v>
      </c>
    </row>
    <row r="33" spans="1:2" x14ac:dyDescent="0.2">
      <c r="A33" s="63" t="s">
        <v>98</v>
      </c>
      <c r="B33" s="63">
        <v>1</v>
      </c>
    </row>
    <row r="34" spans="1:2" x14ac:dyDescent="0.2">
      <c r="A34" s="63" t="s">
        <v>146</v>
      </c>
      <c r="B34" s="63" t="s">
        <v>152</v>
      </c>
    </row>
    <row r="35" spans="1:2" x14ac:dyDescent="0.2">
      <c r="A35" s="125" t="s">
        <v>95</v>
      </c>
      <c r="B35" s="125"/>
    </row>
    <row r="36" spans="1:2" x14ac:dyDescent="0.2">
      <c r="A36" s="63" t="s">
        <v>96</v>
      </c>
      <c r="B36" s="63">
        <v>3</v>
      </c>
    </row>
    <row r="37" spans="1:2" x14ac:dyDescent="0.2">
      <c r="A37" s="63" t="s">
        <v>97</v>
      </c>
      <c r="B37" s="63">
        <v>0</v>
      </c>
    </row>
    <row r="38" spans="1:2" x14ac:dyDescent="0.2">
      <c r="A38" s="63" t="s">
        <v>145</v>
      </c>
      <c r="B38" s="63"/>
    </row>
  </sheetData>
  <mergeCells count="6">
    <mergeCell ref="D15:E15"/>
    <mergeCell ref="A1:B1"/>
    <mergeCell ref="A10:B10"/>
    <mergeCell ref="A18:B18"/>
    <mergeCell ref="A35:B35"/>
    <mergeCell ref="A27:B27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1" workbookViewId="0">
      <selection activeCell="F44" sqref="F44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61"/>
      <c r="C29" s="61"/>
      <c r="D29" s="61"/>
      <c r="E29" s="61"/>
      <c r="F29" s="61"/>
      <c r="G29" s="61"/>
    </row>
    <row r="30" spans="2:7" ht="17" thickBot="1" x14ac:dyDescent="0.25">
      <c r="B30" s="29" t="s">
        <v>45</v>
      </c>
      <c r="C30" s="30" t="str">
        <f>Param!B3</f>
        <v xml:space="preserve">Roberts, James
</v>
      </c>
      <c r="D30" s="29" t="s">
        <v>46</v>
      </c>
      <c r="E30" s="130" t="str">
        <f>Param!B4</f>
        <v>83 Catherine Way Daruka</v>
      </c>
      <c r="F30" s="131"/>
      <c r="G30" s="132"/>
    </row>
    <row r="31" spans="2:7" ht="17" thickBot="1" x14ac:dyDescent="0.25">
      <c r="B31" s="133" t="str">
        <f>IF(Param!B12&lt;&gt;0,"Service Main","Service+Consumer Main")</f>
        <v>Service Main</v>
      </c>
      <c r="C31" s="134"/>
      <c r="D31" s="133" t="s">
        <v>47</v>
      </c>
      <c r="E31" s="134"/>
      <c r="F31" s="135" t="s">
        <v>48</v>
      </c>
      <c r="G31" s="136"/>
    </row>
    <row r="32" spans="2:7" x14ac:dyDescent="0.2">
      <c r="B32" s="31" t="s">
        <v>49</v>
      </c>
      <c r="C32" s="32">
        <f>Param!B33</f>
        <v>1</v>
      </c>
      <c r="D32" s="31" t="s">
        <v>49</v>
      </c>
      <c r="E32" s="32">
        <f>Param!B33</f>
        <v>1</v>
      </c>
      <c r="F32" s="33" t="s">
        <v>49</v>
      </c>
      <c r="G32" s="34">
        <f>Param!B33</f>
        <v>1</v>
      </c>
    </row>
    <row r="33" spans="2:7" x14ac:dyDescent="0.2">
      <c r="B33" s="31" t="s">
        <v>50</v>
      </c>
      <c r="C33" s="35" t="s">
        <v>51</v>
      </c>
      <c r="D33" s="31" t="s">
        <v>50</v>
      </c>
      <c r="E33" s="36" t="s">
        <v>51</v>
      </c>
      <c r="F33" s="37" t="s">
        <v>50</v>
      </c>
      <c r="G33" s="38" t="s">
        <v>51</v>
      </c>
    </row>
    <row r="34" spans="2:7" x14ac:dyDescent="0.2">
      <c r="B34" s="39" t="s">
        <v>52</v>
      </c>
      <c r="C34" s="40">
        <v>16</v>
      </c>
      <c r="D34" s="39" t="s">
        <v>52</v>
      </c>
      <c r="E34" s="40">
        <v>16</v>
      </c>
      <c r="F34" s="39" t="s">
        <v>52</v>
      </c>
      <c r="G34" s="41">
        <f>Param!B31</f>
        <v>6</v>
      </c>
    </row>
    <row r="35" spans="2:7" x14ac:dyDescent="0.2">
      <c r="B35" s="42" t="s">
        <v>53</v>
      </c>
      <c r="C35" s="43">
        <f>Param!B28</f>
        <v>147</v>
      </c>
      <c r="D35" s="42" t="s">
        <v>53</v>
      </c>
      <c r="E35" s="44">
        <f>Param!B29</f>
        <v>0</v>
      </c>
      <c r="F35" s="42" t="s">
        <v>53</v>
      </c>
      <c r="G35" s="44">
        <f>Param!B30</f>
        <v>10</v>
      </c>
    </row>
    <row r="36" spans="2:7" x14ac:dyDescent="0.2">
      <c r="B36" s="42" t="s">
        <v>54</v>
      </c>
      <c r="C36" s="45">
        <f>Param!B32</f>
        <v>13.83</v>
      </c>
      <c r="D36" s="42" t="s">
        <v>54</v>
      </c>
      <c r="E36" s="46">
        <f>Param!B32</f>
        <v>13.83</v>
      </c>
      <c r="F36" s="42" t="s">
        <v>54</v>
      </c>
      <c r="G36" s="46">
        <f>Param!B32</f>
        <v>13.83</v>
      </c>
    </row>
    <row r="37" spans="2:7" ht="17" thickBot="1" x14ac:dyDescent="0.25">
      <c r="B37" s="47" t="s">
        <v>55</v>
      </c>
      <c r="C37" s="48" cm="1">
        <f t="array" ref="C37">AmPerPcntVd(C34,C32)</f>
        <v>818</v>
      </c>
      <c r="D37" s="49" t="s">
        <v>55</v>
      </c>
      <c r="E37" s="48" cm="1">
        <f t="array" ref="E37">AmPerPcntVd(E34,E32)</f>
        <v>818</v>
      </c>
      <c r="F37" s="49" t="s">
        <v>55</v>
      </c>
      <c r="G37" s="50" cm="1">
        <f t="array" ref="G37">AmPerPcntVd(G34,G32)</f>
        <v>306</v>
      </c>
    </row>
    <row r="38" spans="2:7" ht="17" thickBot="1" x14ac:dyDescent="0.25">
      <c r="B38" s="51" t="s">
        <v>56</v>
      </c>
      <c r="C38" s="52" cm="1">
        <f t="array" ref="C38">VoltageDrop(C36,C34,C35,C32)/100</f>
        <v>2.4853422982885086E-2</v>
      </c>
      <c r="D38" s="53" t="s">
        <v>56</v>
      </c>
      <c r="E38" s="52" cm="1">
        <f t="array" ref="E38">VoltageDrop(E36,E34,E35,E32)/100</f>
        <v>0</v>
      </c>
      <c r="F38" s="53" t="s">
        <v>56</v>
      </c>
      <c r="G38" s="60" cm="1">
        <f t="array" ref="G38">VoltageDrop(G36,G34,G35,G32)/100</f>
        <v>4.5196078431372555E-3</v>
      </c>
    </row>
    <row r="39" spans="2:7" ht="17" thickBot="1" x14ac:dyDescent="0.25">
      <c r="B39" s="51" t="s">
        <v>57</v>
      </c>
      <c r="C39" s="54">
        <f>C38*IF(C32=1,230,400)</f>
        <v>5.7162872860635696</v>
      </c>
      <c r="D39" s="51" t="s">
        <v>57</v>
      </c>
      <c r="E39" s="54">
        <f>E38*IF(E32=1,230,400)</f>
        <v>0</v>
      </c>
      <c r="F39" s="51" t="s">
        <v>57</v>
      </c>
      <c r="G39" s="59">
        <f>G38*IF(G32=1,230,400)</f>
        <v>1.0395098039215687</v>
      </c>
    </row>
    <row r="40" spans="2:7" x14ac:dyDescent="0.2">
      <c r="B40" s="137" t="s">
        <v>29</v>
      </c>
      <c r="C40" s="55" t="str">
        <f>_xlfn.CONCAT(Param!B34)</f>
        <v>Service and Consumer Main are underground</v>
      </c>
      <c r="D40" s="56"/>
      <c r="E40" s="56"/>
      <c r="F40" s="139">
        <f>C38+G38+E38</f>
        <v>2.9373030826022342E-2</v>
      </c>
      <c r="G40" s="141">
        <f>G39+E39+C39</f>
        <v>6.7557970899851387</v>
      </c>
    </row>
    <row r="41" spans="2:7" ht="17" thickBot="1" x14ac:dyDescent="0.25">
      <c r="B41" s="138"/>
      <c r="C41" s="57"/>
      <c r="D41" s="58"/>
      <c r="E41" s="58"/>
      <c r="F41" s="140"/>
      <c r="G41" s="142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2" priority="7" operator="greaterThan">
      <formula>0.01</formula>
    </cfRule>
    <cfRule type="cellIs" dxfId="11" priority="8" operator="lessThanOrEqual">
      <formula>0.01</formula>
    </cfRule>
  </conditionalFormatting>
  <conditionalFormatting sqref="C30 E30 C32:C33 C35:C36 E35:E36 G35:G36 E32:E33 G32:G33">
    <cfRule type="containsBlanks" dxfId="10" priority="9">
      <formula>LEN(TRIM(C30))=0</formula>
    </cfRule>
  </conditionalFormatting>
  <conditionalFormatting sqref="C39">
    <cfRule type="cellIs" dxfId="9" priority="5" operator="greaterThan">
      <formula>0.01</formula>
    </cfRule>
    <cfRule type="cellIs" dxfId="8" priority="6" operator="lessThanOrEqual">
      <formula>0.01</formula>
    </cfRule>
  </conditionalFormatting>
  <conditionalFormatting sqref="E39 K39">
    <cfRule type="cellIs" dxfId="7" priority="3" operator="greaterThan">
      <formula>0.01</formula>
    </cfRule>
    <cfRule type="cellIs" dxfId="6" priority="4" operator="lessThanOrEqual">
      <formula>0.01</formula>
    </cfRule>
  </conditionalFormatting>
  <conditionalFormatting sqref="G39 M39">
    <cfRule type="cellIs" dxfId="5" priority="1" operator="greaterThan">
      <formula>0.01</formula>
    </cfRule>
    <cfRule type="cellIs" dxfId="4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0C343-0955-4247-B5B5-B37103C65BA5}">
  <sheetPr codeName="Feuil5">
    <pageSetUpPr fitToPage="1"/>
  </sheetPr>
  <dimension ref="B5:CD74"/>
  <sheetViews>
    <sheetView showGridLines="0" tabSelected="1" topLeftCell="AC28" zoomScale="125" zoomScaleNormal="227" workbookViewId="0">
      <selection activeCell="BA51" sqref="BA51"/>
    </sheetView>
  </sheetViews>
  <sheetFormatPr baseColWidth="10" defaultRowHeight="16" x14ac:dyDescent="0.2"/>
  <cols>
    <col min="1" max="73" width="3.33203125" style="108" customWidth="1"/>
    <col min="74" max="74" width="6.33203125" style="108" customWidth="1"/>
    <col min="75" max="83" width="3.33203125" style="108" customWidth="1"/>
    <col min="84" max="16384" width="10.83203125" style="108"/>
  </cols>
  <sheetData>
    <row r="5" spans="4:81" x14ac:dyDescent="0.2">
      <c r="D5" s="93" t="s">
        <v>60</v>
      </c>
      <c r="BR5" s="26" t="s">
        <v>44</v>
      </c>
      <c r="BS5" s="25"/>
      <c r="BT5" s="25"/>
      <c r="BU5" s="25"/>
      <c r="BV5" s="25"/>
      <c r="BW5" s="25"/>
      <c r="BX5" s="25"/>
      <c r="BY5" s="25"/>
      <c r="BZ5" s="24"/>
    </row>
    <row r="6" spans="4:81" x14ac:dyDescent="0.2">
      <c r="BR6" s="23" t="s">
        <v>39</v>
      </c>
      <c r="BS6" s="18"/>
      <c r="BT6" s="18"/>
      <c r="BU6" s="18"/>
      <c r="BV6" s="147" t="str">
        <f>Param!B11</f>
        <v>LG365N</v>
      </c>
      <c r="BW6" s="147"/>
      <c r="BX6" s="147"/>
      <c r="BY6" s="147"/>
      <c r="BZ6" s="148"/>
    </row>
    <row r="7" spans="4:81" x14ac:dyDescent="0.2">
      <c r="BR7" s="23" t="s">
        <v>38</v>
      </c>
      <c r="BS7" s="18"/>
      <c r="BT7" s="18"/>
      <c r="BU7" s="18"/>
      <c r="BV7" s="198" t="str">
        <f>Param!B12</f>
        <v>LG NeON 2</v>
      </c>
      <c r="BW7" s="198"/>
      <c r="BX7" s="198"/>
      <c r="BY7" s="198"/>
      <c r="BZ7" s="199"/>
    </row>
    <row r="8" spans="4:81" x14ac:dyDescent="0.2">
      <c r="BR8" s="23" t="s">
        <v>141</v>
      </c>
      <c r="BS8" s="117"/>
      <c r="BT8" s="117"/>
      <c r="BU8" s="117"/>
      <c r="BV8" s="117"/>
      <c r="BW8" s="151">
        <f>Param!B13</f>
        <v>22</v>
      </c>
      <c r="BX8" s="151"/>
      <c r="BY8" s="151"/>
      <c r="BZ8" s="152"/>
    </row>
    <row r="9" spans="4:81" x14ac:dyDescent="0.2">
      <c r="BR9" s="23" t="s">
        <v>43</v>
      </c>
      <c r="BS9" s="18"/>
      <c r="BT9" s="18"/>
      <c r="BU9" s="18"/>
      <c r="BV9" s="18"/>
      <c r="BW9" s="18"/>
      <c r="BX9" s="185">
        <f>Param!B14</f>
        <v>365</v>
      </c>
      <c r="BY9" s="185"/>
      <c r="BZ9" s="187"/>
    </row>
    <row r="10" spans="4:81" x14ac:dyDescent="0.2">
      <c r="BR10" s="23" t="s">
        <v>42</v>
      </c>
      <c r="BS10" s="18"/>
      <c r="BT10" s="18"/>
      <c r="BU10" s="18"/>
      <c r="BV10" s="18"/>
      <c r="BW10" s="18"/>
      <c r="BX10" s="186">
        <f>Param!B15</f>
        <v>41.7</v>
      </c>
      <c r="BY10" s="186"/>
      <c r="BZ10" s="188"/>
    </row>
    <row r="11" spans="4:81" x14ac:dyDescent="0.2">
      <c r="BR11" s="23" t="s">
        <v>41</v>
      </c>
      <c r="BS11" s="18"/>
      <c r="BT11" s="18"/>
      <c r="BU11" s="18"/>
      <c r="BV11" s="18"/>
      <c r="BW11" s="18"/>
      <c r="BX11" s="153">
        <f>Param!B16</f>
        <v>10.88</v>
      </c>
      <c r="BY11" s="153"/>
      <c r="BZ11" s="154"/>
      <c r="CA11" s="184"/>
      <c r="CB11" s="184"/>
      <c r="CC11" s="184"/>
    </row>
    <row r="12" spans="4:81" x14ac:dyDescent="0.2">
      <c r="BR12" s="27" t="s">
        <v>142</v>
      </c>
      <c r="BS12" s="19"/>
      <c r="BT12" s="19"/>
      <c r="BU12" s="19"/>
      <c r="BV12" s="155" t="str">
        <f>_xlfn.CONCAT(Param!B14*BW8/1000, " kWdc")</f>
        <v>8.03 kWdc</v>
      </c>
      <c r="BW12" s="155"/>
      <c r="BX12" s="155"/>
      <c r="BY12" s="155"/>
      <c r="BZ12" s="156"/>
      <c r="CC12" s="76"/>
    </row>
    <row r="13" spans="4:81" x14ac:dyDescent="0.2">
      <c r="Y13" s="93" t="s">
        <v>131</v>
      </c>
      <c r="AY13" s="93" t="s">
        <v>130</v>
      </c>
      <c r="CC13" s="76"/>
    </row>
    <row r="14" spans="4:81" x14ac:dyDescent="0.2">
      <c r="BE14" s="94"/>
      <c r="BF14" s="94"/>
      <c r="BR14" s="26" t="s">
        <v>99</v>
      </c>
      <c r="BS14" s="25"/>
      <c r="BT14" s="25"/>
      <c r="BU14" s="25"/>
      <c r="BV14" s="25"/>
      <c r="BW14" s="25"/>
      <c r="BX14" s="25"/>
      <c r="BY14" s="25"/>
      <c r="BZ14" s="24"/>
      <c r="CC14" s="76"/>
    </row>
    <row r="15" spans="4:81" x14ac:dyDescent="0.2">
      <c r="BE15" s="94"/>
      <c r="BK15" s="76"/>
      <c r="BL15" s="76"/>
      <c r="BM15" s="76"/>
      <c r="BR15" s="73" t="s">
        <v>100</v>
      </c>
      <c r="BV15" s="151">
        <v>1</v>
      </c>
      <c r="BW15" s="151"/>
      <c r="BX15" s="151"/>
      <c r="BY15" s="151"/>
      <c r="BZ15" s="152"/>
      <c r="CC15" s="76"/>
    </row>
    <row r="16" spans="4:81" x14ac:dyDescent="0.2">
      <c r="BR16" s="23" t="s">
        <v>39</v>
      </c>
      <c r="BS16" s="18"/>
      <c r="BT16" s="18"/>
      <c r="BU16" s="18"/>
      <c r="BV16" s="157" t="s">
        <v>101</v>
      </c>
      <c r="BW16" s="157"/>
      <c r="BX16" s="157"/>
      <c r="BY16" s="157"/>
      <c r="BZ16" s="158"/>
      <c r="CC16" s="76"/>
    </row>
    <row r="17" spans="2:81" x14ac:dyDescent="0.2">
      <c r="BB17" s="108" t="s">
        <v>59</v>
      </c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R17" s="23" t="s">
        <v>38</v>
      </c>
      <c r="BS17" s="18"/>
      <c r="BT17" s="18"/>
      <c r="BU17" s="18"/>
      <c r="BV17" s="149" t="s">
        <v>102</v>
      </c>
      <c r="BW17" s="149"/>
      <c r="BX17" s="149"/>
      <c r="BY17" s="149"/>
      <c r="BZ17" s="150"/>
      <c r="CA17" s="76"/>
      <c r="CB17" s="76"/>
      <c r="CC17" s="76"/>
    </row>
    <row r="18" spans="2:81" ht="16" customHeight="1" x14ac:dyDescent="0.2">
      <c r="AG18" s="108" t="str">
        <f>IF(Param!B25="","","Q Relay")</f>
        <v>Q Relay</v>
      </c>
      <c r="AU18" s="108" t="s">
        <v>59</v>
      </c>
      <c r="BB18" s="108" t="s">
        <v>147</v>
      </c>
      <c r="BE18" s="77"/>
      <c r="BF18" s="77"/>
      <c r="BG18" s="77"/>
      <c r="BH18" s="77"/>
      <c r="BI18" s="77"/>
      <c r="BJ18" s="77"/>
      <c r="BK18" s="77"/>
      <c r="BL18" s="77"/>
      <c r="BM18" s="77"/>
      <c r="BN18" s="77"/>
      <c r="BO18" s="77"/>
      <c r="BR18" s="23" t="s">
        <v>103</v>
      </c>
      <c r="BS18" s="18"/>
      <c r="BT18" s="18"/>
      <c r="BU18" s="18"/>
      <c r="BV18" s="18"/>
      <c r="BW18" s="189">
        <f>5</f>
        <v>5</v>
      </c>
      <c r="BX18" s="189"/>
      <c r="BY18" s="186" t="s">
        <v>104</v>
      </c>
      <c r="BZ18" s="188"/>
      <c r="CA18" s="18"/>
      <c r="CB18" s="18"/>
      <c r="CC18" s="18"/>
    </row>
    <row r="19" spans="2:81" ht="16" customHeight="1" x14ac:dyDescent="0.2">
      <c r="AU19" s="108" t="s">
        <v>108</v>
      </c>
      <c r="BE19" s="77"/>
      <c r="BF19" s="77"/>
      <c r="BG19" s="77"/>
      <c r="BH19" s="77"/>
      <c r="BI19" s="77"/>
      <c r="BJ19" s="77"/>
      <c r="BK19" s="77"/>
      <c r="BL19" s="77"/>
      <c r="BM19" s="77"/>
      <c r="BN19" s="77"/>
      <c r="BO19" s="77"/>
      <c r="BR19" s="23" t="s">
        <v>105</v>
      </c>
      <c r="BS19" s="18"/>
      <c r="BT19" s="18"/>
      <c r="BU19" s="18"/>
      <c r="BV19" s="18"/>
      <c r="BW19" s="190">
        <v>13.5</v>
      </c>
      <c r="BX19" s="190"/>
      <c r="BY19" s="153" t="s">
        <v>106</v>
      </c>
      <c r="BZ19" s="154"/>
      <c r="CA19" s="18"/>
      <c r="CB19" s="18"/>
      <c r="CC19" s="18"/>
    </row>
    <row r="20" spans="2:81" x14ac:dyDescent="0.2">
      <c r="Y20" s="77"/>
      <c r="AG20" s="108" t="str">
        <f>IF(Param!B25="","","Envoy  Supply ")</f>
        <v xml:space="preserve">Envoy  Supply </v>
      </c>
      <c r="BE20" s="77"/>
      <c r="BF20" s="77"/>
      <c r="BG20" s="77"/>
      <c r="BH20" s="77"/>
      <c r="BI20" s="77"/>
      <c r="BJ20" s="77"/>
      <c r="BK20" s="77"/>
      <c r="BL20" s="77"/>
      <c r="BM20" s="77"/>
      <c r="BN20" s="77"/>
      <c r="BO20" s="77"/>
      <c r="BR20" s="95" t="s">
        <v>133</v>
      </c>
      <c r="BS20" s="10"/>
      <c r="BT20" s="116"/>
      <c r="BU20" s="18"/>
      <c r="BV20" s="18"/>
      <c r="BW20" s="107"/>
      <c r="BX20" s="118">
        <v>32</v>
      </c>
      <c r="BY20" s="160" t="s">
        <v>107</v>
      </c>
      <c r="BZ20" s="150"/>
      <c r="CA20" s="18"/>
      <c r="CB20" s="18"/>
      <c r="CC20" s="18"/>
    </row>
    <row r="21" spans="2:81" x14ac:dyDescent="0.2">
      <c r="AG21" s="108" t="str">
        <f>IF(Param!B25="","","Switch")</f>
        <v>Switch</v>
      </c>
      <c r="BE21" s="93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R21" s="96" t="s">
        <v>109</v>
      </c>
      <c r="BS21" s="97"/>
      <c r="BT21" s="98"/>
      <c r="BU21" s="19"/>
      <c r="BV21" s="19"/>
      <c r="BW21" s="106"/>
      <c r="BX21" s="119">
        <v>50</v>
      </c>
      <c r="BY21" s="161" t="s">
        <v>110</v>
      </c>
      <c r="BZ21" s="162"/>
      <c r="CA21" s="185"/>
      <c r="CB21" s="185"/>
      <c r="CC21" s="185"/>
    </row>
    <row r="22" spans="2:81" x14ac:dyDescent="0.2">
      <c r="B22" s="108" cm="1">
        <f t="array" aca="1" ref="B22" ca="1">_xlfn.CONCAT(Param!SUM+B22:B23," kWac")</f>
        <v>0</v>
      </c>
      <c r="BR22" s="117"/>
      <c r="BS22" s="117"/>
      <c r="BT22" s="117"/>
      <c r="BU22" s="117"/>
      <c r="BV22" s="117"/>
      <c r="BW22" s="117"/>
      <c r="BX22" s="117"/>
      <c r="BY22" s="117"/>
      <c r="BZ22" s="117"/>
      <c r="CA22" s="186"/>
      <c r="CB22" s="186"/>
      <c r="CC22" s="186"/>
    </row>
    <row r="23" spans="2:81" x14ac:dyDescent="0.2">
      <c r="X23" s="108" t="s">
        <v>111</v>
      </c>
      <c r="AJ23" s="7"/>
      <c r="BR23" s="26" t="s">
        <v>40</v>
      </c>
      <c r="BS23" s="25"/>
      <c r="BT23" s="25"/>
      <c r="BU23" s="25"/>
      <c r="BV23" s="25"/>
      <c r="BW23" s="25"/>
      <c r="BX23" s="25"/>
      <c r="BY23" s="25"/>
      <c r="BZ23" s="24"/>
      <c r="CA23" s="153"/>
      <c r="CB23" s="153"/>
      <c r="CC23" s="153"/>
    </row>
    <row r="24" spans="2:81" x14ac:dyDescent="0.2">
      <c r="X24" s="108" t="s">
        <v>112</v>
      </c>
      <c r="BR24" s="23" t="s">
        <v>113</v>
      </c>
      <c r="BS24" s="18"/>
      <c r="BT24" s="18"/>
      <c r="BU24" s="18"/>
      <c r="BW24" s="107"/>
      <c r="BX24" s="157">
        <f>Param!B13</f>
        <v>22</v>
      </c>
      <c r="BY24" s="157"/>
      <c r="BZ24" s="158"/>
      <c r="CB24" s="17"/>
      <c r="CC24" s="17"/>
    </row>
    <row r="25" spans="2:81" x14ac:dyDescent="0.2">
      <c r="BR25" s="23" t="s">
        <v>39</v>
      </c>
      <c r="BS25" s="18"/>
      <c r="BT25" s="18"/>
      <c r="BU25" s="18"/>
      <c r="BW25" s="107"/>
      <c r="BX25" s="157" t="str">
        <f>Param!B19</f>
        <v>Enphase</v>
      </c>
      <c r="BY25" s="157"/>
      <c r="BZ25" s="158"/>
      <c r="CC25" s="17"/>
    </row>
    <row r="26" spans="2:81" x14ac:dyDescent="0.2">
      <c r="J26" s="108" t="s">
        <v>111</v>
      </c>
      <c r="BR26" s="22" t="s">
        <v>38</v>
      </c>
      <c r="BS26" s="21"/>
      <c r="BT26" s="18"/>
      <c r="BU26" s="18"/>
      <c r="BW26" s="107"/>
      <c r="BX26" s="159" t="str">
        <f>Param!B20</f>
        <v>IQ7+</v>
      </c>
      <c r="BY26" s="159"/>
      <c r="BZ26" s="158"/>
      <c r="CC26" s="17"/>
    </row>
    <row r="27" spans="2:81" x14ac:dyDescent="0.2">
      <c r="BR27" s="22" t="s">
        <v>143</v>
      </c>
      <c r="BS27" s="120"/>
      <c r="BT27" s="120"/>
      <c r="BU27" s="120"/>
      <c r="BV27" s="120"/>
      <c r="BW27" s="120"/>
      <c r="BX27" s="145" t="str">
        <f>_xlfn.CONCAT(Param!B21," kWac")</f>
        <v>0.29 kWac</v>
      </c>
      <c r="BY27" s="145"/>
      <c r="BZ27" s="146"/>
      <c r="CC27" s="112"/>
    </row>
    <row r="28" spans="2:81" x14ac:dyDescent="0.2"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20" t="s">
        <v>114</v>
      </c>
      <c r="BS28" s="19"/>
      <c r="BT28" s="19"/>
      <c r="BU28" s="19"/>
      <c r="BV28" s="19"/>
      <c r="BW28" s="19"/>
      <c r="BX28" s="143" t="str">
        <f>_xlfn.CONCAT((Param!B22+Param!B23+Param!B24)*Param!B21," kWac")</f>
        <v>6.38 kWac</v>
      </c>
      <c r="BY28" s="143"/>
      <c r="BZ28" s="144"/>
      <c r="CC28" s="112"/>
    </row>
    <row r="29" spans="2:81" x14ac:dyDescent="0.2">
      <c r="L29" s="16"/>
      <c r="M29" s="15"/>
      <c r="BK29" s="77"/>
      <c r="BL29" s="77"/>
      <c r="BM29" s="77"/>
      <c r="BN29" s="77"/>
      <c r="BO29" s="77"/>
      <c r="BP29" s="77"/>
      <c r="BQ29" s="77"/>
      <c r="BR29" s="92"/>
      <c r="BS29" s="92"/>
      <c r="BT29" s="109"/>
      <c r="BU29" s="109"/>
      <c r="BV29" s="110"/>
      <c r="BW29" s="110"/>
      <c r="BX29" s="111"/>
      <c r="BY29" s="111"/>
      <c r="BZ29" s="111"/>
      <c r="CA29" s="111"/>
      <c r="CB29" s="112"/>
      <c r="CC29" s="112"/>
    </row>
    <row r="30" spans="2:81" x14ac:dyDescent="0.2">
      <c r="AG30" s="93" t="s">
        <v>90</v>
      </c>
      <c r="BK30" s="77"/>
      <c r="BL30" s="77"/>
      <c r="BM30" s="77"/>
      <c r="BN30" s="77"/>
      <c r="BO30" s="77"/>
      <c r="BP30" s="77"/>
      <c r="BQ30" s="77"/>
      <c r="BR30" s="92"/>
      <c r="BS30" s="92"/>
      <c r="BT30" s="109"/>
      <c r="BU30" s="109"/>
      <c r="BV30" s="110"/>
      <c r="BW30" s="110"/>
      <c r="BX30" s="111"/>
      <c r="BY30" s="111"/>
      <c r="BZ30" s="111"/>
      <c r="CA30" s="111"/>
      <c r="CB30" s="112"/>
      <c r="CC30" s="112"/>
    </row>
    <row r="31" spans="2:81" x14ac:dyDescent="0.2">
      <c r="BK31" s="77"/>
      <c r="BL31" s="77"/>
      <c r="BM31" s="77"/>
      <c r="BN31" s="77"/>
      <c r="BO31" s="77"/>
      <c r="BP31" s="77"/>
      <c r="BQ31" s="77"/>
      <c r="BR31" s="10"/>
      <c r="BS31" s="10"/>
      <c r="BT31" s="179"/>
      <c r="BU31" s="179"/>
      <c r="BV31" s="151"/>
      <c r="BW31" s="151"/>
      <c r="BX31" s="151"/>
      <c r="BY31" s="151"/>
      <c r="BZ31" s="151"/>
      <c r="CA31" s="151"/>
      <c r="CB31" s="180"/>
      <c r="CC31" s="180"/>
    </row>
    <row r="32" spans="2:81" x14ac:dyDescent="0.2">
      <c r="AQ32" s="108">
        <v>11</v>
      </c>
      <c r="BC32" s="93" t="s">
        <v>154</v>
      </c>
      <c r="BJ32" s="14"/>
      <c r="BK32" s="14"/>
      <c r="BL32" s="14"/>
      <c r="BM32" s="77"/>
      <c r="BN32" s="77"/>
      <c r="BO32" s="77"/>
      <c r="BP32" s="77"/>
      <c r="BQ32" s="77"/>
      <c r="BR32" s="10"/>
      <c r="BS32" s="10"/>
      <c r="BT32" s="179"/>
      <c r="BU32" s="179"/>
      <c r="BV32" s="151"/>
      <c r="BW32" s="151"/>
      <c r="BX32" s="151"/>
      <c r="BY32" s="151"/>
      <c r="BZ32" s="151"/>
      <c r="CA32" s="151"/>
      <c r="CB32" s="180"/>
      <c r="CC32" s="180"/>
    </row>
    <row r="33" spans="33:82" x14ac:dyDescent="0.2">
      <c r="AQ33" s="108" t="s">
        <v>140</v>
      </c>
      <c r="AT33" s="99" t="s">
        <v>115</v>
      </c>
      <c r="BC33" s="113" t="s">
        <v>155</v>
      </c>
      <c r="BK33" s="77"/>
      <c r="BL33" s="77"/>
      <c r="BM33" s="77"/>
      <c r="BN33" s="77"/>
      <c r="BO33" s="77"/>
      <c r="BP33" s="77"/>
      <c r="BQ33" s="77"/>
      <c r="BR33" s="193" t="s">
        <v>158</v>
      </c>
      <c r="BS33" s="194"/>
      <c r="BT33" s="194"/>
      <c r="BU33" s="194"/>
      <c r="BV33" s="194"/>
      <c r="BW33" s="194"/>
      <c r="BX33" s="194"/>
      <c r="BY33" s="194"/>
      <c r="BZ33" s="194"/>
      <c r="CA33" s="194"/>
      <c r="CB33" s="195"/>
      <c r="CC33" s="192"/>
    </row>
    <row r="34" spans="33:82" x14ac:dyDescent="0.2">
      <c r="AT34" s="100" t="s">
        <v>116</v>
      </c>
      <c r="BK34" s="77"/>
      <c r="BL34" s="77"/>
      <c r="BM34" s="77"/>
      <c r="BN34" s="77"/>
      <c r="BO34" s="77"/>
      <c r="BP34" s="77"/>
      <c r="BQ34" s="77"/>
      <c r="BR34" s="181" t="s">
        <v>85</v>
      </c>
      <c r="BS34" s="182"/>
      <c r="BT34" s="182"/>
      <c r="BU34" s="182" t="s">
        <v>86</v>
      </c>
      <c r="BV34" s="183"/>
      <c r="BW34" s="182" t="s">
        <v>87</v>
      </c>
      <c r="BX34" s="182"/>
      <c r="BY34" s="182" t="s">
        <v>88</v>
      </c>
      <c r="BZ34" s="182"/>
      <c r="CA34" s="182" t="s">
        <v>89</v>
      </c>
      <c r="CB34" s="183"/>
      <c r="CC34" s="112"/>
    </row>
    <row r="35" spans="33:82" x14ac:dyDescent="0.2">
      <c r="BK35" s="77"/>
      <c r="BL35" s="77"/>
      <c r="BM35" s="77"/>
      <c r="BN35" s="77"/>
      <c r="BO35" s="77"/>
      <c r="BP35" s="77"/>
      <c r="BQ35" s="77"/>
      <c r="BR35" s="196" t="s">
        <v>157</v>
      </c>
      <c r="BS35" s="191"/>
      <c r="BT35" s="191"/>
      <c r="BU35" s="191" t="s">
        <v>159</v>
      </c>
      <c r="BV35" s="191"/>
      <c r="BW35" s="196">
        <v>3</v>
      </c>
      <c r="BX35" s="191"/>
      <c r="CC35" s="197"/>
    </row>
    <row r="36" spans="33:82" x14ac:dyDescent="0.2">
      <c r="BE36" s="77"/>
      <c r="BF36" s="77"/>
      <c r="BG36" s="77"/>
      <c r="BH36" s="77"/>
      <c r="BI36" s="77"/>
      <c r="BK36" s="77"/>
      <c r="BL36" s="77"/>
      <c r="BM36" s="77"/>
      <c r="BN36" s="77"/>
      <c r="BO36" s="77"/>
      <c r="BP36" s="77"/>
      <c r="BQ36" s="77"/>
      <c r="BR36" s="177" t="s">
        <v>90</v>
      </c>
      <c r="BS36" s="178"/>
      <c r="BT36" s="178"/>
      <c r="BU36" s="178" t="s">
        <v>117</v>
      </c>
      <c r="BV36" s="152"/>
      <c r="BW36" s="177"/>
      <c r="BX36" s="151"/>
      <c r="BY36" s="151">
        <f>Param!B23*Param!B21</f>
        <v>3.19</v>
      </c>
      <c r="BZ36" s="151"/>
      <c r="CA36" s="122"/>
      <c r="CB36" s="123"/>
      <c r="CC36" s="112"/>
    </row>
    <row r="37" spans="33:82" x14ac:dyDescent="0.2">
      <c r="BE37" s="77"/>
      <c r="BF37" s="77"/>
      <c r="BG37" s="77"/>
      <c r="BH37" s="77"/>
      <c r="BI37" s="77"/>
      <c r="BK37" s="77"/>
      <c r="BL37" s="77"/>
      <c r="BM37" s="77"/>
      <c r="BN37" s="77"/>
      <c r="BO37" s="77"/>
      <c r="BP37" s="77"/>
      <c r="BQ37" s="77"/>
      <c r="BR37" s="177" t="s">
        <v>156</v>
      </c>
      <c r="BS37" s="178"/>
      <c r="BT37" s="178"/>
      <c r="BU37" s="178" t="s">
        <v>117</v>
      </c>
      <c r="BV37" s="152"/>
      <c r="BW37" s="177"/>
      <c r="BX37" s="151"/>
      <c r="BY37" s="151"/>
      <c r="BZ37" s="151"/>
      <c r="CA37" s="151">
        <v>3.19</v>
      </c>
      <c r="CB37" s="152"/>
      <c r="CC37" s="112"/>
    </row>
    <row r="38" spans="33:82" x14ac:dyDescent="0.2">
      <c r="BQ38" s="121"/>
      <c r="BR38" s="177" t="s">
        <v>118</v>
      </c>
      <c r="BS38" s="178"/>
      <c r="BT38" s="178"/>
      <c r="BU38" s="178" t="s">
        <v>119</v>
      </c>
      <c r="BV38" s="152"/>
      <c r="BW38" s="177">
        <v>5</v>
      </c>
      <c r="BX38" s="178"/>
      <c r="BY38" s="124"/>
      <c r="BZ38" s="124"/>
      <c r="CA38" s="124"/>
      <c r="CB38" s="123"/>
      <c r="CC38" s="112"/>
    </row>
    <row r="39" spans="33:82" x14ac:dyDescent="0.2">
      <c r="AG39" s="93" t="s">
        <v>156</v>
      </c>
      <c r="BR39" s="168" t="s">
        <v>120</v>
      </c>
      <c r="BS39" s="169"/>
      <c r="BT39" s="169"/>
      <c r="BU39" s="169"/>
      <c r="BV39" s="170"/>
      <c r="BW39" s="168">
        <f>SUM(BW35:BX38)</f>
        <v>8</v>
      </c>
      <c r="BX39" s="169"/>
      <c r="BY39" s="169">
        <f>SUM(BY36:BZ38)</f>
        <v>3.19</v>
      </c>
      <c r="BZ39" s="169"/>
      <c r="CA39" s="169">
        <f>SUM(CA36:CB38)</f>
        <v>3.19</v>
      </c>
      <c r="CB39" s="170"/>
    </row>
    <row r="40" spans="33:82" x14ac:dyDescent="0.2">
      <c r="AT40" s="176"/>
      <c r="AW40" s="108" t="s">
        <v>153</v>
      </c>
    </row>
    <row r="41" spans="33:82" x14ac:dyDescent="0.2">
      <c r="AQ41" s="121">
        <v>11</v>
      </c>
      <c r="AT41" s="176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</row>
    <row r="42" spans="33:82" x14ac:dyDescent="0.2">
      <c r="AQ42" s="121" t="s">
        <v>140</v>
      </c>
      <c r="BK42" s="109"/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51"/>
    </row>
    <row r="43" spans="33:82" x14ac:dyDescent="0.2">
      <c r="AT43" s="93"/>
      <c r="BK43" s="108" t="str">
        <f>IF(Param!B22&lt;&gt;"", _xlfn.CONCAT(Param!B22," Panels"),"")</f>
        <v/>
      </c>
    </row>
    <row r="44" spans="33:82" x14ac:dyDescent="0.2">
      <c r="BT44" s="75"/>
      <c r="BU44" s="75"/>
      <c r="BV44" s="75"/>
      <c r="BW44" s="75"/>
      <c r="BX44" s="75"/>
      <c r="BY44" s="75"/>
      <c r="BZ44" s="75"/>
      <c r="CA44" s="75"/>
      <c r="CB44" s="75"/>
    </row>
    <row r="45" spans="33:82" x14ac:dyDescent="0.2">
      <c r="BR45" s="13" t="s">
        <v>36</v>
      </c>
      <c r="BS45" s="12"/>
      <c r="BT45" s="75"/>
      <c r="BU45" s="75"/>
      <c r="BV45" s="75"/>
      <c r="BW45" s="75"/>
      <c r="BX45" s="75"/>
      <c r="BY45" s="75"/>
      <c r="BZ45" s="75"/>
      <c r="CA45" s="75"/>
      <c r="CB45" s="75"/>
      <c r="CC45" s="101"/>
      <c r="CD45" s="101"/>
    </row>
    <row r="46" spans="33:82" x14ac:dyDescent="0.2">
      <c r="BR46" s="78" t="s">
        <v>35</v>
      </c>
      <c r="BS46" s="68"/>
      <c r="BV46" s="102" t="s">
        <v>34</v>
      </c>
      <c r="BW46" s="108" t="s">
        <v>33</v>
      </c>
    </row>
    <row r="47" spans="33:82" x14ac:dyDescent="0.2">
      <c r="BG47" s="93" t="str">
        <f>IF(Param!B36&lt;&gt;"","Existing array","")</f>
        <v>Existing array</v>
      </c>
      <c r="BR47" s="69" t="s">
        <v>32</v>
      </c>
      <c r="BS47" s="77"/>
      <c r="BV47" s="103">
        <f>BV48</f>
        <v>22</v>
      </c>
      <c r="BW47" s="69" t="str">
        <f>_xlfn.CONCAT(, BV7, " ", BX8, "W")</f>
        <v>LG NeON 2 W</v>
      </c>
      <c r="BY47" s="77"/>
      <c r="BZ47" s="77"/>
    </row>
    <row r="48" spans="33:82" x14ac:dyDescent="0.2">
      <c r="BG48" s="108" t="str">
        <f>IF(Param!B36&lt;&gt;"",_xlfn.CONCAT(Param!B36," Kwac"),"")</f>
        <v>3 Kwac</v>
      </c>
      <c r="BR48" s="69" t="s">
        <v>121</v>
      </c>
      <c r="BS48" s="77"/>
      <c r="BV48" s="102">
        <f>BW8</f>
        <v>22</v>
      </c>
      <c r="BW48" s="69" t="str">
        <f>_xlfn.CONCAT(BU36," ")</f>
        <v xml:space="preserve">IQ7+ </v>
      </c>
      <c r="BY48" s="77"/>
      <c r="BZ48" s="77"/>
    </row>
    <row r="49" spans="46:82" x14ac:dyDescent="0.2">
      <c r="BR49" s="69" t="s">
        <v>122</v>
      </c>
      <c r="BS49" s="77"/>
      <c r="BV49" s="102">
        <v>1</v>
      </c>
      <c r="BW49" s="174" t="s">
        <v>123</v>
      </c>
      <c r="BX49" s="175"/>
      <c r="BY49" s="175"/>
      <c r="BZ49" s="175"/>
      <c r="CA49" s="175"/>
      <c r="CB49" s="175"/>
      <c r="CC49" s="175"/>
      <c r="CD49" s="175"/>
    </row>
    <row r="50" spans="46:82" x14ac:dyDescent="0.2">
      <c r="BR50" s="69" t="s">
        <v>124</v>
      </c>
      <c r="BS50" s="77"/>
      <c r="BV50" s="102">
        <v>1</v>
      </c>
      <c r="BW50" s="69" t="s">
        <v>125</v>
      </c>
      <c r="BY50" s="77"/>
      <c r="BZ50" s="77"/>
    </row>
    <row r="51" spans="46:82" x14ac:dyDescent="0.2">
      <c r="BR51" s="69" t="s">
        <v>126</v>
      </c>
      <c r="BS51" s="77"/>
      <c r="BV51" s="102">
        <v>4</v>
      </c>
      <c r="BW51" s="69" t="s">
        <v>127</v>
      </c>
      <c r="BY51" s="77"/>
      <c r="BZ51" s="77"/>
    </row>
    <row r="52" spans="46:82" x14ac:dyDescent="0.2">
      <c r="BG52" s="108" t="str">
        <f>IF(Param!B36&lt;&gt;"","Inverter supply ","")</f>
        <v xml:space="preserve">Inverter supply </v>
      </c>
      <c r="BR52" s="69" t="s">
        <v>128</v>
      </c>
      <c r="BS52" s="77"/>
      <c r="BV52" s="102">
        <v>1</v>
      </c>
      <c r="BW52" s="69" t="s">
        <v>129</v>
      </c>
      <c r="BY52" s="77"/>
      <c r="BZ52" s="77"/>
    </row>
    <row r="53" spans="46:82" x14ac:dyDescent="0.2">
      <c r="BG53" s="108" t="str">
        <f>IF(Param!B36&lt;&gt;"","Ac Isolator","")</f>
        <v>Ac Isolator</v>
      </c>
      <c r="BL53" s="108" t="str">
        <f>IF(Param!B36&lt;&gt;"","Grid connect inverter","")</f>
        <v>Grid connect inverter</v>
      </c>
      <c r="BR53" s="81" t="s">
        <v>31</v>
      </c>
      <c r="BS53" s="82"/>
      <c r="BT53" s="75"/>
      <c r="BU53" s="75"/>
      <c r="BV53" s="104"/>
      <c r="BW53" s="81" t="s">
        <v>30</v>
      </c>
      <c r="BY53" s="82"/>
      <c r="BZ53" s="82"/>
      <c r="CA53" s="75"/>
      <c r="CB53" s="75"/>
      <c r="CC53" s="75"/>
      <c r="CD53" s="75"/>
    </row>
    <row r="54" spans="46:82" x14ac:dyDescent="0.2">
      <c r="BX54" s="72"/>
    </row>
    <row r="55" spans="46:82" x14ac:dyDescent="0.2">
      <c r="AT55" s="93"/>
      <c r="BX55" s="75"/>
    </row>
    <row r="56" spans="46:82" x14ac:dyDescent="0.2">
      <c r="BR56" s="11" t="s">
        <v>29</v>
      </c>
      <c r="BS56" s="68"/>
      <c r="BT56" s="68"/>
      <c r="BU56" s="68"/>
      <c r="BV56" s="68"/>
      <c r="BW56" s="68"/>
      <c r="BX56" s="68"/>
      <c r="BY56" s="68"/>
      <c r="BZ56" s="68"/>
      <c r="CA56" s="68"/>
      <c r="CB56" s="68"/>
      <c r="CC56" s="68"/>
      <c r="CD56" s="79"/>
    </row>
    <row r="57" spans="46:82" x14ac:dyDescent="0.2">
      <c r="BR57" s="69" t="s">
        <v>28</v>
      </c>
      <c r="BS57" s="77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0"/>
    </row>
    <row r="58" spans="46:82" x14ac:dyDescent="0.2">
      <c r="BR58" s="69" t="s">
        <v>27</v>
      </c>
      <c r="BS58" s="77"/>
      <c r="BT58" s="77"/>
      <c r="BU58" s="77"/>
      <c r="BV58" s="77"/>
      <c r="BW58" s="77"/>
      <c r="BX58" s="77"/>
      <c r="BY58" s="77"/>
      <c r="BZ58" s="77"/>
      <c r="CA58" s="77"/>
      <c r="CB58" s="77"/>
      <c r="CC58" s="77"/>
      <c r="CD58" s="70"/>
    </row>
    <row r="59" spans="46:82" x14ac:dyDescent="0.2">
      <c r="AZ59" s="151"/>
      <c r="BA59" s="151"/>
      <c r="BB59" s="151"/>
      <c r="BC59" s="151"/>
      <c r="BD59" s="151"/>
      <c r="BE59" s="151"/>
      <c r="BF59" s="151"/>
      <c r="BG59" s="151"/>
      <c r="BH59" s="151"/>
      <c r="BI59" s="151"/>
      <c r="BJ59" s="151"/>
      <c r="BR59" s="69" t="s">
        <v>26</v>
      </c>
      <c r="BS59" s="77"/>
      <c r="BT59" s="77"/>
      <c r="BU59" s="77"/>
      <c r="BV59" s="77"/>
      <c r="BW59" s="77"/>
      <c r="BX59" s="77"/>
      <c r="BY59" s="77"/>
      <c r="BZ59" s="77"/>
      <c r="CA59" s="77"/>
      <c r="CB59" s="77"/>
      <c r="CC59" s="77"/>
      <c r="CD59" s="70"/>
    </row>
    <row r="60" spans="46:82" x14ac:dyDescent="0.2">
      <c r="BR60" s="69" t="s">
        <v>25</v>
      </c>
      <c r="BS60" s="77"/>
      <c r="BT60" s="77"/>
      <c r="BU60" s="77"/>
      <c r="BV60" s="77"/>
      <c r="BW60" s="77"/>
      <c r="BX60" s="77"/>
      <c r="BY60" s="77"/>
      <c r="BZ60" s="77"/>
      <c r="CA60" s="77"/>
      <c r="CB60" s="77"/>
      <c r="CC60" s="77"/>
      <c r="CD60" s="70"/>
    </row>
    <row r="61" spans="46:82" x14ac:dyDescent="0.2">
      <c r="BR61" s="69" t="s">
        <v>24</v>
      </c>
      <c r="BS61" s="77"/>
      <c r="BT61" s="77"/>
      <c r="BU61" s="77"/>
      <c r="BV61" s="77"/>
      <c r="BW61" s="77"/>
      <c r="BX61" s="77"/>
      <c r="BY61" s="77"/>
      <c r="BZ61" s="77"/>
      <c r="CA61" s="77"/>
      <c r="CB61" s="77"/>
      <c r="CC61" s="77"/>
      <c r="CD61" s="70"/>
    </row>
    <row r="62" spans="46:82" x14ac:dyDescent="0.2">
      <c r="AZ62" s="10"/>
      <c r="BA62" s="10"/>
      <c r="BD62" s="9"/>
      <c r="BE62" s="9"/>
      <c r="BJ62" s="8"/>
      <c r="BR62" s="69" t="s">
        <v>23</v>
      </c>
      <c r="BS62" s="77"/>
      <c r="BT62" s="77"/>
      <c r="BU62" s="77"/>
      <c r="BV62" s="77"/>
      <c r="BW62" s="77"/>
      <c r="BX62" s="77"/>
      <c r="BY62" s="77"/>
      <c r="BZ62" s="77"/>
      <c r="CA62" s="77"/>
      <c r="CB62" s="77"/>
      <c r="CC62" s="77"/>
      <c r="CD62" s="70"/>
    </row>
    <row r="63" spans="46:82" x14ac:dyDescent="0.2">
      <c r="AZ63" s="10"/>
      <c r="BA63" s="10"/>
      <c r="BD63" s="9"/>
      <c r="BE63" s="9"/>
      <c r="BJ63" s="8"/>
      <c r="BR63" s="69" t="s">
        <v>22</v>
      </c>
      <c r="BS63" s="77"/>
      <c r="BT63" s="77"/>
      <c r="BU63" s="77"/>
      <c r="BV63" s="77"/>
      <c r="BW63" s="77"/>
      <c r="BX63" s="77"/>
      <c r="BY63" s="77"/>
      <c r="BZ63" s="77"/>
      <c r="CA63" s="77"/>
      <c r="CB63" s="77"/>
      <c r="CC63" s="77"/>
      <c r="CD63" s="70"/>
    </row>
    <row r="64" spans="46:82" x14ac:dyDescent="0.2">
      <c r="AZ64" s="10"/>
      <c r="BA64" s="10"/>
      <c r="BD64" s="9"/>
      <c r="BE64" s="9"/>
      <c r="BJ64" s="8"/>
      <c r="BR64" s="69" t="s">
        <v>21</v>
      </c>
      <c r="BS64" s="77"/>
      <c r="BT64" s="77"/>
      <c r="BU64" s="77"/>
      <c r="BV64" s="77"/>
      <c r="BW64" s="77"/>
      <c r="BX64" s="77"/>
      <c r="BY64" s="77"/>
      <c r="BZ64" s="77"/>
      <c r="CA64" s="77"/>
      <c r="CB64" s="77"/>
      <c r="CC64" s="77"/>
      <c r="CD64" s="70"/>
    </row>
    <row r="65" spans="2:82" x14ac:dyDescent="0.2">
      <c r="AZ65" s="10"/>
      <c r="BA65" s="10"/>
      <c r="BD65" s="9"/>
      <c r="BE65" s="9"/>
      <c r="BJ65" s="8"/>
      <c r="BR65" s="69" t="s">
        <v>20</v>
      </c>
      <c r="BS65" s="77"/>
      <c r="BT65" s="77"/>
      <c r="BU65" s="77"/>
      <c r="BV65" s="77"/>
      <c r="BW65" s="77"/>
      <c r="BX65" s="77"/>
      <c r="BY65" s="77"/>
      <c r="BZ65" s="77"/>
      <c r="CA65" s="77"/>
      <c r="CB65" s="77"/>
      <c r="CC65" s="77"/>
      <c r="CD65" s="70"/>
    </row>
    <row r="66" spans="2:82" x14ac:dyDescent="0.2">
      <c r="C66" s="108" t="s">
        <v>132</v>
      </c>
      <c r="AO66" s="7"/>
      <c r="BR66" s="81" t="s">
        <v>19</v>
      </c>
      <c r="BS66" s="82"/>
      <c r="BT66" s="82"/>
      <c r="BU66" s="82"/>
      <c r="BV66" s="82"/>
      <c r="BW66" s="82"/>
      <c r="BX66" s="82"/>
      <c r="BY66" s="82"/>
      <c r="BZ66" s="82"/>
      <c r="CA66" s="82"/>
      <c r="CB66" s="82"/>
      <c r="CC66" s="82"/>
      <c r="CD66" s="80"/>
    </row>
    <row r="67" spans="2:82" x14ac:dyDescent="0.2">
      <c r="C67" s="108" t="str">
        <f>IF(Param!B38&lt;&gt;"",_xlfn.CONCAT("Note: ",Param!B38),"")</f>
        <v/>
      </c>
      <c r="AO67" s="7"/>
      <c r="BR67" s="71" t="s">
        <v>18</v>
      </c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4"/>
    </row>
    <row r="68" spans="2:82" x14ac:dyDescent="0.2">
      <c r="B68" s="75"/>
      <c r="C68" s="75"/>
      <c r="BR68" s="74" t="s">
        <v>17</v>
      </c>
      <c r="BS68" s="75"/>
      <c r="BT68" s="75"/>
      <c r="BU68" s="75"/>
      <c r="BV68" s="75"/>
      <c r="BW68" s="75"/>
      <c r="BX68" s="75"/>
      <c r="BY68" s="75"/>
      <c r="BZ68" s="75"/>
      <c r="CA68" s="75"/>
      <c r="CB68" s="75"/>
      <c r="CC68" s="75"/>
      <c r="CD68" s="1"/>
    </row>
    <row r="69" spans="2:82" x14ac:dyDescent="0.2">
      <c r="B69" s="108" t="s">
        <v>16</v>
      </c>
      <c r="D69" s="72"/>
      <c r="E69" s="72"/>
      <c r="F69" s="72"/>
      <c r="G69" s="72"/>
      <c r="H69" s="72"/>
      <c r="I69" s="72"/>
      <c r="J69" s="4"/>
      <c r="K69" s="71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4"/>
      <c r="X69" s="71"/>
      <c r="Y69" s="72" t="s">
        <v>15</v>
      </c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163" t="s">
        <v>14</v>
      </c>
      <c r="AZ69" s="163"/>
      <c r="BA69" s="164"/>
      <c r="BB69" s="71" t="str">
        <f>Param!B3</f>
        <v xml:space="preserve">Roberts, James
</v>
      </c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4"/>
      <c r="BN69" s="71" t="s">
        <v>58</v>
      </c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CB69" s="167">
        <f>SUM(BW39:CB39)</f>
        <v>14.379999999999999</v>
      </c>
      <c r="CC69" s="167"/>
      <c r="CD69" s="167"/>
    </row>
    <row r="70" spans="2:82" x14ac:dyDescent="0.2">
      <c r="J70" s="5"/>
      <c r="K70" s="73"/>
      <c r="W70" s="5"/>
      <c r="X70" s="74"/>
      <c r="Y70" s="75" t="s">
        <v>5</v>
      </c>
      <c r="Z70" s="75"/>
      <c r="AA70" s="75"/>
      <c r="AB70" s="75"/>
      <c r="AC70" s="75"/>
      <c r="AD70" s="75"/>
      <c r="AE70" s="75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S70" s="75"/>
      <c r="AT70" s="75"/>
      <c r="AU70" s="75"/>
      <c r="AV70" s="75"/>
      <c r="AW70" s="75"/>
      <c r="AX70" s="75"/>
      <c r="AY70" s="75"/>
      <c r="AZ70" s="75"/>
      <c r="BA70" s="1"/>
      <c r="BB70" s="74"/>
      <c r="BC70" s="75"/>
      <c r="BD70" s="75"/>
      <c r="BE70" s="75"/>
      <c r="BF70" s="75"/>
      <c r="BG70" s="75"/>
      <c r="BH70" s="75"/>
      <c r="BI70" s="75"/>
      <c r="BJ70" s="75"/>
      <c r="BK70" s="75"/>
      <c r="BL70" s="75"/>
      <c r="BM70" s="1"/>
      <c r="BN70" s="74" t="s">
        <v>13</v>
      </c>
      <c r="BO70" s="75"/>
      <c r="BP70" s="75"/>
      <c r="BQ70" s="75"/>
      <c r="BR70" s="75"/>
      <c r="BS70" s="75"/>
      <c r="BT70" s="75"/>
      <c r="BU70" s="75"/>
      <c r="BV70" s="75"/>
      <c r="BW70" s="75"/>
      <c r="BX70" s="75"/>
      <c r="BY70" s="75"/>
      <c r="BZ70" s="75"/>
      <c r="CA70" s="75"/>
      <c r="CB70" s="75"/>
      <c r="CC70" s="75"/>
      <c r="CD70" s="1"/>
    </row>
    <row r="71" spans="2:82" x14ac:dyDescent="0.2">
      <c r="J71" s="5"/>
      <c r="K71" s="73"/>
      <c r="W71" s="5"/>
      <c r="X71" s="71"/>
      <c r="Y71" s="72" t="s">
        <v>12</v>
      </c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163" t="s">
        <v>11</v>
      </c>
      <c r="AZ71" s="163"/>
      <c r="BA71" s="164"/>
      <c r="BB71" s="71" t="str">
        <f>Param!B4</f>
        <v>83 Catherine Way Daruka</v>
      </c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4"/>
      <c r="BN71" s="71" t="s">
        <v>10</v>
      </c>
      <c r="BO71" s="72"/>
      <c r="BP71" s="4"/>
      <c r="BQ71" s="71" t="s">
        <v>9</v>
      </c>
      <c r="BR71" s="72"/>
      <c r="BS71" s="4"/>
      <c r="BT71" s="71" t="s">
        <v>8</v>
      </c>
      <c r="BU71" s="72"/>
      <c r="BV71" s="72"/>
      <c r="BW71" s="4"/>
      <c r="BX71" s="71" t="s">
        <v>7</v>
      </c>
      <c r="BY71" s="72"/>
      <c r="BZ71" s="4"/>
      <c r="CA71" s="71" t="s">
        <v>6</v>
      </c>
      <c r="CB71" s="72"/>
      <c r="CC71" s="72"/>
      <c r="CD71" s="4"/>
    </row>
    <row r="72" spans="2:82" x14ac:dyDescent="0.2">
      <c r="J72" s="5"/>
      <c r="K72" s="73"/>
      <c r="W72" s="5"/>
      <c r="X72" s="74"/>
      <c r="Y72" s="75" t="s">
        <v>5</v>
      </c>
      <c r="Z72" s="75"/>
      <c r="AA72" s="75"/>
      <c r="AB72" s="75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5"/>
      <c r="BA72" s="1"/>
      <c r="BB72" s="74"/>
      <c r="BC72" s="75"/>
      <c r="BD72" s="75"/>
      <c r="BE72" s="75"/>
      <c r="BF72" s="75"/>
      <c r="BG72" s="75"/>
      <c r="BH72" s="75"/>
      <c r="BI72" s="75"/>
      <c r="BJ72" s="75"/>
      <c r="BK72" s="75"/>
      <c r="BL72" s="75"/>
      <c r="BM72" s="1"/>
      <c r="BN72" s="168" t="s">
        <v>61</v>
      </c>
      <c r="BO72" s="169"/>
      <c r="BP72" s="170"/>
      <c r="BQ72" s="168" t="s">
        <v>4</v>
      </c>
      <c r="BR72" s="169"/>
      <c r="BS72" s="170"/>
      <c r="BT72" s="168" t="s">
        <v>4</v>
      </c>
      <c r="BU72" s="169"/>
      <c r="BV72" s="169"/>
      <c r="BW72" s="1"/>
      <c r="BX72" s="171">
        <f ca="1">TODAY()</f>
        <v>44236</v>
      </c>
      <c r="BY72" s="172"/>
      <c r="BZ72" s="173"/>
      <c r="CA72" s="6" t="s">
        <v>3</v>
      </c>
      <c r="CB72" s="75"/>
      <c r="CC72" s="75"/>
      <c r="CD72" s="1"/>
    </row>
    <row r="73" spans="2:82" x14ac:dyDescent="0.2">
      <c r="J73" s="5"/>
      <c r="K73" s="73"/>
      <c r="W73" s="5"/>
      <c r="X73" s="71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Y73" s="163" t="s">
        <v>2</v>
      </c>
      <c r="AZ73" s="163"/>
      <c r="BA73" s="164"/>
      <c r="BB73" s="165">
        <f>Param!B2</f>
        <v>26476</v>
      </c>
      <c r="BC73" s="166"/>
      <c r="BD73" s="72"/>
      <c r="BE73" s="72"/>
      <c r="BF73" s="72"/>
      <c r="BG73" s="72"/>
      <c r="BH73" s="72"/>
      <c r="BI73" s="72"/>
      <c r="BJ73" s="72"/>
      <c r="BK73" s="72"/>
      <c r="BL73" s="72"/>
      <c r="BM73" s="4"/>
      <c r="BN73" s="71" t="s">
        <v>1</v>
      </c>
      <c r="BO73" s="72"/>
      <c r="BP73" s="72"/>
      <c r="BQ73" s="72">
        <v>1</v>
      </c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4"/>
    </row>
    <row r="74" spans="2:82" x14ac:dyDescent="0.2">
      <c r="C74" s="75"/>
      <c r="D74" s="75"/>
      <c r="E74" s="75"/>
      <c r="F74" s="75"/>
      <c r="G74" s="75"/>
      <c r="H74" s="75"/>
      <c r="I74" s="75"/>
      <c r="J74" s="1"/>
      <c r="K74" s="74"/>
      <c r="L74" s="75"/>
      <c r="M74" s="75"/>
      <c r="N74" s="75"/>
      <c r="O74" s="75"/>
      <c r="P74" s="75"/>
      <c r="Q74" s="75"/>
      <c r="R74" s="75"/>
      <c r="S74" s="75"/>
      <c r="T74" s="75"/>
      <c r="U74" s="75"/>
      <c r="V74" s="75"/>
      <c r="W74" s="1"/>
      <c r="X74" s="74"/>
      <c r="Y74" s="75"/>
      <c r="Z74" s="75"/>
      <c r="AA74" s="75"/>
      <c r="AB74" s="75"/>
      <c r="AC74" s="75"/>
      <c r="AD74" s="75"/>
      <c r="AE74" s="75"/>
      <c r="AF74" s="75"/>
      <c r="AG74" s="75"/>
      <c r="AH74" s="75"/>
      <c r="AI74" s="75"/>
      <c r="AJ74" s="75"/>
      <c r="AK74" s="75"/>
      <c r="AL74" s="75"/>
      <c r="AZ74" s="75"/>
      <c r="BA74" s="1"/>
      <c r="BB74" s="74"/>
      <c r="BC74" s="75"/>
      <c r="BD74" s="75"/>
      <c r="BE74" s="75"/>
      <c r="BF74" s="75"/>
      <c r="BG74" s="75"/>
      <c r="BH74" s="75"/>
      <c r="BI74" s="75"/>
      <c r="BJ74" s="75"/>
      <c r="BK74" s="75"/>
      <c r="BL74" s="75"/>
      <c r="BM74" s="1"/>
      <c r="BN74" s="74" t="s">
        <v>0</v>
      </c>
      <c r="BO74" s="75"/>
      <c r="BP74" s="75"/>
      <c r="BQ74" s="3" t="s">
        <v>144</v>
      </c>
      <c r="BR74" s="75"/>
      <c r="BS74" s="75"/>
      <c r="BT74" s="75"/>
      <c r="BU74" s="75"/>
      <c r="BV74" s="75"/>
      <c r="BW74" s="75"/>
      <c r="BX74" s="75"/>
      <c r="BY74" s="75"/>
      <c r="BZ74" s="75"/>
      <c r="CA74" s="75"/>
      <c r="CB74" s="75"/>
      <c r="CC74" s="75"/>
      <c r="CD74" s="1"/>
    </row>
  </sheetData>
  <mergeCells count="86">
    <mergeCell ref="BW38:BX38"/>
    <mergeCell ref="BR35:BT35"/>
    <mergeCell ref="BR33:CB33"/>
    <mergeCell ref="BU35:BV35"/>
    <mergeCell ref="BW35:BX35"/>
    <mergeCell ref="BR37:BT37"/>
    <mergeCell ref="BU37:BV37"/>
    <mergeCell ref="BW37:BX37"/>
    <mergeCell ref="BY37:BZ37"/>
    <mergeCell ref="CA37:CB37"/>
    <mergeCell ref="BR36:BT36"/>
    <mergeCell ref="BU36:BV36"/>
    <mergeCell ref="BW36:BX36"/>
    <mergeCell ref="BY36:BZ36"/>
    <mergeCell ref="CA11:CC11"/>
    <mergeCell ref="CA21:CC21"/>
    <mergeCell ref="CA22:CC22"/>
    <mergeCell ref="CA23:CC23"/>
    <mergeCell ref="BX9:BZ9"/>
    <mergeCell ref="BX10:BZ10"/>
    <mergeCell ref="BY18:BZ18"/>
    <mergeCell ref="BY19:BZ19"/>
    <mergeCell ref="BV16:BZ16"/>
    <mergeCell ref="BV17:BZ17"/>
    <mergeCell ref="BV15:BZ15"/>
    <mergeCell ref="BW18:BX18"/>
    <mergeCell ref="BW19:BX19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BR34:BT34"/>
    <mergeCell ref="BU34:BV34"/>
    <mergeCell ref="BW34:BX34"/>
    <mergeCell ref="BY34:BZ34"/>
    <mergeCell ref="CA34:CB34"/>
    <mergeCell ref="BR38:BT38"/>
    <mergeCell ref="BU38:BV38"/>
    <mergeCell ref="BR39:BV39"/>
    <mergeCell ref="BW39:BX39"/>
    <mergeCell ref="BY39:BZ39"/>
    <mergeCell ref="CA39:CB39"/>
    <mergeCell ref="AT40:AT41"/>
    <mergeCell ref="CA41:CB41"/>
    <mergeCell ref="BR42:BT42"/>
    <mergeCell ref="BU42:BV42"/>
    <mergeCell ref="BW42:BX42"/>
    <mergeCell ref="BY42:BZ42"/>
    <mergeCell ref="CA42:CB42"/>
    <mergeCell ref="BR41:BT41"/>
    <mergeCell ref="BU41:BV41"/>
    <mergeCell ref="BW41:BX41"/>
    <mergeCell ref="BY41:BZ41"/>
    <mergeCell ref="BW49:CD49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X28:BZ28"/>
    <mergeCell ref="BX27:BZ27"/>
    <mergeCell ref="BV6:BZ6"/>
    <mergeCell ref="BV7:BZ7"/>
    <mergeCell ref="BW8:BZ8"/>
    <mergeCell ref="BX11:BZ11"/>
    <mergeCell ref="BV12:BZ12"/>
    <mergeCell ref="BX24:BZ24"/>
    <mergeCell ref="BX25:BZ25"/>
    <mergeCell ref="BX26:BZ26"/>
    <mergeCell ref="BY20:BZ20"/>
    <mergeCell ref="BY21:BZ21"/>
  </mergeCells>
  <conditionalFormatting sqref="BH62:BI65">
    <cfRule type="cellIs" dxfId="3" priority="4" operator="greaterThan">
      <formula>600</formula>
    </cfRule>
  </conditionalFormatting>
  <conditionalFormatting sqref="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29:CA30">
    <cfRule type="cellIs" dxfId="0" priority="2" operator="greaterThan">
      <formula>600</formula>
    </cfRule>
  </conditionalFormatting>
  <pageMargins left="0.5" right="0.5" top="0.5" bottom="0.5" header="0" footer="0"/>
  <pageSetup paperSize="9" scale="45" orientation="landscape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Param</vt:lpstr>
      <vt:lpstr>Vrise</vt:lpstr>
      <vt:lpstr>PW2-ENP-Partial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2021-02-09T00:48:22Z</cp:lastPrinted>
  <dcterms:created xsi:type="dcterms:W3CDTF">2020-10-29T22:28:43Z</dcterms:created>
  <dcterms:modified xsi:type="dcterms:W3CDTF">2021-02-09T00:48:44Z</dcterms:modified>
</cp:coreProperties>
</file>