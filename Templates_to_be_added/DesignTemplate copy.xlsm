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Volumes/GoogleDrive/.shortcut-targets-by-id/0B48f_ri5yfeAcVBIT3M3bTZBTW8/Shared Docs/PROJECTS/Customers - Domestic Jobs/26394 | Jones, Terry - Kearsley/2. Design Documents/"/>
    </mc:Choice>
  </mc:AlternateContent>
  <xr:revisionPtr revIDLastSave="0" documentId="13_ncr:1_{FB10DBC8-A417-2747-B762-B2C5FE13B975}" xr6:coauthVersionLast="46" xr6:coauthVersionMax="46" xr10:uidLastSave="{00000000-0000-0000-0000-000000000000}"/>
  <bookViews>
    <workbookView xWindow="1060" yWindow="460" windowWidth="28920" windowHeight="17340" activeTab="2" xr2:uid="{5C310A73-3E33-5C44-B32F-CABC6D95981F}"/>
  </bookViews>
  <sheets>
    <sheet name="Param" sheetId="3" r:id="rId1"/>
    <sheet name="Vrise" sheetId="1" r:id="rId2"/>
    <sheet name="1MPPT-string" sheetId="14" r:id="rId3"/>
    <sheet name="2MPPT-string" sheetId="2" r:id="rId4"/>
  </sheets>
  <functionGroups builtInGroupCount="19"/>
  <externalReferences>
    <externalReference r:id="rId5"/>
  </externalReferences>
  <definedNames>
    <definedName name="_xlnm.Print_Area" localSheetId="2">'1MPPT-string'!$A$1:$CE$75</definedName>
    <definedName name="rule_s1_oversized">[1]Rules!$C$5</definedName>
    <definedName name="rule_s1_under">[1]Rules!$C$10</definedName>
    <definedName name="rule_s2_oversized">[1]Rules!$C$6</definedName>
    <definedName name="rule_s2_under">[1]Rules!$C$11</definedName>
    <definedName name="String_1">[1]Manage!$I$28</definedName>
    <definedName name="String_2">[1]Manage!$I$29</definedName>
  </definedNames>
  <calcPr calcId="191029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V47" i="14" l="1"/>
  <c r="BW27" i="14"/>
  <c r="BY27" i="14"/>
  <c r="CC25" i="14"/>
  <c r="CA25" i="14"/>
  <c r="CC27" i="14"/>
  <c r="BN69" i="14"/>
  <c r="BW49" i="14"/>
  <c r="BV48" i="14"/>
  <c r="CA27" i="14"/>
  <c r="R60" i="14"/>
  <c r="BV18" i="14"/>
  <c r="BW48" i="14"/>
  <c r="BW7" i="14"/>
  <c r="BV19" i="14"/>
  <c r="BW9" i="14"/>
  <c r="BW47" i="14"/>
  <c r="F31" i="1"/>
  <c r="D31" i="1"/>
  <c r="B31" i="1"/>
  <c r="AM12" i="2"/>
  <c r="AM12" i="14"/>
  <c r="AK6" i="2"/>
  <c r="AK5" i="14"/>
  <c r="J66" i="2"/>
  <c r="BW8" i="2"/>
  <c r="BV12" i="2"/>
  <c r="BW8" i="14"/>
  <c r="BW12" i="14"/>
  <c r="C40" i="1"/>
  <c r="BC31" i="2"/>
  <c r="BC40" i="2"/>
  <c r="BW26" i="2"/>
  <c r="CA27" i="2"/>
  <c r="BW27" i="2"/>
  <c r="G35" i="1"/>
  <c r="BZ38" i="14"/>
  <c r="E35" i="1"/>
  <c r="BV38" i="14"/>
  <c r="C35" i="1"/>
  <c r="BR38" i="14"/>
  <c r="BZ38" i="2"/>
  <c r="BV38" i="2"/>
  <c r="BR38" i="2"/>
  <c r="G34" i="1"/>
  <c r="G36" i="1"/>
  <c r="G38" i="1" a="1"/>
  <c r="G38" i="1"/>
  <c r="BZ39" i="14"/>
  <c r="E32" i="1"/>
  <c r="E36" i="1"/>
  <c r="E38" i="1" a="1"/>
  <c r="E38" i="1"/>
  <c r="BV39" i="14"/>
  <c r="C32" i="1"/>
  <c r="C36" i="1"/>
  <c r="C38" i="1" a="1"/>
  <c r="C38" i="1"/>
  <c r="BR39" i="14"/>
  <c r="BZ37" i="14"/>
  <c r="BV37" i="14"/>
  <c r="BR37" i="14"/>
  <c r="BZ36" i="14"/>
  <c r="BV36" i="14"/>
  <c r="BR36" i="14"/>
  <c r="G32" i="1"/>
  <c r="BZ35" i="14"/>
  <c r="BV35" i="14"/>
  <c r="BR35" i="14"/>
  <c r="BZ37" i="2"/>
  <c r="BV37" i="2"/>
  <c r="BR37" i="2"/>
  <c r="BZ39" i="2"/>
  <c r="BV39" i="2"/>
  <c r="BR39" i="2"/>
  <c r="BZ36" i="2"/>
  <c r="BV36" i="2"/>
  <c r="BR36" i="2"/>
  <c r="BZ35" i="2"/>
  <c r="BV35" i="2"/>
  <c r="BR35" i="2"/>
  <c r="BY26" i="2"/>
  <c r="CA26" i="2"/>
  <c r="BW25" i="14"/>
  <c r="BY25" i="14"/>
  <c r="BW10" i="14"/>
  <c r="BW11" i="14"/>
  <c r="BV17" i="14"/>
  <c r="BW6" i="14"/>
  <c r="BY28" i="2"/>
  <c r="BW28" i="2"/>
  <c r="CA28" i="2"/>
  <c r="BY27" i="2"/>
  <c r="Q42" i="2"/>
  <c r="R62" i="2"/>
  <c r="R42" i="14"/>
  <c r="K55" i="14"/>
  <c r="K54" i="14"/>
  <c r="D31" i="2"/>
  <c r="D30" i="2"/>
  <c r="O61" i="2"/>
  <c r="O60" i="2"/>
  <c r="K54" i="2"/>
  <c r="O60" i="14"/>
  <c r="O61" i="14"/>
  <c r="K55" i="2"/>
  <c r="BE36" i="14"/>
  <c r="BB73" i="2"/>
  <c r="BB71" i="2"/>
  <c r="BB69" i="2"/>
  <c r="BV47" i="2"/>
  <c r="BD31" i="2"/>
  <c r="BC49" i="2"/>
  <c r="BV19" i="2"/>
  <c r="BV18" i="2"/>
  <c r="BV17" i="2"/>
  <c r="BX11" i="2"/>
  <c r="BX10" i="2"/>
  <c r="BX9" i="2"/>
  <c r="BV7" i="2"/>
  <c r="BV6" i="2"/>
  <c r="BB73" i="14"/>
  <c r="BB71" i="14"/>
  <c r="BB69" i="14"/>
  <c r="E30" i="1"/>
  <c r="C30" i="1"/>
  <c r="BX72" i="14"/>
  <c r="Q42" i="14"/>
  <c r="BW49" i="2"/>
  <c r="CB69" i="2"/>
  <c r="BW48" i="2"/>
  <c r="BX72" i="2"/>
  <c r="G37" i="1" a="1"/>
  <c r="C37" i="1" a="1"/>
  <c r="BW47" i="2"/>
  <c r="BN69" i="2"/>
  <c r="C37" i="1"/>
  <c r="G37" i="1"/>
  <c r="G39" i="1"/>
  <c r="E37" i="1" a="1"/>
  <c r="E39" i="1"/>
  <c r="E37" i="1"/>
  <c r="C39" i="1"/>
  <c r="F40" i="1"/>
  <c r="G40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<sst xmlns="http://schemas.openxmlformats.org/spreadsheetml/2006/main" count="296" uniqueCount="167">
  <si>
    <t>Date:</t>
  </si>
  <si>
    <t>Version:</t>
  </si>
  <si>
    <t>Job No.</t>
  </si>
  <si>
    <t>A4035434</t>
  </si>
  <si>
    <t>LW</t>
  </si>
  <si>
    <t>HCB SOLAR | LG ELECTRONICS</t>
  </si>
  <si>
    <t>ACCREDIATION</t>
  </si>
  <si>
    <t>DATE</t>
  </si>
  <si>
    <t>APPROVED</t>
  </si>
  <si>
    <t>CHECKED</t>
  </si>
  <si>
    <t>DRAWN</t>
  </si>
  <si>
    <t>Project</t>
  </si>
  <si>
    <t>Solar Design</t>
  </si>
  <si>
    <t>SCALE: NTS</t>
  </si>
  <si>
    <t>Client</t>
  </si>
  <si>
    <t>Project Management</t>
  </si>
  <si>
    <t>REVISION DESCRIPTION</t>
  </si>
  <si>
    <t>PV Single Line Diagram</t>
  </si>
  <si>
    <t>TITLE</t>
  </si>
  <si>
    <t>per conductor unless otherwise noted.</t>
  </si>
  <si>
    <t>5. All DC and earth cable sizes shall be min 4mm2</t>
  </si>
  <si>
    <t>4. Design is compliant with AS5033/2012</t>
  </si>
  <si>
    <t>per relevant Australian Standards</t>
  </si>
  <si>
    <t>3. All the safety related issues shall be addressed as</t>
  </si>
  <si>
    <t>as per relevant Australian Standards</t>
  </si>
  <si>
    <t xml:space="preserve">2. The cables/switches shall be designed and installed </t>
  </si>
  <si>
    <t>Australian Standards</t>
  </si>
  <si>
    <t>licensed electrical contractor as per relevant</t>
  </si>
  <si>
    <t xml:space="preserve">1. The installation shall be completed by a </t>
  </si>
  <si>
    <t>Notes:</t>
  </si>
  <si>
    <t>Metering as agreed with Distrib.</t>
  </si>
  <si>
    <t>M1</t>
  </si>
  <si>
    <t>DC Isolator, 1000V DC, 32A</t>
  </si>
  <si>
    <t>IS</t>
  </si>
  <si>
    <t>AC 01</t>
  </si>
  <si>
    <t>INV 01</t>
  </si>
  <si>
    <t>Solar System AC Main Switch</t>
  </si>
  <si>
    <t>CB 01</t>
  </si>
  <si>
    <t>Inverter No. 1</t>
  </si>
  <si>
    <t>SYSTEM SIZE</t>
  </si>
  <si>
    <t>Panels</t>
  </si>
  <si>
    <t>IS 04</t>
  </si>
  <si>
    <t>IS 03</t>
  </si>
  <si>
    <t>Grid Connect</t>
  </si>
  <si>
    <t>INVERTER</t>
  </si>
  <si>
    <t>PANELS</t>
  </si>
  <si>
    <t>Description</t>
  </si>
  <si>
    <t>Qty</t>
  </si>
  <si>
    <t>ID</t>
  </si>
  <si>
    <t>Bill of Quantities</t>
  </si>
  <si>
    <t>B</t>
  </si>
  <si>
    <t>IS 02</t>
  </si>
  <si>
    <t>IS 01</t>
  </si>
  <si>
    <t>A</t>
  </si>
  <si>
    <t>INV01</t>
  </si>
  <si>
    <t>Isc</t>
  </si>
  <si>
    <t>Voc</t>
  </si>
  <si>
    <t>N.Panels</t>
  </si>
  <si>
    <t>MPPT</t>
  </si>
  <si>
    <t>Inv</t>
  </si>
  <si>
    <t>Total kWac</t>
  </si>
  <si>
    <t>Model</t>
  </si>
  <si>
    <t>Make</t>
  </si>
  <si>
    <t>No. of Inverters: 1</t>
  </si>
  <si>
    <t>Inverter Parameters</t>
  </si>
  <si>
    <t>Short Circuit Current</t>
  </si>
  <si>
    <t>Open Circuit Voltage</t>
  </si>
  <si>
    <t>Module Power</t>
  </si>
  <si>
    <t>Solar Panel Parameters</t>
  </si>
  <si>
    <t>Customer:</t>
  </si>
  <si>
    <t>Address:</t>
  </si>
  <si>
    <t>Phases</t>
  </si>
  <si>
    <t>Conductor Type</t>
  </si>
  <si>
    <t>Copper</t>
  </si>
  <si>
    <t>Conductor Size</t>
  </si>
  <si>
    <t>Conductor Length (m)</t>
  </si>
  <si>
    <t>Maximum Amperage/Phase</t>
  </si>
  <si>
    <t>Am per %Vd</t>
  </si>
  <si>
    <t>(%) Voltage Drop</t>
  </si>
  <si>
    <t>(V) Voltage Drop</t>
  </si>
  <si>
    <t>LG Electronics</t>
  </si>
  <si>
    <t>String 1</t>
  </si>
  <si>
    <t>String 2</t>
  </si>
  <si>
    <t>No. of Panels</t>
  </si>
  <si>
    <t>String Power</t>
  </si>
  <si>
    <t>String Voltage</t>
  </si>
  <si>
    <t>String Short Circuit Current</t>
  </si>
  <si>
    <t>Loads</t>
  </si>
  <si>
    <t>240V AC (if required)</t>
  </si>
  <si>
    <t>Main Switch</t>
  </si>
  <si>
    <t>Inverter Supply</t>
  </si>
  <si>
    <t>A.C Isolator</t>
  </si>
  <si>
    <t>Inverter</t>
  </si>
  <si>
    <t>D.C. Isolator</t>
  </si>
  <si>
    <t>P.V. Array</t>
  </si>
  <si>
    <t>MSB</t>
  </si>
  <si>
    <t xml:space="preserve">House </t>
  </si>
  <si>
    <t>A.C. Isolator</t>
  </si>
  <si>
    <t>JS</t>
  </si>
  <si>
    <t>Client Information</t>
  </si>
  <si>
    <t>Job Number</t>
  </si>
  <si>
    <t>Address</t>
  </si>
  <si>
    <t>Client Name</t>
  </si>
  <si>
    <t>Panel Manufacturer</t>
  </si>
  <si>
    <t>Panel Model</t>
  </si>
  <si>
    <t>Panel Number</t>
  </si>
  <si>
    <t>Inverter Manufacturer</t>
  </si>
  <si>
    <t>Inverter Model</t>
  </si>
  <si>
    <t>Panel Information</t>
  </si>
  <si>
    <t>Panel Power</t>
  </si>
  <si>
    <t>Panel Voc</t>
  </si>
  <si>
    <t>Panel Isc</t>
  </si>
  <si>
    <t>Inverter Information</t>
  </si>
  <si>
    <t>Inverter Phases</t>
  </si>
  <si>
    <t>Iout Max</t>
  </si>
  <si>
    <t>MpptA1</t>
  </si>
  <si>
    <t>MpptA2</t>
  </si>
  <si>
    <t>MpptB1</t>
  </si>
  <si>
    <t>MpptB2</t>
  </si>
  <si>
    <t>Vrise Info</t>
  </si>
  <si>
    <t>Service Main</t>
  </si>
  <si>
    <t>Consumer Main</t>
  </si>
  <si>
    <t xml:space="preserve">MSB </t>
  </si>
  <si>
    <t>Chosen Cable size</t>
  </si>
  <si>
    <t>Monitoring</t>
  </si>
  <si>
    <t>Extra</t>
  </si>
  <si>
    <t>Existing Array (kWac)</t>
  </si>
  <si>
    <t>No. Of Panels</t>
  </si>
  <si>
    <t>Total kWdc</t>
  </si>
  <si>
    <t>Voltage Rise Summary</t>
  </si>
  <si>
    <t>MSB to Inv</t>
  </si>
  <si>
    <t>SLD Notes</t>
  </si>
  <si>
    <t>Vrise Notes</t>
  </si>
  <si>
    <t>Block diagram</t>
  </si>
  <si>
    <t>Block 1</t>
  </si>
  <si>
    <t>line 1 up</t>
  </si>
  <si>
    <t>line 1 down</t>
  </si>
  <si>
    <t>Block 2</t>
  </si>
  <si>
    <t>line 2 up</t>
  </si>
  <si>
    <t>line 2 down</t>
  </si>
  <si>
    <t>Block 3</t>
  </si>
  <si>
    <t>1/""</t>
  </si>
  <si>
    <t>Note</t>
  </si>
  <si>
    <t>Column 1 Name</t>
  </si>
  <si>
    <t xml:space="preserve">Column 2 Name </t>
  </si>
  <si>
    <t>Column 3 Name</t>
  </si>
  <si>
    <t>18 Jan 2021</t>
  </si>
  <si>
    <t xml:space="preserve">Jones, Terry
</t>
  </si>
  <si>
    <t>3 Allandale Street Kearsley</t>
  </si>
  <si>
    <t>LG Mono X Plus</t>
  </si>
  <si>
    <t>SolarEdge</t>
  </si>
  <si>
    <t>SE5000H</t>
  </si>
  <si>
    <t>Service main to Private Pole</t>
  </si>
  <si>
    <t>Private Pole to MSB</t>
  </si>
  <si>
    <t>MSB to Inverter</t>
  </si>
  <si>
    <t>INV 02</t>
  </si>
  <si>
    <t>Inverter No. 2</t>
  </si>
  <si>
    <t>AC 02</t>
  </si>
  <si>
    <t>Array Parameters</t>
  </si>
  <si>
    <t>String 3</t>
  </si>
  <si>
    <t>String 1:</t>
  </si>
  <si>
    <t>String 2:</t>
  </si>
  <si>
    <t>String 3:</t>
  </si>
  <si>
    <t>(2P)</t>
  </si>
  <si>
    <t>String 4:</t>
  </si>
  <si>
    <t>String 4</t>
  </si>
  <si>
    <t>Note: For phase balance and voltage rise, each inverter must be installed on a diffferent phase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</si>
</sst>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d/mm/yy;@"/>
    <numFmt numFmtId="165" formatCode="#.0\ \k\W\a\c"/>
    <numFmt numFmtId="166" formatCode="#.##\ \A"/>
    <numFmt numFmtId="167" formatCode="#"/>
    <numFmt numFmtId="168" formatCode="#.#\ \V"/>
    <numFmt numFmtId="169" formatCode="#\ \W"/>
    <numFmt numFmtId="170" formatCode="#.0\ \k\W"/>
    <numFmt numFmtId="171" formatCode="0\ &quot;Phase&quot;"/>
    <numFmt numFmtId="172" formatCode="0\ &quot;mm2&quot;"/>
    <numFmt numFmtId="173" formatCode="0.00000"/>
    <numFmt numFmtId="174" formatCode="#.##\ \k\W\d\c"/>
    <numFmt numFmtId="175" formatCode="#.0\ \A"/>
  </numFmts>
  <fonts count="1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 (Body)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</fills>
  <borders count="47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rgb="FF000000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9" fontId="3" fillId="0" borderId="0" applyFont="0" applyFill="0" applyBorder="0" applyAlignment="0" applyProtection="0"/>
  </cellStyleXfs>
  <cellXfs count="263">
    <xf numFmtId="0" fontId="0" fillId="0" borderId="0" xfId="0"/>
    <xf numFmtId="0" fontId="0" fillId="0" borderId="1" xfId="0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1" fillId="0" borderId="3" xfId="0" applyFont="1" applyBorder="1"/>
    <xf numFmtId="0" fontId="2" fillId="0" borderId="0" xfId="0" applyFont="1"/>
    <xf numFmtId="0" fontId="3" fillId="0" borderId="1" xfId="0" applyFont="1" applyBorder="1"/>
    <xf numFmtId="0" fontId="3" fillId="0" borderId="2" xfId="0" applyFont="1" applyBorder="1"/>
    <xf numFmtId="0" fontId="3" fillId="0" borderId="3" xfId="0" applyFont="1" applyBorder="1"/>
    <xf numFmtId="0" fontId="3" fillId="0" borderId="7" xfId="0" applyFont="1" applyBorder="1"/>
    <xf numFmtId="0" fontId="3" fillId="0" borderId="0" xfId="0" applyFont="1"/>
    <xf numFmtId="0" fontId="3" fillId="0" borderId="8" xfId="0" applyFont="1" applyBorder="1"/>
    <xf numFmtId="166" fontId="0" fillId="0" borderId="0" xfId="0" applyNumberFormat="1"/>
    <xf numFmtId="167" fontId="0" fillId="0" borderId="0" xfId="0" applyNumberFormat="1"/>
    <xf numFmtId="0" fontId="0" fillId="0" borderId="0" xfId="0" applyAlignment="1">
      <alignment vertical="center"/>
    </xf>
    <xf numFmtId="0" fontId="3" fillId="0" borderId="4" xfId="0" applyFont="1" applyBorder="1"/>
    <xf numFmtId="0" fontId="3" fillId="0" borderId="5" xfId="0" applyFont="1" applyBorder="1"/>
    <xf numFmtId="0" fontId="4" fillId="0" borderId="6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6" xfId="0" applyFont="1" applyBorder="1"/>
    <xf numFmtId="0" fontId="3" fillId="0" borderId="11" xfId="0" applyFont="1" applyBorder="1"/>
    <xf numFmtId="0" fontId="3" fillId="0" borderId="12" xfId="0" applyFont="1" applyBorder="1"/>
    <xf numFmtId="0" fontId="3" fillId="0" borderId="13" xfId="0" applyFont="1" applyBorder="1"/>
    <xf numFmtId="0" fontId="3" fillId="0" borderId="14" xfId="0" applyFont="1" applyBorder="1"/>
    <xf numFmtId="165" fontId="3" fillId="0" borderId="0" xfId="0" applyNumberFormat="1" applyFont="1"/>
    <xf numFmtId="0" fontId="2" fillId="0" borderId="0" xfId="0" applyFont="1" applyAlignment="1">
      <alignment horizontal="left"/>
    </xf>
    <xf numFmtId="0" fontId="2" fillId="0" borderId="0" xfId="0" applyFont="1" applyAlignment="1">
      <alignment horizontal="right"/>
    </xf>
    <xf numFmtId="2" fontId="0" fillId="0" borderId="0" xfId="0" applyNumberFormat="1"/>
    <xf numFmtId="166" fontId="0" fillId="2" borderId="0" xfId="0" quotePrefix="1" applyNumberFormat="1" applyFill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9" fontId="0" fillId="2" borderId="0" xfId="0" applyNumberFormat="1" applyFill="1" applyAlignment="1">
      <alignment horizontal="center"/>
    </xf>
    <xf numFmtId="0" fontId="0" fillId="2" borderId="0" xfId="0" applyFill="1"/>
    <xf numFmtId="170" fontId="0" fillId="0" borderId="0" xfId="0" applyNumberFormat="1"/>
    <xf numFmtId="0" fontId="0" fillId="2" borderId="2" xfId="0" applyFill="1" applyBorder="1"/>
    <xf numFmtId="0" fontId="5" fillId="2" borderId="3" xfId="0" applyFont="1" applyFill="1" applyBorder="1"/>
    <xf numFmtId="0" fontId="5" fillId="2" borderId="0" xfId="0" applyFont="1" applyFill="1"/>
    <xf numFmtId="0" fontId="5" fillId="2" borderId="8" xfId="0" applyFont="1" applyFill="1" applyBorder="1"/>
    <xf numFmtId="0" fontId="0" fillId="2" borderId="8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6" xfId="0" applyFill="1" applyBorder="1"/>
    <xf numFmtId="0" fontId="0" fillId="2" borderId="3" xfId="0" applyFill="1" applyBorder="1"/>
    <xf numFmtId="166" fontId="0" fillId="0" borderId="0" xfId="0" quotePrefix="1" applyNumberFormat="1"/>
    <xf numFmtId="168" fontId="0" fillId="0" borderId="0" xfId="0" quotePrefix="1" applyNumberFormat="1"/>
    <xf numFmtId="169" fontId="0" fillId="0" borderId="0" xfId="0" applyNumberFormat="1"/>
    <xf numFmtId="0" fontId="0" fillId="0" borderId="0" xfId="0" quotePrefix="1"/>
    <xf numFmtId="0" fontId="0" fillId="0" borderId="0" xfId="0" applyAlignment="1">
      <alignment horizontal="center"/>
    </xf>
    <xf numFmtId="0" fontId="6" fillId="0" borderId="15" xfId="1" applyFont="1" applyBorder="1" applyAlignment="1">
      <alignment horizontal="right"/>
    </xf>
    <xf numFmtId="0" fontId="3" fillId="0" borderId="16" xfId="1" applyBorder="1" applyProtection="1">
      <protection locked="0"/>
    </xf>
    <xf numFmtId="0" fontId="3" fillId="0" borderId="20" xfId="1" applyBorder="1"/>
    <xf numFmtId="171" fontId="3" fillId="0" borderId="3" xfId="1" applyNumberFormat="1" applyBorder="1" applyProtection="1">
      <protection locked="0"/>
    </xf>
    <xf numFmtId="0" fontId="3" fillId="0" borderId="21" xfId="1" applyBorder="1"/>
    <xf numFmtId="171" fontId="3" fillId="0" borderId="22" xfId="1" applyNumberFormat="1" applyBorder="1" applyProtection="1">
      <protection locked="0"/>
    </xf>
    <xf numFmtId="0" fontId="3" fillId="0" borderId="3" xfId="1" applyBorder="1" applyProtection="1">
      <protection locked="0"/>
    </xf>
    <xf numFmtId="0" fontId="3" fillId="0" borderId="23" xfId="1" applyBorder="1" applyProtection="1">
      <protection locked="0"/>
    </xf>
    <xf numFmtId="0" fontId="3" fillId="0" borderId="1" xfId="1" applyBorder="1"/>
    <xf numFmtId="0" fontId="3" fillId="0" borderId="24" xfId="1" applyBorder="1" applyProtection="1">
      <protection locked="0"/>
    </xf>
    <xf numFmtId="0" fontId="3" fillId="0" borderId="25" xfId="1" applyBorder="1"/>
    <xf numFmtId="172" fontId="3" fillId="0" borderId="0" xfId="1" applyNumberFormat="1"/>
    <xf numFmtId="172" fontId="3" fillId="0" borderId="26" xfId="1" applyNumberFormat="1" applyBorder="1"/>
    <xf numFmtId="0" fontId="3" fillId="0" borderId="27" xfId="1" applyBorder="1"/>
    <xf numFmtId="2" fontId="3" fillId="0" borderId="6" xfId="1" applyNumberFormat="1" applyBorder="1" applyProtection="1">
      <protection locked="0"/>
    </xf>
    <xf numFmtId="2" fontId="3" fillId="0" borderId="28" xfId="1" applyNumberFormat="1" applyBorder="1" applyProtection="1">
      <protection locked="0"/>
    </xf>
    <xf numFmtId="2" fontId="3" fillId="0" borderId="5" xfId="1" applyNumberFormat="1" applyBorder="1" applyProtection="1">
      <protection locked="0"/>
    </xf>
    <xf numFmtId="2" fontId="3" fillId="0" borderId="29" xfId="1" applyNumberFormat="1" applyBorder="1" applyProtection="1">
      <protection locked="0"/>
    </xf>
    <xf numFmtId="0" fontId="3" fillId="0" borderId="30" xfId="1" applyBorder="1" applyAlignment="1">
      <alignment horizontal="left"/>
    </xf>
    <xf numFmtId="0" fontId="3" fillId="0" borderId="31" xfId="1" applyBorder="1"/>
    <xf numFmtId="0" fontId="3" fillId="0" borderId="32" xfId="1" applyBorder="1" applyAlignment="1">
      <alignment horizontal="left"/>
    </xf>
    <xf numFmtId="0" fontId="3" fillId="0" borderId="29" xfId="1" applyBorder="1"/>
    <xf numFmtId="0" fontId="3" fillId="0" borderId="15" xfId="1" applyBorder="1"/>
    <xf numFmtId="10" fontId="3" fillId="0" borderId="33" xfId="1" applyNumberFormat="1" applyBorder="1"/>
    <xf numFmtId="0" fontId="3" fillId="0" borderId="34" xfId="1" applyBorder="1"/>
    <xf numFmtId="173" fontId="3" fillId="0" borderId="35" xfId="1" applyNumberFormat="1" applyBorder="1"/>
    <xf numFmtId="0" fontId="3" fillId="0" borderId="33" xfId="1" applyBorder="1" applyAlignment="1" applyProtection="1">
      <alignment horizontal="left"/>
      <protection locked="0"/>
    </xf>
    <xf numFmtId="0" fontId="3" fillId="0" borderId="40" xfId="1" applyBorder="1" applyAlignment="1" applyProtection="1">
      <alignment horizontal="left"/>
      <protection locked="0"/>
    </xf>
    <xf numFmtId="0" fontId="3" fillId="0" borderId="41" xfId="1" applyBorder="1" applyAlignment="1" applyProtection="1">
      <alignment horizontal="left"/>
      <protection locked="0"/>
    </xf>
    <xf numFmtId="173" fontId="3" fillId="0" borderId="43" xfId="1" applyNumberFormat="1" applyBorder="1"/>
    <xf numFmtId="10" fontId="3" fillId="0" borderId="44" xfId="1" applyNumberFormat="1" applyBorder="1"/>
    <xf numFmtId="0" fontId="0" fillId="0" borderId="0" xfId="0"/>
    <xf numFmtId="0" fontId="0" fillId="0" borderId="0" xfId="0" applyAlignment="1">
      <alignment horizontal="center" vertical="center"/>
    </xf>
    <xf numFmtId="0" fontId="8" fillId="0" borderId="0" xfId="0" applyFont="1"/>
    <xf numFmtId="0" fontId="0" fillId="0" borderId="0" xfId="0" applyBorder="1"/>
    <xf numFmtId="0" fontId="0" fillId="0" borderId="46" xfId="0" applyBorder="1" applyAlignment="1">
      <alignment horizontal="center"/>
    </xf>
    <xf numFmtId="0" fontId="0" fillId="0" borderId="46" xfId="0" applyBorder="1" applyAlignment="1">
      <alignment horizontal="center" wrapText="1"/>
    </xf>
    <xf numFmtId="0" fontId="0" fillId="0" borderId="46" xfId="0" applyBorder="1" applyAlignment="1">
      <alignment horizontal="center" vertical="center"/>
    </xf>
    <xf numFmtId="0" fontId="0" fillId="2" borderId="46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169" fontId="0" fillId="2" borderId="0" xfId="0" applyNumberFormat="1" applyFill="1" applyAlignment="1">
      <alignment horizontal="center"/>
    </xf>
    <xf numFmtId="0" fontId="1" fillId="0" borderId="0" xfId="0" applyFont="1"/>
    <xf numFmtId="168" fontId="0" fillId="2" borderId="0" xfId="0" quotePrefix="1" applyNumberFormat="1" applyFill="1" applyAlignment="1">
      <alignment horizontal="center"/>
    </xf>
    <xf numFmtId="0" fontId="0" fillId="0" borderId="0" xfId="0"/>
    <xf numFmtId="0" fontId="3" fillId="0" borderId="5" xfId="0" applyFont="1" applyBorder="1"/>
    <xf numFmtId="0" fontId="3" fillId="0" borderId="8" xfId="0" applyFont="1" applyBorder="1"/>
    <xf numFmtId="0" fontId="3" fillId="0" borderId="0" xfId="0" applyFont="1" applyBorder="1"/>
    <xf numFmtId="0" fontId="3" fillId="0" borderId="7" xfId="0" applyFont="1" applyBorder="1"/>
    <xf numFmtId="0" fontId="0" fillId="0" borderId="6" xfId="0" applyBorder="1"/>
    <xf numFmtId="0" fontId="0" fillId="0" borderId="5" xfId="0" applyBorder="1"/>
    <xf numFmtId="0" fontId="0" fillId="0" borderId="8" xfId="0" applyBorder="1"/>
    <xf numFmtId="0" fontId="0" fillId="0" borderId="3" xfId="0" applyBorder="1"/>
    <xf numFmtId="0" fontId="0" fillId="0" borderId="2" xfId="0" applyBorder="1"/>
    <xf numFmtId="170" fontId="0" fillId="0" borderId="0" xfId="0" applyNumberFormat="1"/>
    <xf numFmtId="0" fontId="3" fillId="0" borderId="0" xfId="0" applyFont="1"/>
    <xf numFmtId="0" fontId="3" fillId="0" borderId="6" xfId="0" applyFont="1" applyBorder="1"/>
    <xf numFmtId="0" fontId="3" fillId="0" borderId="4" xfId="0" applyFont="1" applyBorder="1"/>
    <xf numFmtId="0" fontId="3" fillId="0" borderId="3" xfId="0" applyFont="1" applyBorder="1"/>
    <xf numFmtId="0" fontId="3" fillId="0" borderId="2" xfId="0" applyFont="1" applyBorder="1"/>
    <xf numFmtId="0" fontId="3" fillId="0" borderId="1" xfId="0" applyFont="1" applyBorder="1"/>
    <xf numFmtId="0" fontId="1" fillId="0" borderId="0" xfId="0" applyFont="1"/>
    <xf numFmtId="0" fontId="0" fillId="0" borderId="0" xfId="0"/>
    <xf numFmtId="0" fontId="3" fillId="0" borderId="3" xfId="0" applyFont="1" applyBorder="1"/>
    <xf numFmtId="0" fontId="3" fillId="0" borderId="2" xfId="0" applyFont="1" applyBorder="1"/>
    <xf numFmtId="0" fontId="10" fillId="0" borderId="0" xfId="0" applyFont="1"/>
    <xf numFmtId="0" fontId="0" fillId="0" borderId="0" xfId="0" applyBorder="1" applyAlignment="1"/>
    <xf numFmtId="0" fontId="0" fillId="0" borderId="0" xfId="0"/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Border="1" applyAlignment="1">
      <alignment horizontal="center" vertical="center"/>
    </xf>
    <xf numFmtId="0" fontId="0" fillId="2" borderId="46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9" fillId="0" borderId="0" xfId="0" applyFont="1" applyBorder="1" applyAlignment="1"/>
    <xf numFmtId="0" fontId="9" fillId="0" borderId="0" xfId="0" applyFont="1" applyFill="1" applyBorder="1" applyAlignment="1"/>
    <xf numFmtId="0" fontId="0" fillId="0" borderId="46" xfId="0" applyFill="1" applyBorder="1" applyAlignment="1">
      <alignment horizontal="center"/>
    </xf>
    <xf numFmtId="0" fontId="0" fillId="0" borderId="0" xfId="0"/>
    <xf numFmtId="0" fontId="0" fillId="0" borderId="0" xfId="0"/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2" borderId="0" xfId="0" applyFill="1" applyBorder="1"/>
    <xf numFmtId="0" fontId="0" fillId="0" borderId="0" xfId="0" applyBorder="1" applyAlignment="1">
      <alignment horizontal="center"/>
    </xf>
    <xf numFmtId="0" fontId="3" fillId="0" borderId="36" xfId="1" applyNumberFormat="1" applyBorder="1" applyAlignment="1" applyProtection="1">
      <alignment horizontal="left"/>
      <protection locked="0"/>
    </xf>
    <xf numFmtId="0" fontId="0" fillId="0" borderId="0" xfId="0"/>
    <xf numFmtId="0" fontId="9" fillId="0" borderId="46" xfId="0" applyFont="1" applyFill="1" applyBorder="1" applyAlignment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46" xfId="0" applyFont="1" applyFill="1" applyBorder="1" applyAlignment="1">
      <alignment horizontal="center"/>
    </xf>
    <xf numFmtId="0" fontId="0" fillId="0" borderId="46" xfId="0" applyFont="1" applyBorder="1" applyAlignment="1">
      <alignment horizontal="center"/>
    </xf>
    <xf numFmtId="0" fontId="0" fillId="0" borderId="0" xfId="0"/>
    <xf numFmtId="165" fontId="3" fillId="0" borderId="8" xfId="0" applyNumberFormat="1" applyFont="1" applyBorder="1"/>
    <xf numFmtId="0" fontId="0" fillId="0" borderId="0" xfId="0"/>
    <xf numFmtId="0" fontId="1" fillId="0" borderId="0" xfId="0" applyFont="1"/>
    <xf numFmtId="0" fontId="0" fillId="0" borderId="0" xfId="0"/>
    <xf numFmtId="0" fontId="0" fillId="3" borderId="5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46" xfId="0" applyFill="1" applyBorder="1" applyAlignment="1">
      <alignment horizontal="center" vertical="center"/>
    </xf>
    <xf numFmtId="0" fontId="3" fillId="0" borderId="45" xfId="1" applyBorder="1" applyAlignment="1" applyProtection="1">
      <alignment horizontal="left"/>
      <protection locked="0"/>
    </xf>
    <xf numFmtId="0" fontId="3" fillId="0" borderId="16" xfId="1" applyBorder="1" applyAlignment="1" applyProtection="1">
      <alignment horizontal="left"/>
      <protection locked="0"/>
    </xf>
    <xf numFmtId="0" fontId="3" fillId="0" borderId="17" xfId="1" applyBorder="1" applyAlignment="1" applyProtection="1">
      <alignment horizontal="left"/>
      <protection locked="0"/>
    </xf>
    <xf numFmtId="0" fontId="6" fillId="0" borderId="18" xfId="1" applyFont="1" applyBorder="1" applyAlignment="1">
      <alignment horizontal="center"/>
    </xf>
    <xf numFmtId="0" fontId="6" fillId="0" borderId="17" xfId="1" applyFont="1" applyBorder="1" applyAlignment="1">
      <alignment horizontal="center"/>
    </xf>
    <xf numFmtId="0" fontId="7" fillId="0" borderId="18" xfId="1" applyFont="1" applyBorder="1" applyAlignment="1">
      <alignment horizontal="center"/>
    </xf>
    <xf numFmtId="0" fontId="7" fillId="0" borderId="19" xfId="1" applyFont="1" applyBorder="1" applyAlignment="1">
      <alignment horizontal="center"/>
    </xf>
    <xf numFmtId="0" fontId="3" fillId="0" borderId="35" xfId="1" applyBorder="1" applyAlignment="1">
      <alignment horizontal="right" vertical="top"/>
    </xf>
    <xf numFmtId="0" fontId="3" fillId="0" borderId="39" xfId="1" applyBorder="1" applyAlignment="1">
      <alignment horizontal="right" vertical="top"/>
    </xf>
    <xf numFmtId="10" fontId="0" fillId="3" borderId="37" xfId="2" applyNumberFormat="1" applyFont="1" applyFill="1" applyBorder="1" applyAlignment="1">
      <alignment horizontal="center"/>
    </xf>
    <xf numFmtId="10" fontId="0" fillId="3" borderId="42" xfId="2" applyNumberFormat="1" applyFont="1" applyFill="1" applyBorder="1" applyAlignment="1">
      <alignment horizontal="center"/>
    </xf>
    <xf numFmtId="2" fontId="3" fillId="3" borderId="38" xfId="1" applyNumberFormat="1" applyFill="1" applyBorder="1" applyAlignment="1">
      <alignment horizontal="center"/>
    </xf>
    <xf numFmtId="2" fontId="3" fillId="3" borderId="31" xfId="1" applyNumberFormat="1" applyFill="1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8" xfId="0" applyFont="1" applyBorder="1" applyAlignment="1">
      <alignment horizontal="center"/>
    </xf>
    <xf numFmtId="0" fontId="3" fillId="0" borderId="7" xfId="0" applyFont="1" applyBorder="1" applyAlignment="1">
      <alignment horizontal="center"/>
    </xf>
    <xf numFmtId="2" fontId="3" fillId="0" borderId="3" xfId="0" applyNumberFormat="1" applyFont="1" applyBorder="1" applyAlignment="1">
      <alignment horizontal="center"/>
    </xf>
    <xf numFmtId="2" fontId="3" fillId="0" borderId="1" xfId="0" applyNumberFormat="1" applyFont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169" fontId="0" fillId="2" borderId="7" xfId="0" applyNumberFormat="1" applyFill="1" applyBorder="1" applyAlignment="1">
      <alignment horizontal="center"/>
    </xf>
    <xf numFmtId="168" fontId="0" fillId="2" borderId="0" xfId="0" quotePrefix="1" applyNumberFormat="1" applyFill="1" applyAlignment="1">
      <alignment horizontal="center"/>
    </xf>
    <xf numFmtId="168" fontId="0" fillId="2" borderId="7" xfId="0" quotePrefix="1" applyNumberFormat="1" applyFill="1" applyBorder="1" applyAlignment="1">
      <alignment horizontal="center"/>
    </xf>
    <xf numFmtId="166" fontId="0" fillId="2" borderId="0" xfId="0" quotePrefix="1" applyNumberFormat="1" applyFill="1" applyBorder="1" applyAlignment="1">
      <alignment horizontal="center"/>
    </xf>
    <xf numFmtId="166" fontId="0" fillId="2" borderId="7" xfId="0" quotePrefix="1" applyNumberFormat="1" applyFill="1" applyBorder="1" applyAlignment="1">
      <alignment horizontal="center"/>
    </xf>
    <xf numFmtId="174" fontId="0" fillId="2" borderId="2" xfId="0" quotePrefix="1" applyNumberFormat="1" applyFill="1" applyBorder="1" applyAlignment="1">
      <alignment horizontal="center"/>
    </xf>
    <xf numFmtId="174" fontId="0" fillId="2" borderId="1" xfId="0" quotePrefix="1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7" xfId="0" applyFill="1" applyBorder="1" applyAlignment="1">
      <alignment horizontal="center"/>
    </xf>
    <xf numFmtId="0" fontId="0" fillId="2" borderId="0" xfId="0" quotePrefix="1" applyFill="1" applyAlignment="1">
      <alignment horizontal="center"/>
    </xf>
    <xf numFmtId="0" fontId="0" fillId="2" borderId="7" xfId="0" quotePrefix="1" applyFill="1" applyBorder="1" applyAlignment="1">
      <alignment horizontal="center"/>
    </xf>
    <xf numFmtId="171" fontId="0" fillId="0" borderId="6" xfId="0" applyNumberFormat="1" applyBorder="1" applyAlignment="1">
      <alignment horizontal="center" vertical="center"/>
    </xf>
    <xf numFmtId="171" fontId="0" fillId="0" borderId="5" xfId="0" applyNumberFormat="1" applyBorder="1" applyAlignment="1">
      <alignment horizontal="center" vertical="center"/>
    </xf>
    <xf numFmtId="171" fontId="0" fillId="0" borderId="4" xfId="0" applyNumberFormat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/>
    <xf numFmtId="165" fontId="0" fillId="2" borderId="2" xfId="0" applyNumberFormat="1" applyFill="1" applyBorder="1" applyAlignment="1">
      <alignment horizontal="center"/>
    </xf>
    <xf numFmtId="165" fontId="0" fillId="2" borderId="1" xfId="0" applyNumberFormat="1" applyFill="1" applyBorder="1" applyAlignment="1">
      <alignment horizontal="center"/>
    </xf>
    <xf numFmtId="0" fontId="0" fillId="0" borderId="5" xfId="0" applyBorder="1" applyAlignment="1">
      <alignment horizontal="right"/>
    </xf>
    <xf numFmtId="0" fontId="0" fillId="0" borderId="4" xfId="0" applyBorder="1" applyAlignment="1">
      <alignment horizontal="right"/>
    </xf>
    <xf numFmtId="0" fontId="0" fillId="0" borderId="6" xfId="0" applyBorder="1" applyAlignment="1">
      <alignment horizontal="left"/>
    </xf>
    <xf numFmtId="0" fontId="0" fillId="0" borderId="5" xfId="0" applyBorder="1" applyAlignment="1">
      <alignment horizontal="left"/>
    </xf>
    <xf numFmtId="165" fontId="0" fillId="0" borderId="5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164" fontId="0" fillId="0" borderId="3" xfId="0" applyNumberFormat="1" applyBorder="1" applyAlignment="1">
      <alignment horizontal="left"/>
    </xf>
    <xf numFmtId="164" fontId="0" fillId="0" borderId="2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0" xfId="0" applyAlignment="1">
      <alignment horizontal="center"/>
    </xf>
    <xf numFmtId="165" fontId="3" fillId="0" borderId="8" xfId="0" applyNumberFormat="1" applyFont="1" applyBorder="1" applyAlignment="1">
      <alignment horizontal="left"/>
    </xf>
    <xf numFmtId="165" fontId="3" fillId="0" borderId="0" xfId="0" applyNumberFormat="1" applyFont="1" applyAlignment="1">
      <alignment horizontal="left"/>
    </xf>
    <xf numFmtId="172" fontId="0" fillId="0" borderId="8" xfId="0" applyNumberFormat="1" applyBorder="1" applyAlignment="1">
      <alignment horizontal="center" vertical="center"/>
    </xf>
    <xf numFmtId="172" fontId="0" fillId="0" borderId="0" xfId="0" applyNumberFormat="1" applyBorder="1" applyAlignment="1">
      <alignment horizontal="center" vertical="center"/>
    </xf>
    <xf numFmtId="172" fontId="0" fillId="0" borderId="7" xfId="0" applyNumberFormat="1" applyBorder="1" applyAlignment="1">
      <alignment horizontal="center" vertical="center"/>
    </xf>
    <xf numFmtId="175" fontId="0" fillId="0" borderId="8" xfId="0" applyNumberFormat="1" applyBorder="1" applyAlignment="1">
      <alignment horizontal="center" vertical="center"/>
    </xf>
    <xf numFmtId="175" fontId="0" fillId="0" borderId="0" xfId="0" applyNumberFormat="1" applyBorder="1" applyAlignment="1">
      <alignment horizontal="center" vertical="center"/>
    </xf>
    <xf numFmtId="175" fontId="0" fillId="0" borderId="7" xfId="0" applyNumberFormat="1" applyBorder="1" applyAlignment="1">
      <alignment horizontal="center" vertical="center"/>
    </xf>
    <xf numFmtId="10" fontId="0" fillId="0" borderId="14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0" fontId="0" fillId="0" borderId="13" xfId="0" applyNumberFormat="1" applyBorder="1" applyAlignment="1">
      <alignment horizontal="center" vertical="center"/>
    </xf>
    <xf numFmtId="10" fontId="0" fillId="0" borderId="12" xfId="0" applyNumberFormat="1" applyBorder="1" applyAlignment="1">
      <alignment horizontal="center" vertical="center"/>
    </xf>
    <xf numFmtId="2" fontId="0" fillId="0" borderId="0" xfId="0" applyNumberFormat="1" applyAlignment="1">
      <alignment horizontal="center"/>
    </xf>
    <xf numFmtId="0" fontId="0" fillId="0" borderId="14" xfId="0" applyBorder="1" applyAlignment="1">
      <alignment horizontal="center" vertical="center"/>
    </xf>
    <xf numFmtId="0" fontId="1" fillId="0" borderId="0" xfId="0" applyFont="1"/>
    <xf numFmtId="167" fontId="0" fillId="0" borderId="0" xfId="0" applyNumberFormat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6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7" fontId="0" fillId="0" borderId="6" xfId="0" applyNumberFormat="1" applyBorder="1" applyAlignment="1">
      <alignment horizontal="center"/>
    </xf>
    <xf numFmtId="167" fontId="0" fillId="0" borderId="5" xfId="0" applyNumberFormat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2" borderId="0" xfId="0" applyFill="1" applyAlignment="1">
      <alignment horizontal="right" indent="1"/>
    </xf>
    <xf numFmtId="0" fontId="0" fillId="2" borderId="7" xfId="0" applyFill="1" applyBorder="1" applyAlignment="1">
      <alignment horizontal="right" indent="1"/>
    </xf>
    <xf numFmtId="0" fontId="3" fillId="0" borderId="0" xfId="0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8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7" xfId="0" applyNumberFormat="1" applyBorder="1" applyAlignment="1">
      <alignment horizontal="center" vertical="center"/>
    </xf>
    <xf numFmtId="2" fontId="0" fillId="0" borderId="2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2" fontId="0" fillId="0" borderId="13" xfId="0" applyNumberFormat="1" applyBorder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2" xfId="0" applyBorder="1" applyAlignment="1">
      <alignment horizontal="center"/>
    </xf>
    <xf numFmtId="174" fontId="0" fillId="2" borderId="2" xfId="0" quotePrefix="1" applyNumberFormat="1" applyFill="1" applyBorder="1" applyAlignment="1">
      <alignment horizontal="left" indent="5"/>
    </xf>
    <xf numFmtId="174" fontId="0" fillId="2" borderId="1" xfId="0" quotePrefix="1" applyNumberFormat="1" applyFill="1" applyBorder="1" applyAlignment="1">
      <alignment horizontal="left" indent="5"/>
    </xf>
    <xf numFmtId="2" fontId="0" fillId="0" borderId="2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14" xfId="0" applyBorder="1" applyAlignment="1">
      <alignment horizontal="center"/>
    </xf>
  </cellXfs>
  <cellStyles count="3">
    <cellStyle name="Normal" xfId="0" builtinId="0"/>
    <cellStyle name="Normal 3" xfId="1" xr:uid="{376FB5DB-2D5B-4841-934A-0E5770B9E993}"/>
    <cellStyle name="Percent 2" xfId="2" xr:uid="{E4FC78C9-C0D4-3C41-AE14-A669A742AAD1}"/>
  </cellStyles>
  <dxfs count="16"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ont>
        <b/>
        <i val="0"/>
        <color rgb="FF009E47"/>
      </font>
    </dxf>
    <dxf>
      <font>
        <b/>
        <i val="0"/>
        <color rgb="FFFF0000"/>
      </font>
    </dxf>
    <dxf>
      <fill>
        <patternFill>
          <bgColor rgb="FFFF0000"/>
        </patternFill>
      </fill>
    </dxf>
    <dxf>
      <font>
        <b/>
        <i val="0"/>
        <color rgb="FF009E47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externalLink" Target="externalLinks/externalLink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812799</xdr:colOff>
      <xdr:row>10</xdr:row>
      <xdr:rowOff>168275</xdr:rowOff>
    </xdr:from>
    <xdr:to>
      <xdr:col>6</xdr:col>
      <xdr:colOff>822325</xdr:colOff>
      <xdr:row>22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812799" y="2200275"/>
          <a:ext cx="9928226" cy="238442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0</xdr:col>
      <xdr:colOff>139700</xdr:colOff>
      <xdr:row>0</xdr:row>
      <xdr:rowOff>50800</xdr:rowOff>
    </xdr:from>
    <xdr:to>
      <xdr:col>2</xdr:col>
      <xdr:colOff>1511300</xdr:colOff>
      <xdr:row>5</xdr:row>
      <xdr:rowOff>38100</xdr:rowOff>
    </xdr:to>
    <xdr:pic>
      <xdr:nvPicPr>
        <xdr:cNvPr id="3" name="Picture 2" descr="HCBSolar_Gradient_CMYK.jp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700" y="50800"/>
          <a:ext cx="4102100" cy="1003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1409700</xdr:colOff>
          <xdr:row>16</xdr:row>
          <xdr:rowOff>152400</xdr:rowOff>
        </xdr:from>
        <xdr:to>
          <xdr:col>8</xdr:col>
          <xdr:colOff>508000</xdr:colOff>
          <xdr:row>18</xdr:row>
          <xdr:rowOff>127000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82</xdr:col>
      <xdr:colOff>9202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48478" y="225471"/>
          <a:ext cx="20287789" cy="15097355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689412" y="14140329"/>
          <a:ext cx="2942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8587</xdr:colOff>
      <xdr:row>21</xdr:row>
      <xdr:rowOff>92029</xdr:rowOff>
    </xdr:from>
    <xdr:to>
      <xdr:col>13</xdr:col>
      <xdr:colOff>8587</xdr:colOff>
      <xdr:row>25</xdr:row>
      <xdr:rowOff>135467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CxnSpPr/>
      </xdr:nvCxnSpPr>
      <xdr:spPr>
        <a:xfrm>
          <a:off x="3310587" y="4359229"/>
          <a:ext cx="0" cy="85623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37692</xdr:colOff>
      <xdr:row>25</xdr:row>
      <xdr:rowOff>169334</xdr:rowOff>
    </xdr:from>
    <xdr:to>
      <xdr:col>13</xdr:col>
      <xdr:colOff>37692</xdr:colOff>
      <xdr:row>29</xdr:row>
      <xdr:rowOff>84667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CxnSpPr/>
      </xdr:nvCxnSpPr>
      <xdr:spPr>
        <a:xfrm>
          <a:off x="3323663" y="5255499"/>
          <a:ext cx="0" cy="72911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88900</xdr:colOff>
      <xdr:row>25</xdr:row>
      <xdr:rowOff>153648</xdr:rowOff>
    </xdr:from>
    <xdr:to>
      <xdr:col>17</xdr:col>
      <xdr:colOff>64165</xdr:colOff>
      <xdr:row>25</xdr:row>
      <xdr:rowOff>153648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CxnSpPr/>
      </xdr:nvCxnSpPr>
      <xdr:spPr>
        <a:xfrm>
          <a:off x="1612900" y="5233648"/>
          <a:ext cx="2769265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245398</xdr:colOff>
      <xdr:row>29</xdr:row>
      <xdr:rowOff>83593</xdr:rowOff>
    </xdr:from>
    <xdr:to>
      <xdr:col>14</xdr:col>
      <xdr:colOff>7855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pSpPr/>
      </xdr:nvGrpSpPr>
      <xdr:grpSpPr>
        <a:xfrm>
          <a:off x="3255768" y="5994581"/>
          <a:ext cx="264186" cy="645275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2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2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2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2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2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pSpPr/>
      </xdr:nvGrpSpPr>
      <xdr:grpSpPr>
        <a:xfrm>
          <a:off x="3001853" y="478774"/>
          <a:ext cx="593915" cy="3834605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2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2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2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2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2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2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2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2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2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2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2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2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2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2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2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2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4025256" y="478774"/>
          <a:ext cx="597051" cy="3834604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2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2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2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2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2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2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2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2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2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2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2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2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162221</xdr:rowOff>
    </xdr:from>
    <xdr:to>
      <xdr:col>20</xdr:col>
      <xdr:colOff>93750</xdr:colOff>
      <xdr:row>34</xdr:row>
      <xdr:rowOff>67733</xdr:rowOff>
    </xdr:to>
    <xdr:sp macro="" textlink="">
      <xdr:nvSpPr>
        <xdr:cNvPr id="53" name="Rectangl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>
        <a:xfrm>
          <a:off x="497840" y="771821"/>
          <a:ext cx="4675910" cy="6204712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105186</xdr:rowOff>
    </xdr:from>
    <xdr:to>
      <xdr:col>8</xdr:col>
      <xdr:colOff>87756</xdr:colOff>
      <xdr:row>8</xdr:row>
      <xdr:rowOff>54892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 txBox="1"/>
      </xdr:nvSpPr>
      <xdr:spPr>
        <a:xfrm>
          <a:off x="544956" y="1324386"/>
          <a:ext cx="1574800" cy="3561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133786</xdr:rowOff>
    </xdr:from>
    <xdr:to>
      <xdr:col>8</xdr:col>
      <xdr:colOff>79289</xdr:colOff>
      <xdr:row>15</xdr:row>
      <xdr:rowOff>165153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 txBox="1"/>
      </xdr:nvSpPr>
      <xdr:spPr>
        <a:xfrm>
          <a:off x="536489" y="2165786"/>
          <a:ext cx="1574800" cy="10473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40872</xdr:rowOff>
    </xdr:from>
    <xdr:to>
      <xdr:col>8</xdr:col>
      <xdr:colOff>45421</xdr:colOff>
      <xdr:row>19</xdr:row>
      <xdr:rowOff>22390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 txBox="1"/>
      </xdr:nvSpPr>
      <xdr:spPr>
        <a:xfrm>
          <a:off x="502621" y="3088872"/>
          <a:ext cx="1574800" cy="7943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</a:p>
        <a:p>
          <a:pPr algn="l"/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5143</xdr:rowOff>
    </xdr:from>
    <xdr:to>
      <xdr:col>8</xdr:col>
      <xdr:colOff>79288</xdr:colOff>
      <xdr:row>23</xdr:row>
      <xdr:rowOff>76332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 txBox="1"/>
      </xdr:nvSpPr>
      <xdr:spPr>
        <a:xfrm>
          <a:off x="536488" y="4069143"/>
          <a:ext cx="1574800" cy="68078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36</xdr:row>
      <xdr:rowOff>182035</xdr:rowOff>
    </xdr:from>
    <xdr:to>
      <xdr:col>36</xdr:col>
      <xdr:colOff>152400</xdr:colOff>
      <xdr:row>44</xdr:row>
      <xdr:rowOff>169335</xdr:rowOff>
    </xdr:to>
    <xdr:grpSp>
      <xdr:nvGrpSpPr>
        <xdr:cNvPr id="58" name="Group 57">
          <a:extLs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GrpSpPr/>
      </xdr:nvGrpSpPr>
      <xdr:grpSpPr>
        <a:xfrm>
          <a:off x="8201186" y="7519813"/>
          <a:ext cx="982325" cy="1617917"/>
          <a:chOff x="5588000" y="4800600"/>
          <a:chExt cx="762000" cy="1270001"/>
        </a:xfrm>
      </xdr:grpSpPr>
      <xdr:grpSp>
        <xdr:nvGrpSpPr>
          <xdr:cNvPr id="59" name="Group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61" name="Shape 5">
              <a:extLst>
                <a:ext uri="{FF2B5EF4-FFF2-40B4-BE49-F238E27FC236}">
                  <a16:creationId xmlns:a16="http://schemas.microsoft.com/office/drawing/2014/main" id="{00000000-0008-0000-0200-00003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2" name="Shape 6">
              <a:extLst>
                <a:ext uri="{FF2B5EF4-FFF2-40B4-BE49-F238E27FC236}">
                  <a16:creationId xmlns:a16="http://schemas.microsoft.com/office/drawing/2014/main" id="{00000000-0008-0000-0200-00003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3" name="Shape 7">
              <a:extLst>
                <a:ext uri="{FF2B5EF4-FFF2-40B4-BE49-F238E27FC236}">
                  <a16:creationId xmlns:a16="http://schemas.microsoft.com/office/drawing/2014/main" id="{00000000-0008-0000-0200-00003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4" name="Shape 8">
              <a:extLst>
                <a:ext uri="{FF2B5EF4-FFF2-40B4-BE49-F238E27FC236}">
                  <a16:creationId xmlns:a16="http://schemas.microsoft.com/office/drawing/2014/main" id="{00000000-0008-0000-0200-00004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39</xdr:row>
      <xdr:rowOff>29198</xdr:rowOff>
    </xdr:from>
    <xdr:to>
      <xdr:col>40</xdr:col>
      <xdr:colOff>98677</xdr:colOff>
      <xdr:row>43</xdr:row>
      <xdr:rowOff>59180</xdr:rowOff>
    </xdr:to>
    <xdr:grpSp>
      <xdr:nvGrpSpPr>
        <xdr:cNvPr id="65" name="Group 64">
          <a:extLs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GrpSpPr/>
      </xdr:nvGrpSpPr>
      <xdr:grpSpPr>
        <a:xfrm>
          <a:off x="9625441" y="7978457"/>
          <a:ext cx="507804" cy="845291"/>
          <a:chOff x="8312729" y="2242252"/>
          <a:chExt cx="516507" cy="808182"/>
        </a:xfrm>
      </xdr:grpSpPr>
      <xdr:grpSp>
        <xdr:nvGrpSpPr>
          <xdr:cNvPr id="66" name="Group 65">
            <a:extLst>
              <a:ext uri="{FF2B5EF4-FFF2-40B4-BE49-F238E27FC236}">
                <a16:creationId xmlns:a16="http://schemas.microsoft.com/office/drawing/2014/main" id="{00000000-0008-0000-0200-00004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68" name="Shape 9">
              <a:extLst>
                <a:ext uri="{FF2B5EF4-FFF2-40B4-BE49-F238E27FC236}">
                  <a16:creationId xmlns:a16="http://schemas.microsoft.com/office/drawing/2014/main" id="{00000000-0008-0000-0200-00004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69" name="Shape 38">
              <a:extLst>
                <a:ext uri="{FF2B5EF4-FFF2-40B4-BE49-F238E27FC236}">
                  <a16:creationId xmlns:a16="http://schemas.microsoft.com/office/drawing/2014/main" id="{00000000-0008-0000-0200-00004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0" name="Shape 39">
              <a:extLst>
                <a:ext uri="{FF2B5EF4-FFF2-40B4-BE49-F238E27FC236}">
                  <a16:creationId xmlns:a16="http://schemas.microsoft.com/office/drawing/2014/main" id="{00000000-0008-0000-0200-00004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1" name="Shape 13">
              <a:extLst>
                <a:ext uri="{FF2B5EF4-FFF2-40B4-BE49-F238E27FC236}">
                  <a16:creationId xmlns:a16="http://schemas.microsoft.com/office/drawing/2014/main" id="{00000000-0008-0000-0200-00004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2" name="Shape 37">
              <a:extLst>
                <a:ext uri="{FF2B5EF4-FFF2-40B4-BE49-F238E27FC236}">
                  <a16:creationId xmlns:a16="http://schemas.microsoft.com/office/drawing/2014/main" id="{00000000-0008-0000-0200-00004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3" name="Shape 9">
              <a:extLst>
                <a:ext uri="{FF2B5EF4-FFF2-40B4-BE49-F238E27FC236}">
                  <a16:creationId xmlns:a16="http://schemas.microsoft.com/office/drawing/2014/main" id="{00000000-0008-0000-0200-00004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4" name="Shape 9">
              <a:extLst>
                <a:ext uri="{FF2B5EF4-FFF2-40B4-BE49-F238E27FC236}">
                  <a16:creationId xmlns:a16="http://schemas.microsoft.com/office/drawing/2014/main" id="{00000000-0008-0000-0200-00004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5" name="Shape 9">
              <a:extLst>
                <a:ext uri="{FF2B5EF4-FFF2-40B4-BE49-F238E27FC236}">
                  <a16:creationId xmlns:a16="http://schemas.microsoft.com/office/drawing/2014/main" id="{00000000-0008-0000-0200-00004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67" name="Rectangle 66">
            <a:extLst>
              <a:ext uri="{FF2B5EF4-FFF2-40B4-BE49-F238E27FC236}">
                <a16:creationId xmlns:a16="http://schemas.microsoft.com/office/drawing/2014/main" id="{00000000-0008-0000-0200-00004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38</xdr:row>
      <xdr:rowOff>170620</xdr:rowOff>
    </xdr:from>
    <xdr:to>
      <xdr:col>59</xdr:col>
      <xdr:colOff>30282</xdr:colOff>
      <xdr:row>45</xdr:row>
      <xdr:rowOff>13580</xdr:rowOff>
    </xdr:to>
    <xdr:grpSp>
      <xdr:nvGrpSpPr>
        <xdr:cNvPr id="76" name="Group 75">
          <a:extLs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GrpSpPr/>
      </xdr:nvGrpSpPr>
      <xdr:grpSpPr>
        <a:xfrm>
          <a:off x="10932758" y="7916052"/>
          <a:ext cx="3898512" cy="1269750"/>
          <a:chOff x="6463027" y="3629024"/>
          <a:chExt cx="3950973" cy="1216296"/>
        </a:xfrm>
      </xdr:grpSpPr>
      <xdr:grpSp>
        <xdr:nvGrpSpPr>
          <xdr:cNvPr id="77" name="Group 76">
            <a:extLst>
              <a:ext uri="{FF2B5EF4-FFF2-40B4-BE49-F238E27FC236}">
                <a16:creationId xmlns:a16="http://schemas.microsoft.com/office/drawing/2014/main" id="{00000000-0008-0000-0200-00004D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89" name="Group 88">
              <a:extLst>
                <a:ext uri="{FF2B5EF4-FFF2-40B4-BE49-F238E27FC236}">
                  <a16:creationId xmlns:a16="http://schemas.microsoft.com/office/drawing/2014/main" id="{00000000-0008-0000-0200-000059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92" name="Group 91">
                <a:extLst>
                  <a:ext uri="{FF2B5EF4-FFF2-40B4-BE49-F238E27FC236}">
                    <a16:creationId xmlns:a16="http://schemas.microsoft.com/office/drawing/2014/main" id="{00000000-0008-0000-0200-00005C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94" name="Group 93">
                  <a:extLst>
                    <a:ext uri="{FF2B5EF4-FFF2-40B4-BE49-F238E27FC236}">
                      <a16:creationId xmlns:a16="http://schemas.microsoft.com/office/drawing/2014/main" id="{00000000-0008-0000-0200-00005E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03" name="Shape 46">
                    <a:extLst>
                      <a:ext uri="{FF2B5EF4-FFF2-40B4-BE49-F238E27FC236}">
                        <a16:creationId xmlns:a16="http://schemas.microsoft.com/office/drawing/2014/main" id="{00000000-0008-0000-0200-000067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4" name="Rectangle 103">
                    <a:extLst>
                      <a:ext uri="{FF2B5EF4-FFF2-40B4-BE49-F238E27FC236}">
                        <a16:creationId xmlns:a16="http://schemas.microsoft.com/office/drawing/2014/main" id="{00000000-0008-0000-0200-000068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5" name="Shape 46">
                    <a:extLst>
                      <a:ext uri="{FF2B5EF4-FFF2-40B4-BE49-F238E27FC236}">
                        <a16:creationId xmlns:a16="http://schemas.microsoft.com/office/drawing/2014/main" id="{00000000-0008-0000-0200-000069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95" name="Group 94">
                  <a:extLst>
                    <a:ext uri="{FF2B5EF4-FFF2-40B4-BE49-F238E27FC236}">
                      <a16:creationId xmlns:a16="http://schemas.microsoft.com/office/drawing/2014/main" id="{00000000-0008-0000-0200-00005F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00" name="Shape 46">
                    <a:extLst>
                      <a:ext uri="{FF2B5EF4-FFF2-40B4-BE49-F238E27FC236}">
                        <a16:creationId xmlns:a16="http://schemas.microsoft.com/office/drawing/2014/main" id="{00000000-0008-0000-0200-000064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01" name="Rectangle 100">
                    <a:extLst>
                      <a:ext uri="{FF2B5EF4-FFF2-40B4-BE49-F238E27FC236}">
                        <a16:creationId xmlns:a16="http://schemas.microsoft.com/office/drawing/2014/main" id="{00000000-0008-0000-0200-000065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02" name="Shape 46">
                    <a:extLst>
                      <a:ext uri="{FF2B5EF4-FFF2-40B4-BE49-F238E27FC236}">
                        <a16:creationId xmlns:a16="http://schemas.microsoft.com/office/drawing/2014/main" id="{00000000-0008-0000-0200-000066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96" name="Shape 27">
                  <a:extLst>
                    <a:ext uri="{FF2B5EF4-FFF2-40B4-BE49-F238E27FC236}">
                      <a16:creationId xmlns:a16="http://schemas.microsoft.com/office/drawing/2014/main" id="{00000000-0008-0000-0200-000060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7" name="Shape 27">
                  <a:extLst>
                    <a:ext uri="{FF2B5EF4-FFF2-40B4-BE49-F238E27FC236}">
                      <a16:creationId xmlns:a16="http://schemas.microsoft.com/office/drawing/2014/main" id="{00000000-0008-0000-0200-000061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8" name="Shape 27">
                  <a:extLst>
                    <a:ext uri="{FF2B5EF4-FFF2-40B4-BE49-F238E27FC236}">
                      <a16:creationId xmlns:a16="http://schemas.microsoft.com/office/drawing/2014/main" id="{00000000-0008-0000-0200-000062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99" name="Shape 27">
                  <a:extLst>
                    <a:ext uri="{FF2B5EF4-FFF2-40B4-BE49-F238E27FC236}">
                      <a16:creationId xmlns:a16="http://schemas.microsoft.com/office/drawing/2014/main" id="{00000000-0008-0000-0200-000063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93" name="Elbow Connector 92">
                <a:extLst>
                  <a:ext uri="{FF2B5EF4-FFF2-40B4-BE49-F238E27FC236}">
                    <a16:creationId xmlns:a16="http://schemas.microsoft.com/office/drawing/2014/main" id="{00000000-0008-0000-0200-00005D000000}"/>
                  </a:ext>
                </a:extLst>
              </xdr:cNvPr>
              <xdr:cNvCxnSpPr>
                <a:stCxn id="101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90" name="Elbow Connector 89">
              <a:extLst>
                <a:ext uri="{FF2B5EF4-FFF2-40B4-BE49-F238E27FC236}">
                  <a16:creationId xmlns:a16="http://schemas.microsoft.com/office/drawing/2014/main" id="{00000000-0008-0000-0200-00005A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200-00005B000000}"/>
                </a:ext>
              </a:extLst>
            </xdr:cNvPr>
            <xdr:cNvCxnSpPr>
              <a:stCxn id="104" idx="1"/>
              <a:endCxn id="86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78" name="Group 77">
            <a:extLst>
              <a:ext uri="{FF2B5EF4-FFF2-40B4-BE49-F238E27FC236}">
                <a16:creationId xmlns:a16="http://schemas.microsoft.com/office/drawing/2014/main" id="{00000000-0008-0000-0200-00004E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79" name="Group 78">
              <a:extLst>
                <a:ext uri="{FF2B5EF4-FFF2-40B4-BE49-F238E27FC236}">
                  <a16:creationId xmlns:a16="http://schemas.microsoft.com/office/drawing/2014/main" id="{00000000-0008-0000-0200-00004F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81" name="Shape 9">
                <a:extLst>
                  <a:ext uri="{FF2B5EF4-FFF2-40B4-BE49-F238E27FC236}">
                    <a16:creationId xmlns:a16="http://schemas.microsoft.com/office/drawing/2014/main" id="{00000000-0008-0000-0200-000051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2" name="Shape 38">
                <a:extLst>
                  <a:ext uri="{FF2B5EF4-FFF2-40B4-BE49-F238E27FC236}">
                    <a16:creationId xmlns:a16="http://schemas.microsoft.com/office/drawing/2014/main" id="{00000000-0008-0000-0200-000052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3" name="Shape 39">
                <a:extLst>
                  <a:ext uri="{FF2B5EF4-FFF2-40B4-BE49-F238E27FC236}">
                    <a16:creationId xmlns:a16="http://schemas.microsoft.com/office/drawing/2014/main" id="{00000000-0008-0000-0200-000053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4" name="Shape 13">
                <a:extLst>
                  <a:ext uri="{FF2B5EF4-FFF2-40B4-BE49-F238E27FC236}">
                    <a16:creationId xmlns:a16="http://schemas.microsoft.com/office/drawing/2014/main" id="{00000000-0008-0000-0200-000054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5" name="Shape 37">
                <a:extLst>
                  <a:ext uri="{FF2B5EF4-FFF2-40B4-BE49-F238E27FC236}">
                    <a16:creationId xmlns:a16="http://schemas.microsoft.com/office/drawing/2014/main" id="{00000000-0008-0000-0200-000055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6" name="Shape 9">
                <a:extLst>
                  <a:ext uri="{FF2B5EF4-FFF2-40B4-BE49-F238E27FC236}">
                    <a16:creationId xmlns:a16="http://schemas.microsoft.com/office/drawing/2014/main" id="{00000000-0008-0000-0200-000056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7" name="Shape 9">
                <a:extLst>
                  <a:ext uri="{FF2B5EF4-FFF2-40B4-BE49-F238E27FC236}">
                    <a16:creationId xmlns:a16="http://schemas.microsoft.com/office/drawing/2014/main" id="{00000000-0008-0000-0200-000057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88" name="Shape 9">
                <a:extLst>
                  <a:ext uri="{FF2B5EF4-FFF2-40B4-BE49-F238E27FC236}">
                    <a16:creationId xmlns:a16="http://schemas.microsoft.com/office/drawing/2014/main" id="{00000000-0008-0000-0200-000058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80" name="Rectangle 79">
              <a:extLst>
                <a:ext uri="{FF2B5EF4-FFF2-40B4-BE49-F238E27FC236}">
                  <a16:creationId xmlns:a16="http://schemas.microsoft.com/office/drawing/2014/main" id="{00000000-0008-0000-0200-000050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06" name="Group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GrpSpPr/>
      </xdr:nvGrpSpPr>
      <xdr:grpSpPr>
        <a:xfrm>
          <a:off x="6360505" y="7970649"/>
          <a:ext cx="1005440" cy="565790"/>
          <a:chOff x="6858969" y="6917765"/>
          <a:chExt cx="1015030" cy="545353"/>
        </a:xfrm>
      </xdr:grpSpPr>
      <xdr:sp macro="" textlink="">
        <xdr:nvSpPr>
          <xdr:cNvPr id="107" name="Shape 27">
            <a:extLst>
              <a:ext uri="{FF2B5EF4-FFF2-40B4-BE49-F238E27FC236}">
                <a16:creationId xmlns:a16="http://schemas.microsoft.com/office/drawing/2014/main" id="{00000000-0008-0000-0200-00006B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8" name="Shape 27">
            <a:extLst>
              <a:ext uri="{FF2B5EF4-FFF2-40B4-BE49-F238E27FC236}">
                <a16:creationId xmlns:a16="http://schemas.microsoft.com/office/drawing/2014/main" id="{00000000-0008-0000-0200-00006C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09" name="Shape 26">
            <a:extLst>
              <a:ext uri="{FF2B5EF4-FFF2-40B4-BE49-F238E27FC236}">
                <a16:creationId xmlns:a16="http://schemas.microsoft.com/office/drawing/2014/main" id="{00000000-0008-0000-0200-00006D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10" name="Straight Connector 109">
            <a:extLst>
              <a:ext uri="{FF2B5EF4-FFF2-40B4-BE49-F238E27FC236}">
                <a16:creationId xmlns:a16="http://schemas.microsoft.com/office/drawing/2014/main" id="{00000000-0008-0000-0200-00006E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1" name="Straight Connector 110">
            <a:extLst>
              <a:ext uri="{FF2B5EF4-FFF2-40B4-BE49-F238E27FC236}">
                <a16:creationId xmlns:a16="http://schemas.microsoft.com/office/drawing/2014/main" id="{00000000-0008-0000-0200-00006F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200-000070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49</xdr:col>
      <xdr:colOff>2774</xdr:colOff>
      <xdr:row>30</xdr:row>
      <xdr:rowOff>22729</xdr:rowOff>
    </xdr:from>
    <xdr:to>
      <xdr:col>59</xdr:col>
      <xdr:colOff>30215</xdr:colOff>
      <xdr:row>42</xdr:row>
      <xdr:rowOff>17146</xdr:rowOff>
    </xdr:to>
    <xdr:grpSp>
      <xdr:nvGrpSpPr>
        <xdr:cNvPr id="113" name="Parra.A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GrpSpPr/>
      </xdr:nvGrpSpPr>
      <xdr:grpSpPr>
        <a:xfrm>
          <a:off x="12295120" y="6137544"/>
          <a:ext cx="2536083" cy="2440343"/>
          <a:chOff x="12303718" y="1681200"/>
          <a:chExt cx="2567441" cy="2504534"/>
        </a:xfrm>
      </xdr:grpSpPr>
      <xdr:grpSp>
        <xdr:nvGrpSpPr>
          <xdr:cNvPr id="114" name="Group 113">
            <a:extLst>
              <a:ext uri="{FF2B5EF4-FFF2-40B4-BE49-F238E27FC236}">
                <a16:creationId xmlns:a16="http://schemas.microsoft.com/office/drawing/2014/main" id="{00000000-0008-0000-0200-00007200000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116" name="Group 115">
              <a:extLst>
                <a:ext uri="{FF2B5EF4-FFF2-40B4-BE49-F238E27FC236}">
                  <a16:creationId xmlns:a16="http://schemas.microsoft.com/office/drawing/2014/main" id="{00000000-0008-0000-0200-000074000000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121" name="Group 120">
                <a:extLst>
                  <a:ext uri="{FF2B5EF4-FFF2-40B4-BE49-F238E27FC236}">
                    <a16:creationId xmlns:a16="http://schemas.microsoft.com/office/drawing/2014/main" id="{00000000-0008-0000-0200-000079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123" name="Group 122">
                  <a:extLst>
                    <a:ext uri="{FF2B5EF4-FFF2-40B4-BE49-F238E27FC236}">
                      <a16:creationId xmlns:a16="http://schemas.microsoft.com/office/drawing/2014/main" id="{00000000-0008-0000-0200-00007B00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125" name="Group 124">
                    <a:extLst>
                      <a:ext uri="{FF2B5EF4-FFF2-40B4-BE49-F238E27FC236}">
                        <a16:creationId xmlns:a16="http://schemas.microsoft.com/office/drawing/2014/main" id="{00000000-0008-0000-0200-00007D00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134" name="Shape 46">
                      <a:extLst>
                        <a:ext uri="{FF2B5EF4-FFF2-40B4-BE49-F238E27FC236}">
                          <a16:creationId xmlns:a16="http://schemas.microsoft.com/office/drawing/2014/main" id="{00000000-0008-0000-0200-000086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5" name="Rectangle 134">
                      <a:extLst>
                        <a:ext uri="{FF2B5EF4-FFF2-40B4-BE49-F238E27FC236}">
                          <a16:creationId xmlns:a16="http://schemas.microsoft.com/office/drawing/2014/main" id="{00000000-0008-0000-0200-00008700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6" name="Shape 46">
                      <a:extLst>
                        <a:ext uri="{FF2B5EF4-FFF2-40B4-BE49-F238E27FC236}">
                          <a16:creationId xmlns:a16="http://schemas.microsoft.com/office/drawing/2014/main" id="{00000000-0008-0000-0200-000088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126" name="Group 125">
                    <a:extLst>
                      <a:ext uri="{FF2B5EF4-FFF2-40B4-BE49-F238E27FC236}">
                        <a16:creationId xmlns:a16="http://schemas.microsoft.com/office/drawing/2014/main" id="{00000000-0008-0000-0200-00007E00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131" name="Shape 46">
                      <a:extLst>
                        <a:ext uri="{FF2B5EF4-FFF2-40B4-BE49-F238E27FC236}">
                          <a16:creationId xmlns:a16="http://schemas.microsoft.com/office/drawing/2014/main" id="{00000000-0008-0000-0200-00008300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132" name="Rectangle 131">
                      <a:extLst>
                        <a:ext uri="{FF2B5EF4-FFF2-40B4-BE49-F238E27FC236}">
                          <a16:creationId xmlns:a16="http://schemas.microsoft.com/office/drawing/2014/main" id="{00000000-0008-0000-0200-00008400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133" name="Shape 46">
                      <a:extLst>
                        <a:ext uri="{FF2B5EF4-FFF2-40B4-BE49-F238E27FC236}">
                          <a16:creationId xmlns:a16="http://schemas.microsoft.com/office/drawing/2014/main" id="{00000000-0008-0000-0200-00008500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127" name="Shape 27">
                    <a:extLst>
                      <a:ext uri="{FF2B5EF4-FFF2-40B4-BE49-F238E27FC236}">
                        <a16:creationId xmlns:a16="http://schemas.microsoft.com/office/drawing/2014/main" id="{00000000-0008-0000-0200-00007F00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8" name="Shape 27">
                    <a:extLst>
                      <a:ext uri="{FF2B5EF4-FFF2-40B4-BE49-F238E27FC236}">
                        <a16:creationId xmlns:a16="http://schemas.microsoft.com/office/drawing/2014/main" id="{00000000-0008-0000-0200-00008000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29" name="Shape 27">
                    <a:extLst>
                      <a:ext uri="{FF2B5EF4-FFF2-40B4-BE49-F238E27FC236}">
                        <a16:creationId xmlns:a16="http://schemas.microsoft.com/office/drawing/2014/main" id="{00000000-0008-0000-0200-00008100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0" name="Shape 27">
                    <a:extLst>
                      <a:ext uri="{FF2B5EF4-FFF2-40B4-BE49-F238E27FC236}">
                        <a16:creationId xmlns:a16="http://schemas.microsoft.com/office/drawing/2014/main" id="{00000000-0008-0000-0200-00008200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124" name="Elbow Connector 123">
                  <a:extLst>
                    <a:ext uri="{FF2B5EF4-FFF2-40B4-BE49-F238E27FC236}">
                      <a16:creationId xmlns:a16="http://schemas.microsoft.com/office/drawing/2014/main" id="{00000000-0008-0000-0200-00007C000000}"/>
                    </a:ext>
                  </a:extLst>
                </xdr:cNvPr>
                <xdr:cNvCxnSpPr>
                  <a:stCxn id="132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122" name="Straight Connector 121">
                <a:extLst>
                  <a:ext uri="{FF2B5EF4-FFF2-40B4-BE49-F238E27FC236}">
                    <a16:creationId xmlns:a16="http://schemas.microsoft.com/office/drawing/2014/main" id="{00000000-0008-0000-0200-00007A000000}"/>
                  </a:ext>
                </a:extLst>
              </xdr:cNvPr>
              <xdr:cNvCxnSpPr>
                <a:stCxn id="135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17" name="Straight Connector 116">
              <a:extLst>
                <a:ext uri="{FF2B5EF4-FFF2-40B4-BE49-F238E27FC236}">
                  <a16:creationId xmlns:a16="http://schemas.microsoft.com/office/drawing/2014/main" id="{00000000-0008-0000-0200-000075000000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8" name="Straight Connector 117">
              <a:extLst>
                <a:ext uri="{FF2B5EF4-FFF2-40B4-BE49-F238E27FC236}">
                  <a16:creationId xmlns:a16="http://schemas.microsoft.com/office/drawing/2014/main" id="{00000000-0008-0000-0200-000076000000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9" name="Shape 27">
              <a:extLst>
                <a:ext uri="{FF2B5EF4-FFF2-40B4-BE49-F238E27FC236}">
                  <a16:creationId xmlns:a16="http://schemas.microsoft.com/office/drawing/2014/main" id="{00000000-0008-0000-0200-000077000000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20" name="Shape 27">
              <a:extLst>
                <a:ext uri="{FF2B5EF4-FFF2-40B4-BE49-F238E27FC236}">
                  <a16:creationId xmlns:a16="http://schemas.microsoft.com/office/drawing/2014/main" id="{00000000-0008-0000-0200-000078000000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15" name="Straight Connector 114">
            <a:extLst>
              <a:ext uri="{FF2B5EF4-FFF2-40B4-BE49-F238E27FC236}">
                <a16:creationId xmlns:a16="http://schemas.microsoft.com/office/drawing/2014/main" id="{00000000-0008-0000-0200-000073000000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40</xdr:col>
      <xdr:colOff>11444</xdr:colOff>
      <xdr:row>41</xdr:row>
      <xdr:rowOff>690</xdr:rowOff>
    </xdr:from>
    <xdr:to>
      <xdr:col>44</xdr:col>
      <xdr:colOff>8943</xdr:colOff>
      <xdr:row>41</xdr:row>
      <xdr:rowOff>690</xdr:rowOff>
    </xdr:to>
    <xdr:cxnSp macro="">
      <xdr:nvCxnSpPr>
        <xdr:cNvPr id="137" name="Straight Connector 136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CxnSpPr/>
      </xdr:nvCxnSpPr>
      <xdr:spPr>
        <a:xfrm flipH="1">
          <a:off x="10075595" y="7333143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00000000-0008-0000-0200-00008A000000}"/>
            </a:ext>
          </a:extLst>
        </xdr:cNvPr>
        <xdr:cNvCxnSpPr/>
      </xdr:nvCxnSpPr>
      <xdr:spPr>
        <a:xfrm flipH="1">
          <a:off x="10075953" y="7555068"/>
          <a:ext cx="100391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139" name="Straight Connector 138">
          <a:extLst>
            <a:ext uri="{FF2B5EF4-FFF2-40B4-BE49-F238E27FC236}">
              <a16:creationId xmlns:a16="http://schemas.microsoft.com/office/drawing/2014/main" id="{00000000-0008-0000-0200-00008B000000}"/>
            </a:ext>
          </a:extLst>
        </xdr:cNvPr>
        <xdr:cNvCxnSpPr/>
      </xdr:nvCxnSpPr>
      <xdr:spPr>
        <a:xfrm flipH="1">
          <a:off x="9195107" y="7537538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41</xdr:row>
      <xdr:rowOff>1764</xdr:rowOff>
    </xdr:from>
    <xdr:to>
      <xdr:col>38</xdr:col>
      <xdr:colOff>197119</xdr:colOff>
      <xdr:row>41</xdr:row>
      <xdr:rowOff>1764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00000000-0008-0000-0200-00008C000000}"/>
            </a:ext>
          </a:extLst>
        </xdr:cNvPr>
        <xdr:cNvCxnSpPr/>
      </xdr:nvCxnSpPr>
      <xdr:spPr>
        <a:xfrm flipH="1">
          <a:off x="9186521" y="7334217"/>
          <a:ext cx="5715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41" name="Straight Connector 140">
          <a:extLst>
            <a:ext uri="{FF2B5EF4-FFF2-40B4-BE49-F238E27FC236}">
              <a16:creationId xmlns:a16="http://schemas.microsoft.com/office/drawing/2014/main" id="{00000000-0008-0000-0200-00008D000000}"/>
            </a:ext>
          </a:extLst>
        </xdr:cNvPr>
        <xdr:cNvCxnSpPr/>
      </xdr:nvCxnSpPr>
      <xdr:spPr>
        <a:xfrm flipH="1">
          <a:off x="7459368" y="83268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30825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00000000-0008-0000-0200-0000BA000000}"/>
            </a:ext>
          </a:extLst>
        </xdr:cNvPr>
        <xdr:cNvCxnSpPr/>
      </xdr:nvCxnSpPr>
      <xdr:spPr>
        <a:xfrm flipH="1">
          <a:off x="3316796" y="8327150"/>
          <a:ext cx="3107641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36221</xdr:colOff>
      <xdr:row>32</xdr:row>
      <xdr:rowOff>87004</xdr:rowOff>
    </xdr:from>
    <xdr:to>
      <xdr:col>13</xdr:col>
      <xdr:colOff>36221</xdr:colOff>
      <xdr:row>40</xdr:row>
      <xdr:rowOff>191117</xdr:rowOff>
    </xdr:to>
    <xdr:cxnSp macro="">
      <xdr:nvCxnSpPr>
        <xdr:cNvPr id="187" name="Straight Connector 186">
          <a:extLst>
            <a:ext uri="{FF2B5EF4-FFF2-40B4-BE49-F238E27FC236}">
              <a16:creationId xmlns:a16="http://schemas.microsoft.com/office/drawing/2014/main" id="{00000000-0008-0000-0200-0000BB000000}"/>
            </a:ext>
          </a:extLst>
        </xdr:cNvPr>
        <xdr:cNvCxnSpPr/>
      </xdr:nvCxnSpPr>
      <xdr:spPr>
        <a:xfrm>
          <a:off x="3322192" y="6597295"/>
          <a:ext cx="0" cy="173168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174283</xdr:colOff>
      <xdr:row>35</xdr:row>
      <xdr:rowOff>24137</xdr:rowOff>
    </xdr:from>
    <xdr:to>
      <xdr:col>13</xdr:col>
      <xdr:colOff>170878</xdr:colOff>
      <xdr:row>36</xdr:row>
      <xdr:rowOff>4293</xdr:rowOff>
    </xdr:to>
    <xdr:cxnSp macro="">
      <xdr:nvCxnSpPr>
        <xdr:cNvPr id="190" name="1P">
          <a:extLst>
            <a:ext uri="{FF2B5EF4-FFF2-40B4-BE49-F238E27FC236}">
              <a16:creationId xmlns:a16="http://schemas.microsoft.com/office/drawing/2014/main" id="{00000000-0008-0000-0200-0000BE000000}"/>
            </a:ext>
          </a:extLst>
        </xdr:cNvPr>
        <xdr:cNvCxnSpPr/>
      </xdr:nvCxnSpPr>
      <xdr:spPr>
        <a:xfrm flipH="1">
          <a:off x="3207487" y="7144768"/>
          <a:ext cx="249362" cy="18360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155947</xdr:colOff>
      <xdr:row>29</xdr:row>
      <xdr:rowOff>62716</xdr:rowOff>
    </xdr:from>
    <xdr:to>
      <xdr:col>61</xdr:col>
      <xdr:colOff>129716</xdr:colOff>
      <xdr:row>46</xdr:row>
      <xdr:rowOff>37002</xdr:rowOff>
    </xdr:to>
    <xdr:sp macro="" textlink="">
      <xdr:nvSpPr>
        <xdr:cNvPr id="191" name="Dash">
          <a:extLst>
            <a:ext uri="{FF2B5EF4-FFF2-40B4-BE49-F238E27FC236}">
              <a16:creationId xmlns:a16="http://schemas.microsoft.com/office/drawing/2014/main" id="{00000000-0008-0000-0200-0000BF000000}"/>
            </a:ext>
          </a:extLst>
        </xdr:cNvPr>
        <xdr:cNvSpPr/>
      </xdr:nvSpPr>
      <xdr:spPr>
        <a:xfrm>
          <a:off x="10692243" y="5973704"/>
          <a:ext cx="4740189" cy="343934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164596</xdr:colOff>
      <xdr:row>45</xdr:row>
      <xdr:rowOff>197723</xdr:rowOff>
    </xdr:from>
    <xdr:to>
      <xdr:col>62</xdr:col>
      <xdr:colOff>109754</xdr:colOff>
      <xdr:row>47</xdr:row>
      <xdr:rowOff>188148</xdr:rowOff>
    </xdr:to>
    <xdr:grpSp>
      <xdr:nvGrpSpPr>
        <xdr:cNvPr id="192" name="Group 191">
          <a:extLst>
            <a:ext uri="{FF2B5EF4-FFF2-40B4-BE49-F238E27FC236}">
              <a16:creationId xmlns:a16="http://schemas.microsoft.com/office/drawing/2014/main" id="{00000000-0008-0000-0200-0000C0000000}"/>
            </a:ext>
          </a:extLst>
        </xdr:cNvPr>
        <xdr:cNvGrpSpPr/>
      </xdr:nvGrpSpPr>
      <xdr:grpSpPr>
        <a:xfrm>
          <a:off x="15216448" y="9369945"/>
          <a:ext cx="446886" cy="398080"/>
          <a:chOff x="10160000" y="2820276"/>
          <a:chExt cx="508000" cy="401148"/>
        </a:xfrm>
      </xdr:grpSpPr>
      <xdr:grpSp>
        <xdr:nvGrpSpPr>
          <xdr:cNvPr id="193" name="Group 192">
            <a:extLst>
              <a:ext uri="{FF2B5EF4-FFF2-40B4-BE49-F238E27FC236}">
                <a16:creationId xmlns:a16="http://schemas.microsoft.com/office/drawing/2014/main" id="{00000000-0008-0000-0200-0000C1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195" name="Straight Connector 194">
              <a:extLst>
                <a:ext uri="{FF2B5EF4-FFF2-40B4-BE49-F238E27FC236}">
                  <a16:creationId xmlns:a16="http://schemas.microsoft.com/office/drawing/2014/main" id="{00000000-0008-0000-0200-0000C3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6" name="Straight Connector 195">
              <a:extLst>
                <a:ext uri="{FF2B5EF4-FFF2-40B4-BE49-F238E27FC236}">
                  <a16:creationId xmlns:a16="http://schemas.microsoft.com/office/drawing/2014/main" id="{00000000-0008-0000-0200-0000C4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7" name="Straight Connector 196">
              <a:extLst>
                <a:ext uri="{FF2B5EF4-FFF2-40B4-BE49-F238E27FC236}">
                  <a16:creationId xmlns:a16="http://schemas.microsoft.com/office/drawing/2014/main" id="{00000000-0008-0000-0200-0000C5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4" name="Straight Connector 193">
            <a:extLst>
              <a:ext uri="{FF2B5EF4-FFF2-40B4-BE49-F238E27FC236}">
                <a16:creationId xmlns:a16="http://schemas.microsoft.com/office/drawing/2014/main" id="{00000000-0008-0000-0200-0000C2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199" name="3PL">
          <a:extLst>
            <a:ext uri="{FF2B5EF4-FFF2-40B4-BE49-F238E27FC236}">
              <a16:creationId xmlns:a16="http://schemas.microsoft.com/office/drawing/2014/main" id="{00000000-0008-0000-0200-0000C7000000}"/>
            </a:ext>
          </a:extLst>
        </xdr:cNvPr>
        <xdr:cNvGrpSpPr/>
      </xdr:nvGrpSpPr>
      <xdr:grpSpPr>
        <a:xfrm>
          <a:off x="2009473" y="510222"/>
          <a:ext cx="597050" cy="3834604"/>
          <a:chOff x="10975311" y="1118934"/>
          <a:chExt cx="590576" cy="4001288"/>
        </a:xfrm>
      </xdr:grpSpPr>
      <xdr:grpSp>
        <xdr:nvGrpSpPr>
          <xdr:cNvPr id="200" name="Group 199">
            <a:extLst>
              <a:ext uri="{FF2B5EF4-FFF2-40B4-BE49-F238E27FC236}">
                <a16:creationId xmlns:a16="http://schemas.microsoft.com/office/drawing/2014/main" id="{00000000-0008-0000-0200-0000C8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08" name="Oval 207">
              <a:extLst>
                <a:ext uri="{FF2B5EF4-FFF2-40B4-BE49-F238E27FC236}">
                  <a16:creationId xmlns:a16="http://schemas.microsoft.com/office/drawing/2014/main" id="{00000000-0008-0000-0200-0000D0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09" name="Shape 27">
              <a:extLst>
                <a:ext uri="{FF2B5EF4-FFF2-40B4-BE49-F238E27FC236}">
                  <a16:creationId xmlns:a16="http://schemas.microsoft.com/office/drawing/2014/main" id="{00000000-0008-0000-0200-0000D1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0" name="Shape 22">
              <a:extLst>
                <a:ext uri="{FF2B5EF4-FFF2-40B4-BE49-F238E27FC236}">
                  <a16:creationId xmlns:a16="http://schemas.microsoft.com/office/drawing/2014/main" id="{00000000-0008-0000-0200-0000D2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11" name="Shape 27">
              <a:extLst>
                <a:ext uri="{FF2B5EF4-FFF2-40B4-BE49-F238E27FC236}">
                  <a16:creationId xmlns:a16="http://schemas.microsoft.com/office/drawing/2014/main" id="{00000000-0008-0000-0200-0000D3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2" name="Shape 27">
              <a:extLst>
                <a:ext uri="{FF2B5EF4-FFF2-40B4-BE49-F238E27FC236}">
                  <a16:creationId xmlns:a16="http://schemas.microsoft.com/office/drawing/2014/main" id="{00000000-0008-0000-0200-0000D4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3" name="Shape 26">
              <a:extLst>
                <a:ext uri="{FF2B5EF4-FFF2-40B4-BE49-F238E27FC236}">
                  <a16:creationId xmlns:a16="http://schemas.microsoft.com/office/drawing/2014/main" id="{00000000-0008-0000-0200-0000D5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01" name="Group 200">
            <a:extLst>
              <a:ext uri="{FF2B5EF4-FFF2-40B4-BE49-F238E27FC236}">
                <a16:creationId xmlns:a16="http://schemas.microsoft.com/office/drawing/2014/main" id="{00000000-0008-0000-0200-0000C9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02" name="Shape 18">
              <a:extLst>
                <a:ext uri="{FF2B5EF4-FFF2-40B4-BE49-F238E27FC236}">
                  <a16:creationId xmlns:a16="http://schemas.microsoft.com/office/drawing/2014/main" id="{00000000-0008-0000-0200-0000CA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03" name="Shape 18">
              <a:extLst>
                <a:ext uri="{FF2B5EF4-FFF2-40B4-BE49-F238E27FC236}">
                  <a16:creationId xmlns:a16="http://schemas.microsoft.com/office/drawing/2014/main" id="{00000000-0008-0000-0200-0000CB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04" name="Straight Connector 203">
              <a:extLst>
                <a:ext uri="{FF2B5EF4-FFF2-40B4-BE49-F238E27FC236}">
                  <a16:creationId xmlns:a16="http://schemas.microsoft.com/office/drawing/2014/main" id="{00000000-0008-0000-0200-0000CC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200-0000CD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200-0000CE000000}"/>
                </a:ext>
              </a:extLst>
            </xdr:cNvPr>
            <xdr:cNvCxnSpPr>
              <a:endCxn id="203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07" name="Rectangle 206">
              <a:extLst>
                <a:ext uri="{FF2B5EF4-FFF2-40B4-BE49-F238E27FC236}">
                  <a16:creationId xmlns:a16="http://schemas.microsoft.com/office/drawing/2014/main" id="{00000000-0008-0000-0200-0000CF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12</xdr:col>
      <xdr:colOff>135468</xdr:colOff>
      <xdr:row>22</xdr:row>
      <xdr:rowOff>179042</xdr:rowOff>
    </xdr:from>
    <xdr:to>
      <xdr:col>13</xdr:col>
      <xdr:colOff>132063</xdr:colOff>
      <xdr:row>23</xdr:row>
      <xdr:rowOff>159198</xdr:rowOff>
    </xdr:to>
    <xdr:cxnSp macro="">
      <xdr:nvCxnSpPr>
        <xdr:cNvPr id="185" name="1P">
          <a:extLst>
            <a:ext uri="{FF2B5EF4-FFF2-40B4-BE49-F238E27FC236}">
              <a16:creationId xmlns:a16="http://schemas.microsoft.com/office/drawing/2014/main" id="{00000000-0008-0000-0200-0000B9000000}"/>
            </a:ext>
          </a:extLst>
        </xdr:cNvPr>
        <xdr:cNvCxnSpPr/>
      </xdr:nvCxnSpPr>
      <xdr:spPr>
        <a:xfrm flipH="1">
          <a:off x="3140538" y="4704535"/>
          <a:ext cx="247018" cy="18586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152401</xdr:colOff>
      <xdr:row>23</xdr:row>
      <xdr:rowOff>66090</xdr:rowOff>
    </xdr:from>
    <xdr:to>
      <xdr:col>13</xdr:col>
      <xdr:colOff>148996</xdr:colOff>
      <xdr:row>24</xdr:row>
      <xdr:rowOff>150346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162771" y="4754115"/>
          <a:ext cx="247460" cy="288083"/>
          <a:chOff x="3200401" y="4739690"/>
          <a:chExt cx="250595" cy="287456"/>
        </a:xfrm>
      </xdr:grpSpPr>
      <xdr:cxnSp macro="">
        <xdr:nvCxnSpPr>
          <xdr:cNvPr id="198" name="2P">
            <a:extLst>
              <a:ext uri="{FF2B5EF4-FFF2-40B4-BE49-F238E27FC236}">
                <a16:creationId xmlns:a16="http://schemas.microsoft.com/office/drawing/2014/main" id="{00000000-0008-0000-0200-0000C600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27" name="3P">
            <a:extLst>
              <a:ext uri="{FF2B5EF4-FFF2-40B4-BE49-F238E27FC236}">
                <a16:creationId xmlns:a16="http://schemas.microsoft.com/office/drawing/2014/main" id="{00000000-0008-0000-0200-0000E300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208826</xdr:colOff>
      <xdr:row>25</xdr:row>
      <xdr:rowOff>169333</xdr:rowOff>
    </xdr:from>
    <xdr:to>
      <xdr:col>16</xdr:col>
      <xdr:colOff>208826</xdr:colOff>
      <xdr:row>29</xdr:row>
      <xdr:rowOff>143829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0000000-0008-0000-0200-0000E4000000}"/>
            </a:ext>
          </a:extLst>
        </xdr:cNvPr>
        <xdr:cNvCxnSpPr/>
      </xdr:nvCxnSpPr>
      <xdr:spPr>
        <a:xfrm>
          <a:off x="4272826" y="5249333"/>
          <a:ext cx="0" cy="78729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160868</xdr:colOff>
      <xdr:row>29</xdr:row>
      <xdr:rowOff>135537</xdr:rowOff>
    </xdr:from>
    <xdr:to>
      <xdr:col>17</xdr:col>
      <xdr:colOff>176092</xdr:colOff>
      <xdr:row>32</xdr:row>
      <xdr:rowOff>183186</xdr:rowOff>
    </xdr:to>
    <xdr:grpSp>
      <xdr:nvGrpSpPr>
        <xdr:cNvPr id="229" name="Group 228">
          <a:extLst>
            <a:ext uri="{FF2B5EF4-FFF2-40B4-BE49-F238E27FC236}">
              <a16:creationId xmlns:a16="http://schemas.microsoft.com/office/drawing/2014/main" id="{00000000-0008-0000-0200-0000E5000000}"/>
            </a:ext>
          </a:extLst>
        </xdr:cNvPr>
        <xdr:cNvGrpSpPr/>
      </xdr:nvGrpSpPr>
      <xdr:grpSpPr>
        <a:xfrm>
          <a:off x="4174695" y="6046525"/>
          <a:ext cx="266088" cy="659130"/>
          <a:chOff x="3291679" y="5440218"/>
          <a:chExt cx="275787" cy="639287"/>
        </a:xfrm>
      </xdr:grpSpPr>
      <xdr:grpSp>
        <xdr:nvGrpSpPr>
          <xdr:cNvPr id="230" name="Group 229">
            <a:extLst>
              <a:ext uri="{FF2B5EF4-FFF2-40B4-BE49-F238E27FC236}">
                <a16:creationId xmlns:a16="http://schemas.microsoft.com/office/drawing/2014/main" id="{00000000-0008-0000-0200-0000E6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32" name="Shape 27">
              <a:extLst>
                <a:ext uri="{FF2B5EF4-FFF2-40B4-BE49-F238E27FC236}">
                  <a16:creationId xmlns:a16="http://schemas.microsoft.com/office/drawing/2014/main" id="{00000000-0008-0000-0200-0000E8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3" name="Shape 27">
              <a:extLst>
                <a:ext uri="{FF2B5EF4-FFF2-40B4-BE49-F238E27FC236}">
                  <a16:creationId xmlns:a16="http://schemas.microsoft.com/office/drawing/2014/main" id="{00000000-0008-0000-0200-0000E9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4" name="Shape 26">
              <a:extLst>
                <a:ext uri="{FF2B5EF4-FFF2-40B4-BE49-F238E27FC236}">
                  <a16:creationId xmlns:a16="http://schemas.microsoft.com/office/drawing/2014/main" id="{00000000-0008-0000-0200-0000EA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31" name="Straight Connector 230">
            <a:extLst>
              <a:ext uri="{FF2B5EF4-FFF2-40B4-BE49-F238E27FC236}">
                <a16:creationId xmlns:a16="http://schemas.microsoft.com/office/drawing/2014/main" id="{00000000-0008-0000-0200-0000E7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205097</xdr:colOff>
      <xdr:row>32</xdr:row>
      <xdr:rowOff>183167</xdr:rowOff>
    </xdr:from>
    <xdr:to>
      <xdr:col>16</xdr:col>
      <xdr:colOff>205097</xdr:colOff>
      <xdr:row>33</xdr:row>
      <xdr:rowOff>189568</xdr:rowOff>
    </xdr:to>
    <xdr:sp macro="" textlink="">
      <xdr:nvSpPr>
        <xdr:cNvPr id="235" name="Shape 18">
          <a:extLst>
            <a:ext uri="{FF2B5EF4-FFF2-40B4-BE49-F238E27FC236}">
              <a16:creationId xmlns:a16="http://schemas.microsoft.com/office/drawing/2014/main" id="{00000000-0008-0000-0200-0000EB000000}"/>
            </a:ext>
          </a:extLst>
        </xdr:cNvPr>
        <xdr:cNvSpPr/>
      </xdr:nvSpPr>
      <xdr:spPr>
        <a:xfrm flipH="1">
          <a:off x="4269097" y="6685567"/>
          <a:ext cx="0" cy="209601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16</xdr:col>
      <xdr:colOff>84667</xdr:colOff>
      <xdr:row>27</xdr:row>
      <xdr:rowOff>15290</xdr:rowOff>
    </xdr:from>
    <xdr:to>
      <xdr:col>17</xdr:col>
      <xdr:colOff>81262</xdr:colOff>
      <xdr:row>28</xdr:row>
      <xdr:rowOff>99546</xdr:rowOff>
    </xdr:to>
    <xdr:grpSp>
      <xdr:nvGrpSpPr>
        <xdr:cNvPr id="261" name="3PLoads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GrpSpPr/>
      </xdr:nvGrpSpPr>
      <xdr:grpSpPr>
        <a:xfrm>
          <a:off x="4098494" y="5518623"/>
          <a:ext cx="247459" cy="288083"/>
          <a:chOff x="3200401" y="4739690"/>
          <a:chExt cx="250595" cy="287456"/>
        </a:xfrm>
      </xdr:grpSpPr>
      <xdr:cxnSp macro="">
        <xdr:nvCxnSpPr>
          <xdr:cNvPr id="262" name="2P">
            <a:extLst>
              <a:ext uri="{FF2B5EF4-FFF2-40B4-BE49-F238E27FC236}">
                <a16:creationId xmlns:a16="http://schemas.microsoft.com/office/drawing/2014/main" id="{00000000-0008-0000-0200-000006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63" name="3P">
            <a:extLst>
              <a:ext uri="{FF2B5EF4-FFF2-40B4-BE49-F238E27FC236}">
                <a16:creationId xmlns:a16="http://schemas.microsoft.com/office/drawing/2014/main" id="{00000000-0008-0000-0200-000007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77260</xdr:colOff>
      <xdr:row>26</xdr:row>
      <xdr:rowOff>121123</xdr:rowOff>
    </xdr:from>
    <xdr:to>
      <xdr:col>17</xdr:col>
      <xdr:colOff>73854</xdr:colOff>
      <xdr:row>27</xdr:row>
      <xdr:rowOff>107005</xdr:rowOff>
    </xdr:to>
    <xdr:cxnSp macro="">
      <xdr:nvCxnSpPr>
        <xdr:cNvPr id="264" name="watat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CxnSpPr/>
      </xdr:nvCxnSpPr>
      <xdr:spPr>
        <a:xfrm flipH="1">
          <a:off x="4169482" y="5395151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164106</xdr:colOff>
      <xdr:row>7</xdr:row>
      <xdr:rowOff>71401</xdr:rowOff>
    </xdr:from>
    <xdr:to>
      <xdr:col>41</xdr:col>
      <xdr:colOff>79646</xdr:colOff>
      <xdr:row>9</xdr:row>
      <xdr:rowOff>56348</xdr:rowOff>
    </xdr:to>
    <xdr:sp macro="" textlink="">
      <xdr:nvSpPr>
        <xdr:cNvPr id="271" name="Tb-b1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9594221" y="1501976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199725</xdr:colOff>
      <xdr:row>7</xdr:row>
      <xdr:rowOff>63227</xdr:rowOff>
    </xdr:from>
    <xdr:to>
      <xdr:col>50</xdr:col>
      <xdr:colOff>115265</xdr:colOff>
      <xdr:row>9</xdr:row>
      <xdr:rowOff>48174</xdr:rowOff>
    </xdr:to>
    <xdr:sp macro="" textlink="">
      <xdr:nvSpPr>
        <xdr:cNvPr id="272" name="Tb-b2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11863288" y="1493802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57</xdr:col>
      <xdr:colOff>16378</xdr:colOff>
      <xdr:row>7</xdr:row>
      <xdr:rowOff>69650</xdr:rowOff>
    </xdr:from>
    <xdr:to>
      <xdr:col>59</xdr:col>
      <xdr:colOff>180079</xdr:colOff>
      <xdr:row>9</xdr:row>
      <xdr:rowOff>54597</xdr:rowOff>
    </xdr:to>
    <xdr:sp macro="" textlink="">
      <xdr:nvSpPr>
        <xdr:cNvPr id="273" name="Tb-b3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14161550" y="1500225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112138</xdr:colOff>
      <xdr:row>6</xdr:row>
      <xdr:rowOff>150812</xdr:rowOff>
    </xdr:from>
    <xdr:to>
      <xdr:col>46</xdr:col>
      <xdr:colOff>27679</xdr:colOff>
      <xdr:row>8</xdr:row>
      <xdr:rowOff>135758</xdr:rowOff>
    </xdr:to>
    <xdr:sp macro="" textlink="">
      <xdr:nvSpPr>
        <xdr:cNvPr id="274" name="Tb-l1a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10783058" y="1377019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43</xdr:col>
      <xdr:colOff>118561</xdr:colOff>
      <xdr:row>7</xdr:row>
      <xdr:rowOff>201028</xdr:rowOff>
    </xdr:from>
    <xdr:to>
      <xdr:col>46</xdr:col>
      <xdr:colOff>34102</xdr:colOff>
      <xdr:row>9</xdr:row>
      <xdr:rowOff>185975</xdr:rowOff>
    </xdr:to>
    <xdr:sp macro="" textlink="">
      <xdr:nvSpPr>
        <xdr:cNvPr id="275" name="Tb-l1b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10789481" y="163160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66593</xdr:colOff>
      <xdr:row>8</xdr:row>
      <xdr:rowOff>17681</xdr:rowOff>
    </xdr:from>
    <xdr:to>
      <xdr:col>54</xdr:col>
      <xdr:colOff>230294</xdr:colOff>
      <xdr:row>10</xdr:row>
      <xdr:rowOff>2628</xdr:rowOff>
    </xdr:to>
    <xdr:sp macro="" textlink="">
      <xdr:nvSpPr>
        <xdr:cNvPr id="276" name="Tb-l2b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12970961" y="1652624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52</xdr:col>
      <xdr:colOff>73016</xdr:colOff>
      <xdr:row>6</xdr:row>
      <xdr:rowOff>140886</xdr:rowOff>
    </xdr:from>
    <xdr:to>
      <xdr:col>54</xdr:col>
      <xdr:colOff>236717</xdr:colOff>
      <xdr:row>8</xdr:row>
      <xdr:rowOff>125832</xdr:rowOff>
    </xdr:to>
    <xdr:sp macro="" textlink="">
      <xdr:nvSpPr>
        <xdr:cNvPr id="277" name="Tb-l2a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12977384" y="1367093"/>
          <a:ext cx="660023" cy="3936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33</xdr:col>
      <xdr:colOff>21132</xdr:colOff>
      <xdr:row>55</xdr:row>
      <xdr:rowOff>29635</xdr:rowOff>
    </xdr:from>
    <xdr:to>
      <xdr:col>37</xdr:col>
      <xdr:colOff>0</xdr:colOff>
      <xdr:row>63</xdr:row>
      <xdr:rowOff>16935</xdr:rowOff>
    </xdr:to>
    <xdr:grpSp>
      <xdr:nvGrpSpPr>
        <xdr:cNvPr id="188" name="Group 187">
          <a:extLst>
            <a:ext uri="{FF2B5EF4-FFF2-40B4-BE49-F238E27FC236}">
              <a16:creationId xmlns:a16="http://schemas.microsoft.com/office/drawing/2014/main" id="{00000000-0008-0000-0200-0000BC000000}"/>
            </a:ext>
          </a:extLst>
        </xdr:cNvPr>
        <xdr:cNvGrpSpPr/>
      </xdr:nvGrpSpPr>
      <xdr:grpSpPr>
        <a:xfrm>
          <a:off x="8299651" y="11240129"/>
          <a:ext cx="982324" cy="1617917"/>
          <a:chOff x="5588000" y="4800600"/>
          <a:chExt cx="762000" cy="1270001"/>
        </a:xfrm>
      </xdr:grpSpPr>
      <xdr:grpSp>
        <xdr:nvGrpSpPr>
          <xdr:cNvPr id="189" name="Group 188">
            <a:extLst>
              <a:ext uri="{FF2B5EF4-FFF2-40B4-BE49-F238E27FC236}">
                <a16:creationId xmlns:a16="http://schemas.microsoft.com/office/drawing/2014/main" id="{00000000-0008-0000-0200-0000BD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215" name="Shape 5">
              <a:extLst>
                <a:ext uri="{FF2B5EF4-FFF2-40B4-BE49-F238E27FC236}">
                  <a16:creationId xmlns:a16="http://schemas.microsoft.com/office/drawing/2014/main" id="{00000000-0008-0000-0200-0000D7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6" name="Shape 6">
              <a:extLst>
                <a:ext uri="{FF2B5EF4-FFF2-40B4-BE49-F238E27FC236}">
                  <a16:creationId xmlns:a16="http://schemas.microsoft.com/office/drawing/2014/main" id="{00000000-0008-0000-0200-0000D8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7" name="Shape 7">
              <a:extLst>
                <a:ext uri="{FF2B5EF4-FFF2-40B4-BE49-F238E27FC236}">
                  <a16:creationId xmlns:a16="http://schemas.microsoft.com/office/drawing/2014/main" id="{00000000-0008-0000-0200-0000D9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18" name="Shape 8">
              <a:extLst>
                <a:ext uri="{FF2B5EF4-FFF2-40B4-BE49-F238E27FC236}">
                  <a16:creationId xmlns:a16="http://schemas.microsoft.com/office/drawing/2014/main" id="{00000000-0008-0000-0200-0000DA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14" name="Rectangle 213">
            <a:extLst>
              <a:ext uri="{FF2B5EF4-FFF2-40B4-BE49-F238E27FC236}">
                <a16:creationId xmlns:a16="http://schemas.microsoft.com/office/drawing/2014/main" id="{00000000-0008-0000-0200-0000D6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194201</xdr:colOff>
      <xdr:row>57</xdr:row>
      <xdr:rowOff>79998</xdr:rowOff>
    </xdr:from>
    <xdr:to>
      <xdr:col>40</xdr:col>
      <xdr:colOff>200277</xdr:colOff>
      <xdr:row>61</xdr:row>
      <xdr:rowOff>109980</xdr:rowOff>
    </xdr:to>
    <xdr:grpSp>
      <xdr:nvGrpSpPr>
        <xdr:cNvPr id="219" name="Group 218">
          <a:extLst>
            <a:ext uri="{FF2B5EF4-FFF2-40B4-BE49-F238E27FC236}">
              <a16:creationId xmlns:a16="http://schemas.microsoft.com/office/drawing/2014/main" id="{00000000-0008-0000-0200-0000DB000000}"/>
            </a:ext>
          </a:extLst>
        </xdr:cNvPr>
        <xdr:cNvGrpSpPr/>
      </xdr:nvGrpSpPr>
      <xdr:grpSpPr>
        <a:xfrm>
          <a:off x="9727041" y="11698146"/>
          <a:ext cx="507804" cy="845291"/>
          <a:chOff x="8312729" y="2242252"/>
          <a:chExt cx="516507" cy="808182"/>
        </a:xfrm>
      </xdr:grpSpPr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200-0000DC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222" name="Shape 9">
              <a:extLst>
                <a:ext uri="{FF2B5EF4-FFF2-40B4-BE49-F238E27FC236}">
                  <a16:creationId xmlns:a16="http://schemas.microsoft.com/office/drawing/2014/main" id="{00000000-0008-0000-0200-0000DE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3" name="Shape 38">
              <a:extLst>
                <a:ext uri="{FF2B5EF4-FFF2-40B4-BE49-F238E27FC236}">
                  <a16:creationId xmlns:a16="http://schemas.microsoft.com/office/drawing/2014/main" id="{00000000-0008-0000-0200-0000DF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4" name="Shape 39">
              <a:extLst>
                <a:ext uri="{FF2B5EF4-FFF2-40B4-BE49-F238E27FC236}">
                  <a16:creationId xmlns:a16="http://schemas.microsoft.com/office/drawing/2014/main" id="{00000000-0008-0000-0200-0000E0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5" name="Shape 13">
              <a:extLst>
                <a:ext uri="{FF2B5EF4-FFF2-40B4-BE49-F238E27FC236}">
                  <a16:creationId xmlns:a16="http://schemas.microsoft.com/office/drawing/2014/main" id="{00000000-0008-0000-0200-0000E1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6" name="Shape 37">
              <a:extLst>
                <a:ext uri="{FF2B5EF4-FFF2-40B4-BE49-F238E27FC236}">
                  <a16:creationId xmlns:a16="http://schemas.microsoft.com/office/drawing/2014/main" id="{00000000-0008-0000-0200-0000E2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6" name="Shape 9">
              <a:extLst>
                <a:ext uri="{FF2B5EF4-FFF2-40B4-BE49-F238E27FC236}">
                  <a16:creationId xmlns:a16="http://schemas.microsoft.com/office/drawing/2014/main" id="{00000000-0008-0000-0200-0000EC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7" name="Shape 9">
              <a:extLst>
                <a:ext uri="{FF2B5EF4-FFF2-40B4-BE49-F238E27FC236}">
                  <a16:creationId xmlns:a16="http://schemas.microsoft.com/office/drawing/2014/main" id="{00000000-0008-0000-0200-0000ED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8" name="Shape 9">
              <a:extLst>
                <a:ext uri="{FF2B5EF4-FFF2-40B4-BE49-F238E27FC236}">
                  <a16:creationId xmlns:a16="http://schemas.microsoft.com/office/drawing/2014/main" id="{00000000-0008-0000-0200-0000EE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221" name="Rectangle 220">
            <a:extLst>
              <a:ext uri="{FF2B5EF4-FFF2-40B4-BE49-F238E27FC236}">
                <a16:creationId xmlns:a16="http://schemas.microsoft.com/office/drawing/2014/main" id="{00000000-0008-0000-0200-0000DD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247198</xdr:colOff>
      <xdr:row>57</xdr:row>
      <xdr:rowOff>18220</xdr:rowOff>
    </xdr:from>
    <xdr:to>
      <xdr:col>59</xdr:col>
      <xdr:colOff>131882</xdr:colOff>
      <xdr:row>63</xdr:row>
      <xdr:rowOff>64380</xdr:rowOff>
    </xdr:to>
    <xdr:grpSp>
      <xdr:nvGrpSpPr>
        <xdr:cNvPr id="239" name="Group 238">
          <a:extLst>
            <a:ext uri="{FF2B5EF4-FFF2-40B4-BE49-F238E27FC236}">
              <a16:creationId xmlns:a16="http://schemas.microsoft.com/office/drawing/2014/main" id="{00000000-0008-0000-0200-0000EF000000}"/>
            </a:ext>
          </a:extLst>
        </xdr:cNvPr>
        <xdr:cNvGrpSpPr/>
      </xdr:nvGrpSpPr>
      <xdr:grpSpPr>
        <a:xfrm>
          <a:off x="11034358" y="11636368"/>
          <a:ext cx="3898512" cy="1269123"/>
          <a:chOff x="6463027" y="3629024"/>
          <a:chExt cx="3950973" cy="1216296"/>
        </a:xfrm>
      </xdr:grpSpPr>
      <xdr:grpSp>
        <xdr:nvGrpSpPr>
          <xdr:cNvPr id="240" name="Group 239">
            <a:extLst>
              <a:ext uri="{FF2B5EF4-FFF2-40B4-BE49-F238E27FC236}">
                <a16:creationId xmlns:a16="http://schemas.microsoft.com/office/drawing/2014/main" id="{00000000-0008-0000-0200-0000F0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252" name="Group 251">
              <a:extLst>
                <a:ext uri="{FF2B5EF4-FFF2-40B4-BE49-F238E27FC236}">
                  <a16:creationId xmlns:a16="http://schemas.microsoft.com/office/drawing/2014/main" id="{00000000-0008-0000-0200-0000FC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255" name="Group 254">
                <a:extLst>
                  <a:ext uri="{FF2B5EF4-FFF2-40B4-BE49-F238E27FC236}">
                    <a16:creationId xmlns:a16="http://schemas.microsoft.com/office/drawing/2014/main" id="{00000000-0008-0000-0200-0000FF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257" name="Group 256">
                  <a:extLst>
                    <a:ext uri="{FF2B5EF4-FFF2-40B4-BE49-F238E27FC236}">
                      <a16:creationId xmlns:a16="http://schemas.microsoft.com/office/drawing/2014/main" id="{00000000-0008-0000-0200-00000101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270" name="Shape 46">
                    <a:extLst>
                      <a:ext uri="{FF2B5EF4-FFF2-40B4-BE49-F238E27FC236}">
                        <a16:creationId xmlns:a16="http://schemas.microsoft.com/office/drawing/2014/main" id="{00000000-0008-0000-0200-00000E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8" name="Rectangle 277">
                    <a:extLst>
                      <a:ext uri="{FF2B5EF4-FFF2-40B4-BE49-F238E27FC236}">
                        <a16:creationId xmlns:a16="http://schemas.microsoft.com/office/drawing/2014/main" id="{00000000-0008-0000-0200-00001601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79" name="Shape 46">
                    <a:extLst>
                      <a:ext uri="{FF2B5EF4-FFF2-40B4-BE49-F238E27FC236}">
                        <a16:creationId xmlns:a16="http://schemas.microsoft.com/office/drawing/2014/main" id="{00000000-0008-0000-0200-000017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258" name="Group 257">
                  <a:extLst>
                    <a:ext uri="{FF2B5EF4-FFF2-40B4-BE49-F238E27FC236}">
                      <a16:creationId xmlns:a16="http://schemas.microsoft.com/office/drawing/2014/main" id="{00000000-0008-0000-0200-00000201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267" name="Shape 46">
                    <a:extLst>
                      <a:ext uri="{FF2B5EF4-FFF2-40B4-BE49-F238E27FC236}">
                        <a16:creationId xmlns:a16="http://schemas.microsoft.com/office/drawing/2014/main" id="{00000000-0008-0000-0200-00000B01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8" name="Rectangle 267">
                    <a:extLst>
                      <a:ext uri="{FF2B5EF4-FFF2-40B4-BE49-F238E27FC236}">
                        <a16:creationId xmlns:a16="http://schemas.microsoft.com/office/drawing/2014/main" id="{00000000-0008-0000-0200-00000C01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269" name="Shape 46">
                    <a:extLst>
                      <a:ext uri="{FF2B5EF4-FFF2-40B4-BE49-F238E27FC236}">
                        <a16:creationId xmlns:a16="http://schemas.microsoft.com/office/drawing/2014/main" id="{00000000-0008-0000-0200-00000D01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259" name="Shape 27">
                  <a:extLst>
                    <a:ext uri="{FF2B5EF4-FFF2-40B4-BE49-F238E27FC236}">
                      <a16:creationId xmlns:a16="http://schemas.microsoft.com/office/drawing/2014/main" id="{00000000-0008-0000-0200-00000301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0" name="Shape 27">
                  <a:extLst>
                    <a:ext uri="{FF2B5EF4-FFF2-40B4-BE49-F238E27FC236}">
                      <a16:creationId xmlns:a16="http://schemas.microsoft.com/office/drawing/2014/main" id="{00000000-0008-0000-0200-00000401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5" name="Shape 27">
                  <a:extLst>
                    <a:ext uri="{FF2B5EF4-FFF2-40B4-BE49-F238E27FC236}">
                      <a16:creationId xmlns:a16="http://schemas.microsoft.com/office/drawing/2014/main" id="{00000000-0008-0000-0200-00000901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266" name="Shape 27">
                  <a:extLst>
                    <a:ext uri="{FF2B5EF4-FFF2-40B4-BE49-F238E27FC236}">
                      <a16:creationId xmlns:a16="http://schemas.microsoft.com/office/drawing/2014/main" id="{00000000-0008-0000-0200-00000A01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256" name="Elbow Connector 255">
                <a:extLst>
                  <a:ext uri="{FF2B5EF4-FFF2-40B4-BE49-F238E27FC236}">
                    <a16:creationId xmlns:a16="http://schemas.microsoft.com/office/drawing/2014/main" id="{00000000-0008-0000-0200-000000010000}"/>
                  </a:ext>
                </a:extLst>
              </xdr:cNvPr>
              <xdr:cNvCxnSpPr>
                <a:stCxn id="268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53" name="Elbow Connector 252">
              <a:extLst>
                <a:ext uri="{FF2B5EF4-FFF2-40B4-BE49-F238E27FC236}">
                  <a16:creationId xmlns:a16="http://schemas.microsoft.com/office/drawing/2014/main" id="{00000000-0008-0000-0200-0000FD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4" name="Straight Connector 253">
              <a:extLst>
                <a:ext uri="{FF2B5EF4-FFF2-40B4-BE49-F238E27FC236}">
                  <a16:creationId xmlns:a16="http://schemas.microsoft.com/office/drawing/2014/main" id="{00000000-0008-0000-0200-0000FE000000}"/>
                </a:ext>
              </a:extLst>
            </xdr:cNvPr>
            <xdr:cNvCxnSpPr>
              <a:stCxn id="278" idx="1"/>
              <a:endCxn id="249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241" name="Group 240">
            <a:extLst>
              <a:ext uri="{FF2B5EF4-FFF2-40B4-BE49-F238E27FC236}">
                <a16:creationId xmlns:a16="http://schemas.microsoft.com/office/drawing/2014/main" id="{00000000-0008-0000-0200-0000F1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242" name="Group 241">
              <a:extLst>
                <a:ext uri="{FF2B5EF4-FFF2-40B4-BE49-F238E27FC236}">
                  <a16:creationId xmlns:a16="http://schemas.microsoft.com/office/drawing/2014/main" id="{00000000-0008-0000-0200-0000F2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244" name="Shape 9">
                <a:extLst>
                  <a:ext uri="{FF2B5EF4-FFF2-40B4-BE49-F238E27FC236}">
                    <a16:creationId xmlns:a16="http://schemas.microsoft.com/office/drawing/2014/main" id="{00000000-0008-0000-0200-0000F4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5" name="Shape 38">
                <a:extLst>
                  <a:ext uri="{FF2B5EF4-FFF2-40B4-BE49-F238E27FC236}">
                    <a16:creationId xmlns:a16="http://schemas.microsoft.com/office/drawing/2014/main" id="{00000000-0008-0000-0200-0000F5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6" name="Shape 39">
                <a:extLst>
                  <a:ext uri="{FF2B5EF4-FFF2-40B4-BE49-F238E27FC236}">
                    <a16:creationId xmlns:a16="http://schemas.microsoft.com/office/drawing/2014/main" id="{00000000-0008-0000-0200-0000F6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7" name="Shape 13">
                <a:extLst>
                  <a:ext uri="{FF2B5EF4-FFF2-40B4-BE49-F238E27FC236}">
                    <a16:creationId xmlns:a16="http://schemas.microsoft.com/office/drawing/2014/main" id="{00000000-0008-0000-0200-0000F7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8" name="Shape 37">
                <a:extLst>
                  <a:ext uri="{FF2B5EF4-FFF2-40B4-BE49-F238E27FC236}">
                    <a16:creationId xmlns:a16="http://schemas.microsoft.com/office/drawing/2014/main" id="{00000000-0008-0000-0200-0000F8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49" name="Shape 9">
                <a:extLst>
                  <a:ext uri="{FF2B5EF4-FFF2-40B4-BE49-F238E27FC236}">
                    <a16:creationId xmlns:a16="http://schemas.microsoft.com/office/drawing/2014/main" id="{00000000-0008-0000-0200-0000F9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0" name="Shape 9">
                <a:extLst>
                  <a:ext uri="{FF2B5EF4-FFF2-40B4-BE49-F238E27FC236}">
                    <a16:creationId xmlns:a16="http://schemas.microsoft.com/office/drawing/2014/main" id="{00000000-0008-0000-0200-0000FA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51" name="Shape 9">
                <a:extLst>
                  <a:ext uri="{FF2B5EF4-FFF2-40B4-BE49-F238E27FC236}">
                    <a16:creationId xmlns:a16="http://schemas.microsoft.com/office/drawing/2014/main" id="{00000000-0008-0000-0200-0000FB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243" name="Rectangle 242">
              <a:extLst>
                <a:ext uri="{FF2B5EF4-FFF2-40B4-BE49-F238E27FC236}">
                  <a16:creationId xmlns:a16="http://schemas.microsoft.com/office/drawing/2014/main" id="{00000000-0008-0000-0200-0000F3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190500</xdr:colOff>
      <xdr:row>57</xdr:row>
      <xdr:rowOff>72190</xdr:rowOff>
    </xdr:from>
    <xdr:to>
      <xdr:col>29</xdr:col>
      <xdr:colOff>192483</xdr:colOff>
      <xdr:row>60</xdr:row>
      <xdr:rowOff>27125</xdr:rowOff>
    </xdr:to>
    <xdr:grpSp>
      <xdr:nvGrpSpPr>
        <xdr:cNvPr id="280" name="Group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GrpSpPr/>
      </xdr:nvGrpSpPr>
      <xdr:grpSpPr>
        <a:xfrm>
          <a:off x="6462105" y="11690338"/>
          <a:ext cx="1005440" cy="566417"/>
          <a:chOff x="6858969" y="6917765"/>
          <a:chExt cx="1015030" cy="545353"/>
        </a:xfrm>
      </xdr:grpSpPr>
      <xdr:sp macro="" textlink="">
        <xdr:nvSpPr>
          <xdr:cNvPr id="281" name="Shape 27">
            <a:extLst>
              <a:ext uri="{FF2B5EF4-FFF2-40B4-BE49-F238E27FC236}">
                <a16:creationId xmlns:a16="http://schemas.microsoft.com/office/drawing/2014/main" id="{00000000-0008-0000-0200-00001901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82" name="Shape 27">
            <a:extLst>
              <a:ext uri="{FF2B5EF4-FFF2-40B4-BE49-F238E27FC236}">
                <a16:creationId xmlns:a16="http://schemas.microsoft.com/office/drawing/2014/main" id="{00000000-0008-0000-0200-00001A01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283" name="Shape 26">
            <a:extLst>
              <a:ext uri="{FF2B5EF4-FFF2-40B4-BE49-F238E27FC236}">
                <a16:creationId xmlns:a16="http://schemas.microsoft.com/office/drawing/2014/main" id="{00000000-0008-0000-0200-00001B01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200-00001C01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200-00001D01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86" name="Rectangle 285">
            <a:extLst>
              <a:ext uri="{FF2B5EF4-FFF2-40B4-BE49-F238E27FC236}">
                <a16:creationId xmlns:a16="http://schemas.microsoft.com/office/drawing/2014/main" id="{00000000-0008-0000-0200-00001E01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29</xdr:col>
      <xdr:colOff>194968</xdr:colOff>
      <xdr:row>59</xdr:row>
      <xdr:rowOff>46483</xdr:rowOff>
    </xdr:from>
    <xdr:to>
      <xdr:col>33</xdr:col>
      <xdr:colOff>17530</xdr:colOff>
      <xdr:row>59</xdr:row>
      <xdr:rowOff>46483</xdr:rowOff>
    </xdr:to>
    <xdr:cxnSp macro="">
      <xdr:nvCxnSpPr>
        <xdr:cNvPr id="311" name="Straight Connector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CxnSpPr/>
      </xdr:nvCxnSpPr>
      <xdr:spPr>
        <a:xfrm flipH="1">
          <a:off x="7560968" y="12035283"/>
          <a:ext cx="8385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111446</xdr:colOff>
      <xdr:row>59</xdr:row>
      <xdr:rowOff>34876</xdr:rowOff>
    </xdr:from>
    <xdr:to>
      <xdr:col>44</xdr:col>
      <xdr:colOff>108945</xdr:colOff>
      <xdr:row>59</xdr:row>
      <xdr:rowOff>34876</xdr:rowOff>
    </xdr:to>
    <xdr:cxnSp macro="">
      <xdr:nvCxnSpPr>
        <xdr:cNvPr id="312" name="Straight Connector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CxnSpPr/>
      </xdr:nvCxnSpPr>
      <xdr:spPr>
        <a:xfrm flipH="1">
          <a:off x="10271446" y="12023676"/>
          <a:ext cx="1013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111804</xdr:colOff>
      <xdr:row>60</xdr:row>
      <xdr:rowOff>53122</xdr:rowOff>
    </xdr:from>
    <xdr:to>
      <xdr:col>44</xdr:col>
      <xdr:colOff>109303</xdr:colOff>
      <xdr:row>60</xdr:row>
      <xdr:rowOff>53122</xdr:rowOff>
    </xdr:to>
    <xdr:cxnSp macro="">
      <xdr:nvCxnSpPr>
        <xdr:cNvPr id="313" name="Straight Connector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CxnSpPr/>
      </xdr:nvCxnSpPr>
      <xdr:spPr>
        <a:xfrm flipH="1">
          <a:off x="10271804" y="12245122"/>
          <a:ext cx="1013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237373</xdr:colOff>
      <xdr:row>60</xdr:row>
      <xdr:rowOff>35592</xdr:rowOff>
    </xdr:from>
    <xdr:to>
      <xdr:col>39</xdr:col>
      <xdr:colOff>51707</xdr:colOff>
      <xdr:row>60</xdr:row>
      <xdr:rowOff>35592</xdr:rowOff>
    </xdr:to>
    <xdr:cxnSp macro="">
      <xdr:nvCxnSpPr>
        <xdr:cNvPr id="314" name="Straight Connector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CxnSpPr/>
      </xdr:nvCxnSpPr>
      <xdr:spPr>
        <a:xfrm flipH="1">
          <a:off x="9381373" y="12227592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228787</xdr:colOff>
      <xdr:row>59</xdr:row>
      <xdr:rowOff>35950</xdr:rowOff>
    </xdr:from>
    <xdr:to>
      <xdr:col>39</xdr:col>
      <xdr:colOff>43121</xdr:colOff>
      <xdr:row>59</xdr:row>
      <xdr:rowOff>35950</xdr:rowOff>
    </xdr:to>
    <xdr:cxnSp macro="">
      <xdr:nvCxnSpPr>
        <xdr:cNvPr id="315" name="Straight Connector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CxnSpPr/>
      </xdr:nvCxnSpPr>
      <xdr:spPr>
        <a:xfrm flipH="1">
          <a:off x="9372787" y="12024750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316" name="Straight Connector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CxnSpPr/>
      </xdr:nvCxnSpPr>
      <xdr:spPr>
        <a:xfrm flipH="1">
          <a:off x="10171802" y="8553336"/>
          <a:ext cx="1013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317" name="Straight Connector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CxnSpPr/>
      </xdr:nvCxnSpPr>
      <xdr:spPr>
        <a:xfrm flipH="1">
          <a:off x="9281371" y="8535806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CxnSpPr/>
      </xdr:nvCxnSpPr>
      <xdr:spPr>
        <a:xfrm flipH="1">
          <a:off x="10171802" y="8553336"/>
          <a:ext cx="1013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CxnSpPr/>
      </xdr:nvCxnSpPr>
      <xdr:spPr>
        <a:xfrm flipH="1">
          <a:off x="9281371" y="8535806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42</xdr:row>
      <xdr:rowOff>18936</xdr:rowOff>
    </xdr:from>
    <xdr:to>
      <xdr:col>44</xdr:col>
      <xdr:colOff>9301</xdr:colOff>
      <xdr:row>42</xdr:row>
      <xdr:rowOff>18936</xdr:rowOff>
    </xdr:to>
    <xdr:cxnSp macro="">
      <xdr:nvCxnSpPr>
        <xdr:cNvPr id="320" name="Straight Connector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CxnSpPr/>
      </xdr:nvCxnSpPr>
      <xdr:spPr>
        <a:xfrm flipH="1">
          <a:off x="10171802" y="8553336"/>
          <a:ext cx="1013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42</xdr:row>
      <xdr:rowOff>1406</xdr:rowOff>
    </xdr:from>
    <xdr:to>
      <xdr:col>38</xdr:col>
      <xdr:colOff>205705</xdr:colOff>
      <xdr:row>42</xdr:row>
      <xdr:rowOff>1406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CxnSpPr/>
      </xdr:nvCxnSpPr>
      <xdr:spPr>
        <a:xfrm flipH="1">
          <a:off x="9281371" y="8535806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156789</xdr:colOff>
      <xdr:row>48</xdr:row>
      <xdr:rowOff>62715</xdr:rowOff>
    </xdr:from>
    <xdr:to>
      <xdr:col>61</xdr:col>
      <xdr:colOff>203826</xdr:colOff>
      <xdr:row>65</xdr:row>
      <xdr:rowOff>69143</xdr:rowOff>
    </xdr:to>
    <xdr:sp macro="" textlink="">
      <xdr:nvSpPr>
        <xdr:cNvPr id="330" name="Dash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/>
      </xdr:nvSpPr>
      <xdr:spPr>
        <a:xfrm>
          <a:off x="10693085" y="9846419"/>
          <a:ext cx="4813457" cy="3471489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198148</xdr:colOff>
      <xdr:row>65</xdr:row>
      <xdr:rowOff>42344</xdr:rowOff>
    </xdr:from>
    <xdr:to>
      <xdr:col>62</xdr:col>
      <xdr:colOff>198147</xdr:colOff>
      <xdr:row>67</xdr:row>
      <xdr:rowOff>35301</xdr:rowOff>
    </xdr:to>
    <xdr:grpSp>
      <xdr:nvGrpSpPr>
        <xdr:cNvPr id="331" name="Group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GrpSpPr/>
      </xdr:nvGrpSpPr>
      <xdr:grpSpPr>
        <a:xfrm>
          <a:off x="15250000" y="13291109"/>
          <a:ext cx="501727" cy="400612"/>
          <a:chOff x="10160000" y="2820276"/>
          <a:chExt cx="508000" cy="401148"/>
        </a:xfrm>
      </xdr:grpSpPr>
      <xdr:grpSp>
        <xdr:nvGrpSpPr>
          <xdr:cNvPr id="332" name="Group 331">
            <a:extLst>
              <a:ext uri="{FF2B5EF4-FFF2-40B4-BE49-F238E27FC236}">
                <a16:creationId xmlns:a16="http://schemas.microsoft.com/office/drawing/2014/main" id="{00000000-0008-0000-0200-00004C01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334" name="Straight Connector 333">
              <a:extLst>
                <a:ext uri="{FF2B5EF4-FFF2-40B4-BE49-F238E27FC236}">
                  <a16:creationId xmlns:a16="http://schemas.microsoft.com/office/drawing/2014/main" id="{00000000-0008-0000-0200-00004E01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5" name="Straight Connector 334">
              <a:extLst>
                <a:ext uri="{FF2B5EF4-FFF2-40B4-BE49-F238E27FC236}">
                  <a16:creationId xmlns:a16="http://schemas.microsoft.com/office/drawing/2014/main" id="{00000000-0008-0000-0200-00004F01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336" name="Straight Connector 335">
              <a:extLst>
                <a:ext uri="{FF2B5EF4-FFF2-40B4-BE49-F238E27FC236}">
                  <a16:creationId xmlns:a16="http://schemas.microsoft.com/office/drawing/2014/main" id="{00000000-0008-0000-0200-00005001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33" name="Straight Connector 332">
            <a:extLst>
              <a:ext uri="{FF2B5EF4-FFF2-40B4-BE49-F238E27FC236}">
                <a16:creationId xmlns:a16="http://schemas.microsoft.com/office/drawing/2014/main" id="{00000000-0008-0000-0200-00004D01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65368</xdr:colOff>
      <xdr:row>59</xdr:row>
      <xdr:rowOff>36886</xdr:rowOff>
    </xdr:from>
    <xdr:to>
      <xdr:col>25</xdr:col>
      <xdr:colOff>214732</xdr:colOff>
      <xdr:row>59</xdr:row>
      <xdr:rowOff>36886</xdr:rowOff>
    </xdr:to>
    <xdr:cxnSp macro="">
      <xdr:nvCxnSpPr>
        <xdr:cNvPr id="344" name="Straight Connector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CxnSpPr/>
      </xdr:nvCxnSpPr>
      <xdr:spPr>
        <a:xfrm flipH="1">
          <a:off x="1830294" y="12157915"/>
          <a:ext cx="4687747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64066</xdr:colOff>
      <xdr:row>33</xdr:row>
      <xdr:rowOff>15679</xdr:rowOff>
    </xdr:from>
    <xdr:to>
      <xdr:col>7</xdr:col>
      <xdr:colOff>64066</xdr:colOff>
      <xdr:row>59</xdr:row>
      <xdr:rowOff>37353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00000000-0008-0000-0200-000059010000}"/>
            </a:ext>
          </a:extLst>
        </xdr:cNvPr>
        <xdr:cNvCxnSpPr/>
      </xdr:nvCxnSpPr>
      <xdr:spPr>
        <a:xfrm>
          <a:off x="1820115" y="6741975"/>
          <a:ext cx="0" cy="532118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202128</xdr:colOff>
      <xdr:row>35</xdr:row>
      <xdr:rowOff>7491</xdr:rowOff>
    </xdr:from>
    <xdr:to>
      <xdr:col>7</xdr:col>
      <xdr:colOff>198723</xdr:colOff>
      <xdr:row>35</xdr:row>
      <xdr:rowOff>191094</xdr:rowOff>
    </xdr:to>
    <xdr:cxnSp macro="">
      <xdr:nvCxnSpPr>
        <xdr:cNvPr id="346" name="1P">
          <a:extLst>
            <a:ext uri="{FF2B5EF4-FFF2-40B4-BE49-F238E27FC236}">
              <a16:creationId xmlns:a16="http://schemas.microsoft.com/office/drawing/2014/main" id="{00000000-0008-0000-0200-00005A010000}"/>
            </a:ext>
          </a:extLst>
        </xdr:cNvPr>
        <xdr:cNvCxnSpPr/>
      </xdr:nvCxnSpPr>
      <xdr:spPr>
        <a:xfrm flipH="1">
          <a:off x="1718730" y="7128122"/>
          <a:ext cx="249362" cy="18360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139495</xdr:colOff>
      <xdr:row>48</xdr:row>
      <xdr:rowOff>81054</xdr:rowOff>
    </xdr:from>
    <xdr:to>
      <xdr:col>59</xdr:col>
      <xdr:colOff>166936</xdr:colOff>
      <xdr:row>60</xdr:row>
      <xdr:rowOff>75471</xdr:rowOff>
    </xdr:to>
    <xdr:grpSp>
      <xdr:nvGrpSpPr>
        <xdr:cNvPr id="287" name="Parra.A">
          <a:extLst>
            <a:ext uri="{FF2B5EF4-FFF2-40B4-BE49-F238E27FC236}">
              <a16:creationId xmlns:a16="http://schemas.microsoft.com/office/drawing/2014/main" id="{040E9A4D-BEC5-434F-BBB4-403AC29E9293}"/>
            </a:ext>
          </a:extLst>
        </xdr:cNvPr>
        <xdr:cNvGrpSpPr/>
      </xdr:nvGrpSpPr>
      <xdr:grpSpPr>
        <a:xfrm>
          <a:off x="12431841" y="9864758"/>
          <a:ext cx="2536083" cy="2440343"/>
          <a:chOff x="12303718" y="1681200"/>
          <a:chExt cx="2567441" cy="2504534"/>
        </a:xfrm>
      </xdr:grpSpPr>
      <xdr:grpSp>
        <xdr:nvGrpSpPr>
          <xdr:cNvPr id="288" name="Group 287">
            <a:extLst>
              <a:ext uri="{FF2B5EF4-FFF2-40B4-BE49-F238E27FC236}">
                <a16:creationId xmlns:a16="http://schemas.microsoft.com/office/drawing/2014/main" id="{F09C7C9F-AA39-664B-8B39-FB85EAE58E40}"/>
              </a:ext>
            </a:extLst>
          </xdr:cNvPr>
          <xdr:cNvGrpSpPr/>
        </xdr:nvGrpSpPr>
        <xdr:grpSpPr>
          <a:xfrm>
            <a:off x="12303718" y="1681200"/>
            <a:ext cx="2565312" cy="2504534"/>
            <a:chOff x="8355800" y="6041149"/>
            <a:chExt cx="2565324" cy="2337199"/>
          </a:xfrm>
        </xdr:grpSpPr>
        <xdr:grpSp>
          <xdr:nvGrpSpPr>
            <xdr:cNvPr id="290" name="Group 289">
              <a:extLst>
                <a:ext uri="{FF2B5EF4-FFF2-40B4-BE49-F238E27FC236}">
                  <a16:creationId xmlns:a16="http://schemas.microsoft.com/office/drawing/2014/main" id="{0ED75A81-5310-2945-8731-D4BCBBB384AC}"/>
                </a:ext>
              </a:extLst>
            </xdr:cNvPr>
            <xdr:cNvGrpSpPr/>
          </xdr:nvGrpSpPr>
          <xdr:grpSpPr>
            <a:xfrm>
              <a:off x="8381124" y="6041149"/>
              <a:ext cx="2540000" cy="1214493"/>
              <a:chOff x="7874000" y="3624645"/>
              <a:chExt cx="2540000" cy="1214493"/>
            </a:xfrm>
          </xdr:grpSpPr>
          <xdr:grpSp>
            <xdr:nvGrpSpPr>
              <xdr:cNvPr id="295" name="Group 294">
                <a:extLst>
                  <a:ext uri="{FF2B5EF4-FFF2-40B4-BE49-F238E27FC236}">
                    <a16:creationId xmlns:a16="http://schemas.microsoft.com/office/drawing/2014/main" id="{82489994-38D3-6041-B264-4DE40E589DF8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97" name="Group 296">
                  <a:extLst>
                    <a:ext uri="{FF2B5EF4-FFF2-40B4-BE49-F238E27FC236}">
                      <a16:creationId xmlns:a16="http://schemas.microsoft.com/office/drawing/2014/main" id="{E214CD35-EA3C-564B-AA2D-0043E0980196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99" name="Group 298">
                    <a:extLst>
                      <a:ext uri="{FF2B5EF4-FFF2-40B4-BE49-F238E27FC236}">
                        <a16:creationId xmlns:a16="http://schemas.microsoft.com/office/drawing/2014/main" id="{97884A04-3D77-BB46-9E3A-F4D7E8907288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308" name="Shape 46">
                      <a:extLst>
                        <a:ext uri="{FF2B5EF4-FFF2-40B4-BE49-F238E27FC236}">
                          <a16:creationId xmlns:a16="http://schemas.microsoft.com/office/drawing/2014/main" id="{74FF2439-CD8F-CD4D-A0A3-2E6C11FE5515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9" name="Rectangle 308">
                      <a:extLst>
                        <a:ext uri="{FF2B5EF4-FFF2-40B4-BE49-F238E27FC236}">
                          <a16:creationId xmlns:a16="http://schemas.microsoft.com/office/drawing/2014/main" id="{19933A91-47B1-3240-9CC0-2F4085904523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10" name="Shape 46">
                      <a:extLst>
                        <a:ext uri="{FF2B5EF4-FFF2-40B4-BE49-F238E27FC236}">
                          <a16:creationId xmlns:a16="http://schemas.microsoft.com/office/drawing/2014/main" id="{5976A78F-EACC-1A43-996B-3A2C83329B95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300" name="Group 299">
                    <a:extLst>
                      <a:ext uri="{FF2B5EF4-FFF2-40B4-BE49-F238E27FC236}">
                        <a16:creationId xmlns:a16="http://schemas.microsoft.com/office/drawing/2014/main" id="{2CB0A2A3-9B45-DE42-90BA-04ECDFF756FB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305" name="Shape 46">
                      <a:extLst>
                        <a:ext uri="{FF2B5EF4-FFF2-40B4-BE49-F238E27FC236}">
                          <a16:creationId xmlns:a16="http://schemas.microsoft.com/office/drawing/2014/main" id="{A740A093-8DCF-8D43-8A2D-F1687A180258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06" name="Rectangle 305">
                      <a:extLst>
                        <a:ext uri="{FF2B5EF4-FFF2-40B4-BE49-F238E27FC236}">
                          <a16:creationId xmlns:a16="http://schemas.microsoft.com/office/drawing/2014/main" id="{E3BDA26F-9FA8-3C47-B2AA-1B58FAB924D3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307" name="Shape 46">
                      <a:extLst>
                        <a:ext uri="{FF2B5EF4-FFF2-40B4-BE49-F238E27FC236}">
                          <a16:creationId xmlns:a16="http://schemas.microsoft.com/office/drawing/2014/main" id="{B58E648E-419F-9D4B-99B5-D9797E286DD8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301" name="Shape 27">
                    <a:extLst>
                      <a:ext uri="{FF2B5EF4-FFF2-40B4-BE49-F238E27FC236}">
                        <a16:creationId xmlns:a16="http://schemas.microsoft.com/office/drawing/2014/main" id="{8B02B82F-669F-DD40-8F5A-2246A747A32E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2" name="Shape 27">
                    <a:extLst>
                      <a:ext uri="{FF2B5EF4-FFF2-40B4-BE49-F238E27FC236}">
                        <a16:creationId xmlns:a16="http://schemas.microsoft.com/office/drawing/2014/main" id="{1BE0C335-F66E-DC4A-96DD-AC42F984D5F8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3" name="Shape 27">
                    <a:extLst>
                      <a:ext uri="{FF2B5EF4-FFF2-40B4-BE49-F238E27FC236}">
                        <a16:creationId xmlns:a16="http://schemas.microsoft.com/office/drawing/2014/main" id="{EE4D0C73-3ADE-5C45-8792-56331E950CB5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304" name="Shape 27">
                    <a:extLst>
                      <a:ext uri="{FF2B5EF4-FFF2-40B4-BE49-F238E27FC236}">
                        <a16:creationId xmlns:a16="http://schemas.microsoft.com/office/drawing/2014/main" id="{6F1C6D18-6469-544A-A469-35662D3E4114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98" name="Elbow Connector 297">
                  <a:extLst>
                    <a:ext uri="{FF2B5EF4-FFF2-40B4-BE49-F238E27FC236}">
                      <a16:creationId xmlns:a16="http://schemas.microsoft.com/office/drawing/2014/main" id="{DB1A783F-0667-0943-B74D-D7B68A624F28}"/>
                    </a:ext>
                  </a:extLst>
                </xdr:cNvPr>
                <xdr:cNvCxnSpPr>
                  <a:stCxn id="306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96" name="Straight Connector 295">
                <a:extLst>
                  <a:ext uri="{FF2B5EF4-FFF2-40B4-BE49-F238E27FC236}">
                    <a16:creationId xmlns:a16="http://schemas.microsoft.com/office/drawing/2014/main" id="{A2A6D815-0CA3-EA4B-BBF3-8CD52612E324}"/>
                  </a:ext>
                </a:extLst>
              </xdr:cNvPr>
              <xdr:cNvCxnSpPr>
                <a:stCxn id="309" idx="1"/>
              </xdr:cNvCxnSpPr>
            </xdr:nvCxnSpPr>
            <xdr:spPr>
              <a:xfrm flipH="1">
                <a:off x="7874000" y="4027589"/>
                <a:ext cx="763589" cy="1377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91" name="Straight Connector 290">
              <a:extLst>
                <a:ext uri="{FF2B5EF4-FFF2-40B4-BE49-F238E27FC236}">
                  <a16:creationId xmlns:a16="http://schemas.microsoft.com/office/drawing/2014/main" id="{477F8D44-567E-5243-9DBF-A4846087AEA3}"/>
                </a:ext>
              </a:extLst>
            </xdr:cNvPr>
            <xdr:cNvCxnSpPr/>
          </xdr:nvCxnSpPr>
          <xdr:spPr>
            <a:xfrm>
              <a:off x="8676106" y="7259130"/>
              <a:ext cx="0" cy="1084176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92" name="Straight Connector 291">
              <a:extLst>
                <a:ext uri="{FF2B5EF4-FFF2-40B4-BE49-F238E27FC236}">
                  <a16:creationId xmlns:a16="http://schemas.microsoft.com/office/drawing/2014/main" id="{BE5D247B-97B9-5A43-A921-8ECBB36E1A84}"/>
                </a:ext>
              </a:extLst>
            </xdr:cNvPr>
            <xdr:cNvCxnSpPr/>
          </xdr:nvCxnSpPr>
          <xdr:spPr>
            <a:xfrm>
              <a:off x="8386456" y="6441788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93" name="Shape 27">
              <a:extLst>
                <a:ext uri="{FF2B5EF4-FFF2-40B4-BE49-F238E27FC236}">
                  <a16:creationId xmlns:a16="http://schemas.microsoft.com/office/drawing/2014/main" id="{F14E680E-6B49-5E4C-93E9-3D6B5F5CEA68}"/>
                </a:ext>
              </a:extLst>
            </xdr:cNvPr>
            <xdr:cNvSpPr/>
          </xdr:nvSpPr>
          <xdr:spPr>
            <a:xfrm>
              <a:off x="8355800" y="8111094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94" name="Shape 27">
              <a:extLst>
                <a:ext uri="{FF2B5EF4-FFF2-40B4-BE49-F238E27FC236}">
                  <a16:creationId xmlns:a16="http://schemas.microsoft.com/office/drawing/2014/main" id="{78D73565-58D4-3B4E-977D-DAFCD2554AED}"/>
                </a:ext>
              </a:extLst>
            </xdr:cNvPr>
            <xdr:cNvSpPr/>
          </xdr:nvSpPr>
          <xdr:spPr>
            <a:xfrm>
              <a:off x="8645844" y="8312616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89" name="Straight Connector 288">
            <a:extLst>
              <a:ext uri="{FF2B5EF4-FFF2-40B4-BE49-F238E27FC236}">
                <a16:creationId xmlns:a16="http://schemas.microsoft.com/office/drawing/2014/main" id="{D7E0CD9F-A0BB-1643-AF72-075CE4F0A007}"/>
              </a:ext>
            </a:extLst>
          </xdr:cNvPr>
          <xdr:cNvCxnSpPr/>
        </xdr:nvCxnSpPr>
        <xdr:spPr>
          <a:xfrm flipH="1">
            <a:off x="12622411" y="2978366"/>
            <a:ext cx="224874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179369</xdr:colOff>
      <xdr:row>26</xdr:row>
      <xdr:rowOff>155774</xdr:rowOff>
    </xdr:from>
    <xdr:to>
      <xdr:col>13</xdr:col>
      <xdr:colOff>175964</xdr:colOff>
      <xdr:row>28</xdr:row>
      <xdr:rowOff>36203</xdr:rowOff>
    </xdr:to>
    <xdr:grpSp>
      <xdr:nvGrpSpPr>
        <xdr:cNvPr id="322" name="3PCables">
          <a:extLst>
            <a:ext uri="{FF2B5EF4-FFF2-40B4-BE49-F238E27FC236}">
              <a16:creationId xmlns:a16="http://schemas.microsoft.com/office/drawing/2014/main" id="{55B5947D-20A8-A248-89A1-D6C8462E333F}"/>
            </a:ext>
          </a:extLst>
        </xdr:cNvPr>
        <xdr:cNvGrpSpPr/>
      </xdr:nvGrpSpPr>
      <xdr:grpSpPr>
        <a:xfrm>
          <a:off x="3189739" y="5455280"/>
          <a:ext cx="247460" cy="288083"/>
          <a:chOff x="3200401" y="4739690"/>
          <a:chExt cx="250595" cy="287456"/>
        </a:xfrm>
      </xdr:grpSpPr>
      <xdr:cxnSp macro="">
        <xdr:nvCxnSpPr>
          <xdr:cNvPr id="323" name="2P">
            <a:extLst>
              <a:ext uri="{FF2B5EF4-FFF2-40B4-BE49-F238E27FC236}">
                <a16:creationId xmlns:a16="http://schemas.microsoft.com/office/drawing/2014/main" id="{F3026570-478A-CF48-A055-8C2E7F9996A1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24" name="3P">
            <a:extLst>
              <a:ext uri="{FF2B5EF4-FFF2-40B4-BE49-F238E27FC236}">
                <a16:creationId xmlns:a16="http://schemas.microsoft.com/office/drawing/2014/main" id="{F6BB8BC6-3726-2F4C-BB61-8F45D1709DBB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6</xdr:col>
      <xdr:colOff>78395</xdr:colOff>
      <xdr:row>33</xdr:row>
      <xdr:rowOff>28216</xdr:rowOff>
    </xdr:from>
    <xdr:to>
      <xdr:col>14</xdr:col>
      <xdr:colOff>224090</xdr:colOff>
      <xdr:row>33</xdr:row>
      <xdr:rowOff>28216</xdr:rowOff>
    </xdr:to>
    <xdr:cxnSp macro="">
      <xdr:nvCxnSpPr>
        <xdr:cNvPr id="325" name="AcBus">
          <a:extLst>
            <a:ext uri="{FF2B5EF4-FFF2-40B4-BE49-F238E27FC236}">
              <a16:creationId xmlns:a16="http://schemas.microsoft.com/office/drawing/2014/main" id="{11760486-2493-2D4B-9837-DD44F24AC7F7}"/>
            </a:ext>
          </a:extLst>
        </xdr:cNvPr>
        <xdr:cNvCxnSpPr/>
      </xdr:nvCxnSpPr>
      <xdr:spPr>
        <a:xfrm>
          <a:off x="1583580" y="6754512"/>
          <a:ext cx="215260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18406</xdr:rowOff>
    </xdr:from>
    <xdr:to>
      <xdr:col>81</xdr:col>
      <xdr:colOff>257680</xdr:colOff>
      <xdr:row>74</xdr:row>
      <xdr:rowOff>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25500" y="221606"/>
          <a:ext cx="66297680" cy="14815194"/>
        </a:xfrm>
        <a:prstGeom prst="rect">
          <a:avLst/>
        </a:prstGeom>
        <a:noFill/>
        <a:ln w="6350">
          <a:solidFill>
            <a:schemeClr val="tx1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10</xdr:col>
      <xdr:colOff>149412</xdr:colOff>
      <xdr:row>69</xdr:row>
      <xdr:rowOff>119529</xdr:rowOff>
    </xdr:from>
    <xdr:to>
      <xdr:col>22</xdr:col>
      <xdr:colOff>43822</xdr:colOff>
      <xdr:row>72</xdr:row>
      <xdr:rowOff>91677</xdr:rowOff>
    </xdr:to>
    <xdr:pic>
      <xdr:nvPicPr>
        <xdr:cNvPr id="3" name="HCBSolar_Gradient_CMYK.jpg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404412" y="14140329"/>
          <a:ext cx="9800410" cy="581748"/>
        </a:xfrm>
        <a:prstGeom prst="rect">
          <a:avLst/>
        </a:prstGeom>
        <a:ln w="12700" cap="flat">
          <a:noFill/>
          <a:miter lim="400000"/>
        </a:ln>
        <a:effectLst/>
      </xdr:spPr>
    </xdr:pic>
    <xdr:clientData/>
  </xdr:twoCellAnchor>
  <xdr:twoCellAnchor>
    <xdr:from>
      <xdr:col>13</xdr:col>
      <xdr:colOff>6855</xdr:colOff>
      <xdr:row>21</xdr:row>
      <xdr:rowOff>92029</xdr:rowOff>
    </xdr:from>
    <xdr:to>
      <xdr:col>13</xdr:col>
      <xdr:colOff>8587</xdr:colOff>
      <xdr:row>23</xdr:row>
      <xdr:rowOff>78605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CxnSpPr/>
      </xdr:nvCxnSpPr>
      <xdr:spPr>
        <a:xfrm flipH="1">
          <a:off x="3308855" y="4359229"/>
          <a:ext cx="1732" cy="392976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211445</xdr:colOff>
      <xdr:row>21</xdr:row>
      <xdr:rowOff>98870</xdr:rowOff>
    </xdr:from>
    <xdr:to>
      <xdr:col>18</xdr:col>
      <xdr:colOff>121728</xdr:colOff>
      <xdr:row>21</xdr:row>
      <xdr:rowOff>98870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CxnSpPr/>
      </xdr:nvCxnSpPr>
      <xdr:spPr>
        <a:xfrm>
          <a:off x="2243445" y="4366070"/>
          <a:ext cx="2450283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6865</xdr:colOff>
      <xdr:row>23</xdr:row>
      <xdr:rowOff>67733</xdr:rowOff>
    </xdr:from>
    <xdr:to>
      <xdr:col>13</xdr:col>
      <xdr:colOff>6865</xdr:colOff>
      <xdr:row>25</xdr:row>
      <xdr:rowOff>118533</xdr:rowOff>
    </xdr:to>
    <xdr:cxnSp macro="">
      <xdr:nvCxnSpPr>
        <xdr:cNvPr id="7" name="Straight Connector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CxnSpPr/>
      </xdr:nvCxnSpPr>
      <xdr:spPr>
        <a:xfrm>
          <a:off x="3308865" y="4741333"/>
          <a:ext cx="0" cy="457200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54042</xdr:colOff>
      <xdr:row>25</xdr:row>
      <xdr:rowOff>136714</xdr:rowOff>
    </xdr:from>
    <xdr:to>
      <xdr:col>17</xdr:col>
      <xdr:colOff>152678</xdr:colOff>
      <xdr:row>25</xdr:row>
      <xdr:rowOff>136714</xdr:rowOff>
    </xdr:to>
    <xdr:cxnSp macro="">
      <xdr:nvCxnSpPr>
        <xdr:cNvPr id="12" name="AcBus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CxnSpPr/>
      </xdr:nvCxnSpPr>
      <xdr:spPr>
        <a:xfrm>
          <a:off x="1594255" y="5203203"/>
          <a:ext cx="2922359" cy="0"/>
        </a:xfrm>
        <a:prstGeom prst="line">
          <a:avLst/>
        </a:prstGeom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214573</xdr:colOff>
      <xdr:row>29</xdr:row>
      <xdr:rowOff>83593</xdr:rowOff>
    </xdr:from>
    <xdr:to>
      <xdr:col>13</xdr:col>
      <xdr:colOff>229797</xdr:colOff>
      <xdr:row>32</xdr:row>
      <xdr:rowOff>117387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GrpSpPr/>
      </xdr:nvGrpSpPr>
      <xdr:grpSpPr>
        <a:xfrm>
          <a:off x="3262573" y="5976393"/>
          <a:ext cx="269224" cy="643394"/>
          <a:chOff x="3291679" y="5440218"/>
          <a:chExt cx="275787" cy="639287"/>
        </a:xfrm>
      </xdr:grpSpPr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16" name="Shape 27">
              <a:extLst>
                <a:ext uri="{FF2B5EF4-FFF2-40B4-BE49-F238E27FC236}">
                  <a16:creationId xmlns:a16="http://schemas.microsoft.com/office/drawing/2014/main" id="{00000000-0008-0000-0300-00001000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" name="Shape 27">
              <a:extLst>
                <a:ext uri="{FF2B5EF4-FFF2-40B4-BE49-F238E27FC236}">
                  <a16:creationId xmlns:a16="http://schemas.microsoft.com/office/drawing/2014/main" id="{00000000-0008-0000-0300-00001100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" name="Shape 26">
              <a:extLst>
                <a:ext uri="{FF2B5EF4-FFF2-40B4-BE49-F238E27FC236}">
                  <a16:creationId xmlns:a16="http://schemas.microsoft.com/office/drawing/2014/main" id="{00000000-0008-0000-0300-00001200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11</xdr:col>
      <xdr:colOff>242347</xdr:colOff>
      <xdr:row>2</xdr:row>
      <xdr:rowOff>71120</xdr:rowOff>
    </xdr:from>
    <xdr:to>
      <xdr:col>14</xdr:col>
      <xdr:colOff>83669</xdr:colOff>
      <xdr:row>21</xdr:row>
      <xdr:rowOff>33009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GrpSpPr/>
      </xdr:nvGrpSpPr>
      <xdr:grpSpPr>
        <a:xfrm>
          <a:off x="3036347" y="477520"/>
          <a:ext cx="603322" cy="3822689"/>
          <a:chOff x="3039217" y="322189"/>
          <a:chExt cx="594111" cy="3834356"/>
        </a:xfrm>
      </xdr:grpSpPr>
      <xdr:sp macro="" textlink="">
        <xdr:nvSpPr>
          <xdr:cNvPr id="20" name="Shape 27">
            <a:extLst>
              <a:ext uri="{FF2B5EF4-FFF2-40B4-BE49-F238E27FC236}">
                <a16:creationId xmlns:a16="http://schemas.microsoft.com/office/drawing/2014/main" id="{00000000-0008-0000-0300-000014000000}"/>
              </a:ext>
            </a:extLst>
          </xdr:cNvPr>
          <xdr:cNvSpPr/>
        </xdr:nvSpPr>
        <xdr:spPr>
          <a:xfrm>
            <a:off x="3286694" y="3247835"/>
            <a:ext cx="100174" cy="99687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1270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grpSp>
        <xdr:nvGrpSpPr>
          <xdr:cNvPr id="21" name="Group 20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GrpSpPr/>
        </xdr:nvGrpSpPr>
        <xdr:grpSpPr>
          <a:xfrm>
            <a:off x="3039217" y="322189"/>
            <a:ext cx="594111" cy="3834356"/>
            <a:chOff x="3039217" y="322189"/>
            <a:chExt cx="594111" cy="3834356"/>
          </a:xfrm>
        </xdr:grpSpPr>
        <xdr:sp macro="" textlink="">
          <xdr:nvSpPr>
            <xdr:cNvPr id="22" name="Shape 27">
              <a:extLst>
                <a:ext uri="{FF2B5EF4-FFF2-40B4-BE49-F238E27FC236}">
                  <a16:creationId xmlns:a16="http://schemas.microsoft.com/office/drawing/2014/main" id="{00000000-0008-0000-0300-000016000000}"/>
                </a:ext>
              </a:extLst>
            </xdr:cNvPr>
            <xdr:cNvSpPr/>
          </xdr:nvSpPr>
          <xdr:spPr>
            <a:xfrm>
              <a:off x="3285851" y="2866404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" name="Shape 26">
              <a:extLst>
                <a:ext uri="{FF2B5EF4-FFF2-40B4-BE49-F238E27FC236}">
                  <a16:creationId xmlns:a16="http://schemas.microsoft.com/office/drawing/2014/main" id="{00000000-0008-0000-0300-000017000000}"/>
                </a:ext>
              </a:extLst>
            </xdr:cNvPr>
            <xdr:cNvSpPr/>
          </xdr:nvSpPr>
          <xdr:spPr>
            <a:xfrm flipH="1">
              <a:off x="3348940" y="3041136"/>
              <a:ext cx="231809" cy="205791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grpSp>
          <xdr:nvGrpSpPr>
            <xdr:cNvPr id="24" name="Group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GrpSpPr/>
          </xdr:nvGrpSpPr>
          <xdr:grpSpPr>
            <a:xfrm>
              <a:off x="3039217" y="322189"/>
              <a:ext cx="594111" cy="3834356"/>
              <a:chOff x="3039217" y="322189"/>
              <a:chExt cx="594111" cy="3834356"/>
            </a:xfrm>
          </xdr:grpSpPr>
          <xdr:sp macro="" textlink="">
            <xdr:nvSpPr>
              <xdr:cNvPr id="25" name="Shape 27">
                <a:extLst>
                  <a:ext uri="{FF2B5EF4-FFF2-40B4-BE49-F238E27FC236}">
                    <a16:creationId xmlns:a16="http://schemas.microsoft.com/office/drawing/2014/main" id="{00000000-0008-0000-0300-000019000000}"/>
                  </a:ext>
                </a:extLst>
              </xdr:cNvPr>
              <xdr:cNvSpPr/>
            </xdr:nvSpPr>
            <xdr:spPr>
              <a:xfrm>
                <a:off x="3288081" y="322189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grpSp>
            <xdr:nvGrpSpPr>
              <xdr:cNvPr id="26" name="Group 25">
                <a:extLst>
                  <a:ext uri="{FF2B5EF4-FFF2-40B4-BE49-F238E27FC236}">
                    <a16:creationId xmlns:a16="http://schemas.microsoft.com/office/drawing/2014/main" id="{00000000-0008-0000-0300-00001A000000}"/>
                  </a:ext>
                </a:extLst>
              </xdr:cNvPr>
              <xdr:cNvGrpSpPr/>
            </xdr:nvGrpSpPr>
            <xdr:grpSpPr>
              <a:xfrm>
                <a:off x="3039217" y="426886"/>
                <a:ext cx="594111" cy="3729659"/>
                <a:chOff x="3039217" y="426886"/>
                <a:chExt cx="594111" cy="3729659"/>
              </a:xfrm>
            </xdr:grpSpPr>
            <xdr:sp macro="" textlink="">
              <xdr:nvSpPr>
                <xdr:cNvPr id="27" name="Oval 26">
                  <a:extLst>
                    <a:ext uri="{FF2B5EF4-FFF2-40B4-BE49-F238E27FC236}">
                      <a16:creationId xmlns:a16="http://schemas.microsoft.com/office/drawing/2014/main" id="{00000000-0008-0000-0300-00001B000000}"/>
                    </a:ext>
                  </a:extLst>
                </xdr:cNvPr>
                <xdr:cNvSpPr/>
              </xdr:nvSpPr>
              <xdr:spPr>
                <a:xfrm>
                  <a:off x="3039217" y="1904332"/>
                  <a:ext cx="594111" cy="565937"/>
                </a:xfrm>
                <a:prstGeom prst="ellipse">
                  <a:avLst/>
                </a:prstGeom>
                <a:solidFill>
                  <a:schemeClr val="bg1"/>
                </a:solidFill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grpSp>
              <xdr:nvGrpSpPr>
                <xdr:cNvPr id="28" name="Group 27">
                  <a:extLst>
                    <a:ext uri="{FF2B5EF4-FFF2-40B4-BE49-F238E27FC236}">
                      <a16:creationId xmlns:a16="http://schemas.microsoft.com/office/drawing/2014/main" id="{00000000-0008-0000-0300-00001C000000}"/>
                    </a:ext>
                  </a:extLst>
                </xdr:cNvPr>
                <xdr:cNvGrpSpPr/>
              </xdr:nvGrpSpPr>
              <xdr:grpSpPr>
                <a:xfrm>
                  <a:off x="3086549" y="426886"/>
                  <a:ext cx="505574" cy="3729659"/>
                  <a:chOff x="3086549" y="426886"/>
                  <a:chExt cx="505574" cy="3729659"/>
                </a:xfrm>
              </xdr:grpSpPr>
              <xdr:sp macro="" textlink="">
                <xdr:nvSpPr>
                  <xdr:cNvPr id="29" name="Shape 22">
                    <a:extLst>
                      <a:ext uri="{FF2B5EF4-FFF2-40B4-BE49-F238E27FC236}">
                        <a16:creationId xmlns:a16="http://schemas.microsoft.com/office/drawing/2014/main" id="{00000000-0008-0000-0300-00001D000000}"/>
                      </a:ext>
                    </a:extLst>
                  </xdr:cNvPr>
                  <xdr:cNvSpPr/>
                </xdr:nvSpPr>
                <xdr:spPr>
                  <a:xfrm>
                    <a:off x="3239079" y="2084632"/>
                    <a:ext cx="231270" cy="205339"/>
                  </a:xfrm>
                  <a:prstGeom prst="rect">
                    <a:avLst/>
                  </a:prstGeom>
                  <a:noFill/>
                  <a:ln w="12700" cap="flat">
                    <a:noFill/>
                    <a:miter lim="400000"/>
                  </a:ln>
                  <a:effectLst/>
                  <a:extLst>
                    <a:ext uri="{C572A759-6A51-4108-AA02-DFA0A04FC94B}">
                      <ma14:wrappingTextBoxFlag xmlns="" xmlns:ma14="http://schemas.microsoft.com/office/mac/drawingml/2011/main" val="1"/>
                    </a:ext>
                  </a:extLst>
                </xdr:spPr>
                <xdr:txBody>
                  <a:bodyPr wrap="square" lIns="50800" tIns="50800" rIns="50800" bIns="50800" numCol="1" anchor="ctr">
                    <a:noAutofit/>
                  </a:bodyPr>
                  <a:lstStyle/>
                  <a:p>
                    <a:pPr marL="0" marR="0" lvl="0" indent="0" algn="ctr" defTabSz="457200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</a:pPr>
                    <a:r>
                      <a:rPr sz="1400" b="1" i="0" u="none" strike="noStrike" cap="none" spc="0" baseline="0">
                        <a:ln>
                          <a:noFill/>
                        </a:ln>
                        <a:solidFill>
                          <a:srgbClr val="000000"/>
                        </a:solidFill>
                        <a:uFillTx/>
                        <a:latin typeface="+mn-lt"/>
                        <a:ea typeface="+mn-ea"/>
                        <a:cs typeface="+mn-cs"/>
                        <a:sym typeface="Helvetica"/>
                      </a:rPr>
                      <a:t>M</a:t>
                    </a:r>
                  </a:p>
                </xdr:txBody>
              </xdr:sp>
              <xdr:grpSp>
                <xdr:nvGrpSpPr>
                  <xdr:cNvPr id="30" name="Group 29">
                    <a:extLst>
                      <a:ext uri="{FF2B5EF4-FFF2-40B4-BE49-F238E27FC236}">
                        <a16:creationId xmlns:a16="http://schemas.microsoft.com/office/drawing/2014/main" id="{00000000-0008-0000-0300-00001E000000}"/>
                      </a:ext>
                    </a:extLst>
                  </xdr:cNvPr>
                  <xdr:cNvGrpSpPr/>
                </xdr:nvGrpSpPr>
                <xdr:grpSpPr>
                  <a:xfrm>
                    <a:off x="3086549" y="426886"/>
                    <a:ext cx="505574" cy="3729659"/>
                    <a:chOff x="11022345" y="1228189"/>
                    <a:chExt cx="502566" cy="3892033"/>
                  </a:xfrm>
                </xdr:grpSpPr>
                <xdr:sp macro="" textlink="">
                  <xdr:nvSpPr>
                    <xdr:cNvPr id="31" name="Shape 18">
                      <a:extLst>
                        <a:ext uri="{FF2B5EF4-FFF2-40B4-BE49-F238E27FC236}">
                          <a16:creationId xmlns:a16="http://schemas.microsoft.com/office/drawing/2014/main" id="{00000000-0008-0000-0300-00001F000000}"/>
                        </a:ext>
                      </a:extLst>
                    </xdr:cNvPr>
                    <xdr:cNvSpPr/>
                  </xdr:nvSpPr>
                  <xdr:spPr>
                    <a:xfrm>
                      <a:off x="11267984" y="4275144"/>
                      <a:ext cx="0" cy="844241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32" name="Shape 18">
                      <a:extLst>
                        <a:ext uri="{FF2B5EF4-FFF2-40B4-BE49-F238E27FC236}">
                          <a16:creationId xmlns:a16="http://schemas.microsoft.com/office/drawing/2014/main" id="{00000000-0008-0000-0300-000020000000}"/>
                        </a:ext>
                      </a:extLst>
                    </xdr:cNvPr>
                    <xdr:cNvSpPr/>
                  </xdr:nvSpPr>
                  <xdr:spPr>
                    <a:xfrm>
                      <a:off x="11524911" y="4688862"/>
                      <a:ext cx="0" cy="431360"/>
                    </a:xfrm>
                    <a:prstGeom prst="line">
                      <a:avLst/>
                    </a:prstGeom>
                    <a:noFill/>
                    <a:ln w="6350" cap="flat">
                      <a:solidFill>
                        <a:srgbClr val="000000"/>
                      </a:solidFill>
                      <a:prstDash val="solid"/>
                      <a:miter lim="400000"/>
                      <a:tailEnd type="triangle" w="med" len="med"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cxnSp macro="">
                  <xdr:nvCxnSpPr>
                    <xdr:cNvPr id="33" name="Straight Connector 32">
                      <a:extLst>
                        <a:ext uri="{FF2B5EF4-FFF2-40B4-BE49-F238E27FC236}">
                          <a16:creationId xmlns:a16="http://schemas.microsoft.com/office/drawing/2014/main" id="{00000000-0008-0000-0300-000021000000}"/>
                        </a:ext>
                      </a:extLst>
                    </xdr:cNvPr>
                    <xdr:cNvCxnSpPr/>
                  </xdr:nvCxnSpPr>
                  <xdr:spPr>
                    <a:xfrm>
                      <a:off x="11267984" y="1228189"/>
                      <a:ext cx="1" cy="154177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4" name="Straight Connector 33">
                      <a:extLst>
                        <a:ext uri="{FF2B5EF4-FFF2-40B4-BE49-F238E27FC236}">
                          <a16:creationId xmlns:a16="http://schemas.microsoft.com/office/drawing/2014/main" id="{00000000-0008-0000-0300-000022000000}"/>
                        </a:ext>
                      </a:extLst>
                    </xdr:cNvPr>
                    <xdr:cNvCxnSpPr/>
                  </xdr:nvCxnSpPr>
                  <xdr:spPr>
                    <a:xfrm>
                      <a:off x="11268821" y="3361371"/>
                      <a:ext cx="0" cy="417271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35" name="Straight Connector 34">
                      <a:extLst>
                        <a:ext uri="{FF2B5EF4-FFF2-40B4-BE49-F238E27FC236}">
                          <a16:creationId xmlns:a16="http://schemas.microsoft.com/office/drawing/2014/main" id="{00000000-0008-0000-0300-000023000000}"/>
                        </a:ext>
                      </a:extLst>
                    </xdr:cNvPr>
                    <xdr:cNvCxnSpPr>
                      <a:endCxn id="32" idx="0"/>
                    </xdr:cNvCxnSpPr>
                  </xdr:nvCxnSpPr>
                  <xdr:spPr>
                    <a:xfrm>
                      <a:off x="11267984" y="4688862"/>
                      <a:ext cx="256927" cy="0"/>
                    </a:xfrm>
                    <a:prstGeom prst="line">
                      <a:avLst/>
                    </a:prstGeom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36" name="Rectangle 35">
                      <a:extLst>
                        <a:ext uri="{FF2B5EF4-FFF2-40B4-BE49-F238E27FC236}">
                          <a16:creationId xmlns:a16="http://schemas.microsoft.com/office/drawing/2014/main" id="{00000000-0008-0000-0300-000024000000}"/>
                        </a:ext>
                      </a:extLst>
                    </xdr:cNvPr>
                    <xdr:cNvSpPr/>
                  </xdr:nvSpPr>
                  <xdr:spPr>
                    <a:xfrm>
                      <a:off x="11022345" y="1630618"/>
                      <a:ext cx="501729" cy="820535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</xdr:grpSp>
            </xdr:grpSp>
          </xdr:grpSp>
        </xdr:grpSp>
      </xdr:grpSp>
    </xdr:grpSp>
    <xdr:clientData/>
  </xdr:twoCellAnchor>
  <xdr:twoCellAnchor>
    <xdr:from>
      <xdr:col>16</xdr:col>
      <xdr:colOff>11429</xdr:colOff>
      <xdr:row>2</xdr:row>
      <xdr:rowOff>71120</xdr:rowOff>
    </xdr:from>
    <xdr:to>
      <xdr:col>18</xdr:col>
      <xdr:colOff>106751</xdr:colOff>
      <xdr:row>21</xdr:row>
      <xdr:rowOff>33008</xdr:rowOff>
    </xdr:to>
    <xdr:grpSp>
      <xdr:nvGrpSpPr>
        <xdr:cNvPr id="37" name="3PR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GrpSpPr/>
      </xdr:nvGrpSpPr>
      <xdr:grpSpPr>
        <a:xfrm>
          <a:off x="4075429" y="477520"/>
          <a:ext cx="603322" cy="3822688"/>
          <a:chOff x="10975311" y="1118934"/>
          <a:chExt cx="590576" cy="4001288"/>
        </a:xfrm>
      </xdr:grpSpPr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00000000-0008-0000-0300-000026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46" name="Oval 45">
              <a:extLst>
                <a:ext uri="{FF2B5EF4-FFF2-40B4-BE49-F238E27FC236}">
                  <a16:creationId xmlns:a16="http://schemas.microsoft.com/office/drawing/2014/main" id="{00000000-0008-0000-0300-00002E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47" name="Shape 27">
              <a:extLst>
                <a:ext uri="{FF2B5EF4-FFF2-40B4-BE49-F238E27FC236}">
                  <a16:creationId xmlns:a16="http://schemas.microsoft.com/office/drawing/2014/main" id="{00000000-0008-0000-0300-00002F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8" name="Shape 22">
              <a:extLst>
                <a:ext uri="{FF2B5EF4-FFF2-40B4-BE49-F238E27FC236}">
                  <a16:creationId xmlns:a16="http://schemas.microsoft.com/office/drawing/2014/main" id="{00000000-0008-0000-0300-000030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49" name="Shape 27">
              <a:extLst>
                <a:ext uri="{FF2B5EF4-FFF2-40B4-BE49-F238E27FC236}">
                  <a16:creationId xmlns:a16="http://schemas.microsoft.com/office/drawing/2014/main" id="{00000000-0008-0000-0300-000031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0" name="Shape 27">
              <a:extLst>
                <a:ext uri="{FF2B5EF4-FFF2-40B4-BE49-F238E27FC236}">
                  <a16:creationId xmlns:a16="http://schemas.microsoft.com/office/drawing/2014/main" id="{00000000-0008-0000-0300-000032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51" name="Shape 26">
              <a:extLst>
                <a:ext uri="{FF2B5EF4-FFF2-40B4-BE49-F238E27FC236}">
                  <a16:creationId xmlns:a16="http://schemas.microsoft.com/office/drawing/2014/main" id="{00000000-0008-0000-0300-000033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39" name="Group 38">
            <a:extLst>
              <a:ext uri="{FF2B5EF4-FFF2-40B4-BE49-F238E27FC236}">
                <a16:creationId xmlns:a16="http://schemas.microsoft.com/office/drawing/2014/main" id="{00000000-0008-0000-0300-000027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40" name="Shape 18">
              <a:extLst>
                <a:ext uri="{FF2B5EF4-FFF2-40B4-BE49-F238E27FC236}">
                  <a16:creationId xmlns:a16="http://schemas.microsoft.com/office/drawing/2014/main" id="{00000000-0008-0000-0300-000028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41" name="Shape 18">
              <a:extLst>
                <a:ext uri="{FF2B5EF4-FFF2-40B4-BE49-F238E27FC236}">
                  <a16:creationId xmlns:a16="http://schemas.microsoft.com/office/drawing/2014/main" id="{00000000-0008-0000-0300-000029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42" name="Straight Connector 41">
              <a:extLst>
                <a:ext uri="{FF2B5EF4-FFF2-40B4-BE49-F238E27FC236}">
                  <a16:creationId xmlns:a16="http://schemas.microsoft.com/office/drawing/2014/main" id="{00000000-0008-0000-0300-00002A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3" name="Straight Connector 42">
              <a:extLst>
                <a:ext uri="{FF2B5EF4-FFF2-40B4-BE49-F238E27FC236}">
                  <a16:creationId xmlns:a16="http://schemas.microsoft.com/office/drawing/2014/main" id="{00000000-0008-0000-0300-00002B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4" name="Straight Connector 43">
              <a:extLst>
                <a:ext uri="{FF2B5EF4-FFF2-40B4-BE49-F238E27FC236}">
                  <a16:creationId xmlns:a16="http://schemas.microsoft.com/office/drawing/2014/main" id="{00000000-0008-0000-0300-00002C000000}"/>
                </a:ext>
              </a:extLst>
            </xdr:cNvPr>
            <xdr:cNvCxnSpPr>
              <a:endCxn id="41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5" name="Rectangle 44">
              <a:extLst>
                <a:ext uri="{FF2B5EF4-FFF2-40B4-BE49-F238E27FC236}">
                  <a16:creationId xmlns:a16="http://schemas.microsoft.com/office/drawing/2014/main" id="{00000000-0008-0000-0300-00002D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</xdr:col>
      <xdr:colOff>243840</xdr:colOff>
      <xdr:row>3</xdr:row>
      <xdr:rowOff>162220</xdr:rowOff>
    </xdr:from>
    <xdr:to>
      <xdr:col>20</xdr:col>
      <xdr:colOff>93750</xdr:colOff>
      <xdr:row>34</xdr:row>
      <xdr:rowOff>103908</xdr:rowOff>
    </xdr:to>
    <xdr:sp macro="" textlink="">
      <xdr:nvSpPr>
        <xdr:cNvPr id="69" name="Rectangle 68">
          <a:extLst>
            <a:ext uri="{FF2B5EF4-FFF2-40B4-BE49-F238E27FC236}">
              <a16:creationId xmlns:a16="http://schemas.microsoft.com/office/drawing/2014/main" id="{00000000-0008-0000-0300-000045000000}"/>
            </a:ext>
          </a:extLst>
        </xdr:cNvPr>
        <xdr:cNvSpPr/>
      </xdr:nvSpPr>
      <xdr:spPr>
        <a:xfrm>
          <a:off x="497840" y="771820"/>
          <a:ext cx="4675910" cy="6240888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2</xdr:col>
      <xdr:colOff>36956</xdr:colOff>
      <xdr:row>6</xdr:row>
      <xdr:rowOff>103987</xdr:rowOff>
    </xdr:from>
    <xdr:to>
      <xdr:col>8</xdr:col>
      <xdr:colOff>87756</xdr:colOff>
      <xdr:row>8</xdr:row>
      <xdr:rowOff>54749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544956" y="1350896"/>
          <a:ext cx="1574800" cy="3663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Service Fuses</a:t>
          </a:r>
        </a:p>
      </xdr:txBody>
    </xdr:sp>
    <xdr:clientData/>
  </xdr:twoCellAnchor>
  <xdr:twoCellAnchor>
    <xdr:from>
      <xdr:col>2</xdr:col>
      <xdr:colOff>28489</xdr:colOff>
      <xdr:row>10</xdr:row>
      <xdr:rowOff>133386</xdr:rowOff>
    </xdr:from>
    <xdr:to>
      <xdr:col>8</xdr:col>
      <xdr:colOff>79289</xdr:colOff>
      <xdr:row>15</xdr:row>
      <xdr:rowOff>171935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300-000047000000}"/>
            </a:ext>
          </a:extLst>
        </xdr:cNvPr>
        <xdr:cNvSpPr txBox="1"/>
      </xdr:nvSpPr>
      <xdr:spPr>
        <a:xfrm>
          <a:off x="536489" y="2211568"/>
          <a:ext cx="1574800" cy="10776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Metering</a:t>
          </a:r>
          <a:r>
            <a:rPr lang="en-GB" sz="1200" baseline="0"/>
            <a:t> as</a:t>
          </a:r>
        </a:p>
        <a:p>
          <a:pPr algn="l"/>
          <a:r>
            <a:rPr lang="en-GB" sz="1200" baseline="0"/>
            <a:t>agreed with </a:t>
          </a:r>
        </a:p>
        <a:p>
          <a:pPr algn="l"/>
          <a:r>
            <a:rPr lang="en-GB" sz="1200" baseline="0"/>
            <a:t>the electricity</a:t>
          </a:r>
        </a:p>
        <a:p>
          <a:pPr algn="l"/>
          <a:r>
            <a:rPr lang="en-GB" sz="1200" baseline="0"/>
            <a:t>distributer</a:t>
          </a:r>
          <a:endParaRPr lang="en-GB" sz="1200"/>
        </a:p>
        <a:p>
          <a:pPr algn="l"/>
          <a:endParaRPr lang="en-GB" sz="1200"/>
        </a:p>
      </xdr:txBody>
    </xdr:sp>
    <xdr:clientData/>
  </xdr:twoCellAnchor>
  <xdr:twoCellAnchor>
    <xdr:from>
      <xdr:col>1</xdr:col>
      <xdr:colOff>248621</xdr:colOff>
      <xdr:row>15</xdr:row>
      <xdr:rowOff>38523</xdr:rowOff>
    </xdr:from>
    <xdr:to>
      <xdr:col>8</xdr:col>
      <xdr:colOff>45421</xdr:colOff>
      <xdr:row>19</xdr:row>
      <xdr:rowOff>113881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SpPr txBox="1"/>
      </xdr:nvSpPr>
      <xdr:spPr>
        <a:xfrm>
          <a:off x="502621" y="3155796"/>
          <a:ext cx="1574800" cy="906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Main Switch</a:t>
          </a:r>
        </a:p>
        <a:p>
          <a:pPr algn="l"/>
          <a:r>
            <a:rPr lang="en-GB" sz="1200"/>
            <a:t>Grid</a:t>
          </a:r>
          <a:r>
            <a:rPr lang="en-GB" sz="1200" baseline="0"/>
            <a:t> supply</a:t>
          </a:r>
          <a:endParaRPr lang="en-GB" sz="1200"/>
        </a:p>
      </xdr:txBody>
    </xdr:sp>
    <xdr:clientData/>
  </xdr:twoCellAnchor>
  <xdr:twoCellAnchor>
    <xdr:from>
      <xdr:col>2</xdr:col>
      <xdr:colOff>28488</xdr:colOff>
      <xdr:row>20</xdr:row>
      <xdr:rowOff>2154</xdr:rowOff>
    </xdr:from>
    <xdr:to>
      <xdr:col>8</xdr:col>
      <xdr:colOff>79288</xdr:colOff>
      <xdr:row>23</xdr:row>
      <xdr:rowOff>79166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300-000049000000}"/>
            </a:ext>
          </a:extLst>
        </xdr:cNvPr>
        <xdr:cNvSpPr txBox="1"/>
      </xdr:nvSpPr>
      <xdr:spPr>
        <a:xfrm>
          <a:off x="536488" y="4158518"/>
          <a:ext cx="1574800" cy="7004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GB" sz="1200"/>
            <a:t>Customer's Final</a:t>
          </a:r>
        </a:p>
        <a:p>
          <a:pPr algn="l"/>
          <a:r>
            <a:rPr lang="en-GB" sz="1200"/>
            <a:t>Subcircuits</a:t>
          </a:r>
        </a:p>
      </xdr:txBody>
    </xdr:sp>
    <xdr:clientData/>
  </xdr:twoCellAnchor>
  <xdr:twoCellAnchor>
    <xdr:from>
      <xdr:col>32</xdr:col>
      <xdr:colOff>173532</xdr:colOff>
      <xdr:row>34</xdr:row>
      <xdr:rowOff>12700</xdr:rowOff>
    </xdr:from>
    <xdr:to>
      <xdr:col>36</xdr:col>
      <xdr:colOff>139700</xdr:colOff>
      <xdr:row>47</xdr:row>
      <xdr:rowOff>135299</xdr:rowOff>
    </xdr:to>
    <xdr:grpSp>
      <xdr:nvGrpSpPr>
        <xdr:cNvPr id="74" name="Group 73">
          <a:extLst>
            <a:ext uri="{FF2B5EF4-FFF2-40B4-BE49-F238E27FC236}">
              <a16:creationId xmlns:a16="http://schemas.microsoft.com/office/drawing/2014/main" id="{00000000-0008-0000-0300-00004A000000}"/>
            </a:ext>
          </a:extLst>
        </xdr:cNvPr>
        <xdr:cNvGrpSpPr/>
      </xdr:nvGrpSpPr>
      <xdr:grpSpPr>
        <a:xfrm>
          <a:off x="8301532" y="6921500"/>
          <a:ext cx="982168" cy="2764199"/>
          <a:chOff x="5588000" y="4800600"/>
          <a:chExt cx="762000" cy="1270001"/>
        </a:xfrm>
      </xdr:grpSpPr>
      <xdr:grpSp>
        <xdr:nvGrpSpPr>
          <xdr:cNvPr id="75" name="Group 74">
            <a:extLst>
              <a:ext uri="{FF2B5EF4-FFF2-40B4-BE49-F238E27FC236}">
                <a16:creationId xmlns:a16="http://schemas.microsoft.com/office/drawing/2014/main" id="{00000000-0008-0000-0300-00004B000000}"/>
              </a:ext>
            </a:extLst>
          </xdr:cNvPr>
          <xdr:cNvGrpSpPr/>
        </xdr:nvGrpSpPr>
        <xdr:grpSpPr>
          <a:xfrm>
            <a:off x="5600699" y="4813301"/>
            <a:ext cx="736601" cy="1257300"/>
            <a:chOff x="5600699" y="4813301"/>
            <a:chExt cx="736601" cy="1257300"/>
          </a:xfrm>
        </xdr:grpSpPr>
        <xdr:sp macro="" textlink="">
          <xdr:nvSpPr>
            <xdr:cNvPr id="77" name="Shape 5">
              <a:extLst>
                <a:ext uri="{FF2B5EF4-FFF2-40B4-BE49-F238E27FC236}">
                  <a16:creationId xmlns:a16="http://schemas.microsoft.com/office/drawing/2014/main" id="{00000000-0008-0000-0300-00004D000000}"/>
                </a:ext>
              </a:extLst>
            </xdr:cNvPr>
            <xdr:cNvSpPr/>
          </xdr:nvSpPr>
          <xdr:spPr>
            <a:xfrm>
              <a:off x="5600699" y="4813301"/>
              <a:ext cx="736601" cy="125730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8" name="Shape 6">
              <a:extLst>
                <a:ext uri="{FF2B5EF4-FFF2-40B4-BE49-F238E27FC236}">
                  <a16:creationId xmlns:a16="http://schemas.microsoft.com/office/drawing/2014/main" id="{00000000-0008-0000-0300-00004E000000}"/>
                </a:ext>
              </a:extLst>
            </xdr:cNvPr>
            <xdr:cNvSpPr/>
          </xdr:nvSpPr>
          <xdr:spPr>
            <a:xfrm>
              <a:off x="6027997" y="4938868"/>
              <a:ext cx="212482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dash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79" name="Shape 7">
              <a:extLst>
                <a:ext uri="{FF2B5EF4-FFF2-40B4-BE49-F238E27FC236}">
                  <a16:creationId xmlns:a16="http://schemas.microsoft.com/office/drawing/2014/main" id="{00000000-0008-0000-0300-00004F000000}"/>
                </a:ext>
              </a:extLst>
            </xdr:cNvPr>
            <xdr:cNvSpPr/>
          </xdr:nvSpPr>
          <xdr:spPr>
            <a:xfrm>
              <a:off x="6018472" y="5050734"/>
              <a:ext cx="222007" cy="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0" name="Shape 8">
              <a:extLst>
                <a:ext uri="{FF2B5EF4-FFF2-40B4-BE49-F238E27FC236}">
                  <a16:creationId xmlns:a16="http://schemas.microsoft.com/office/drawing/2014/main" id="{00000000-0008-0000-0300-000050000000}"/>
                </a:ext>
              </a:extLst>
            </xdr:cNvPr>
            <xdr:cNvSpPr/>
          </xdr:nvSpPr>
          <xdr:spPr>
            <a:xfrm>
              <a:off x="5716328" y="5742770"/>
              <a:ext cx="202957" cy="171450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21600" h="21600" extrusionOk="0">
                  <a:moveTo>
                    <a:pt x="0" y="19200"/>
                  </a:moveTo>
                  <a:cubicBezTo>
                    <a:pt x="2057" y="9600"/>
                    <a:pt x="5143" y="0"/>
                    <a:pt x="7200" y="0"/>
                  </a:cubicBezTo>
                  <a:cubicBezTo>
                    <a:pt x="9257" y="0"/>
                    <a:pt x="12343" y="21600"/>
                    <a:pt x="14400" y="21600"/>
                  </a:cubicBezTo>
                  <a:cubicBezTo>
                    <a:pt x="16457" y="21600"/>
                    <a:pt x="20571" y="4800"/>
                    <a:pt x="21600" y="2400"/>
                  </a:cubicBezTo>
                </a:path>
              </a:pathLst>
            </a:cu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76" name="Rectangle 75">
            <a:extLst>
              <a:ext uri="{FF2B5EF4-FFF2-40B4-BE49-F238E27FC236}">
                <a16:creationId xmlns:a16="http://schemas.microsoft.com/office/drawing/2014/main" id="{00000000-0008-0000-0300-00004C000000}"/>
              </a:ext>
            </a:extLst>
          </xdr:cNvPr>
          <xdr:cNvSpPr/>
        </xdr:nvSpPr>
        <xdr:spPr>
          <a:xfrm>
            <a:off x="5588000" y="4800600"/>
            <a:ext cx="762000" cy="127000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rot="0" spcFirstLastPara="1" vertOverflow="overflow" horzOverflow="overflow" vert="horz" wrap="square" lIns="50800" tIns="50800" rIns="50800" bIns="50800" numCol="1" spcCol="38100" rtlCol="0" anchor="ctr">
            <a:noAutofit/>
          </a:bodyPr>
          <a:lstStyle/>
          <a:p>
            <a:pPr marL="0" marR="0" indent="0" algn="ctr" defTabSz="457200" rtl="0" fontAlgn="auto" latinLnBrk="1" hangingPunct="0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</a:pPr>
            <a:endParaRPr kumimoji="0" lang="en-GB" sz="1200" b="0" i="0" u="none" strike="noStrike" cap="none" spc="0" normalizeH="0" baseline="0">
              <a:ln>
                <a:noFill/>
              </a:ln>
              <a:solidFill>
                <a:srgbClr val="FFFFFF"/>
              </a:solidFill>
              <a:effectLst>
                <a:outerShdw blurRad="25400" dist="23998" dir="2700000" rotWithShape="0">
                  <a:srgbClr val="000000">
                    <a:alpha val="31034"/>
                  </a:srgbClr>
                </a:outerShdw>
              </a:effectLst>
              <a:uFillTx/>
              <a:latin typeface="+mn-lt"/>
              <a:ea typeface="+mn-ea"/>
              <a:cs typeface="+mn-cs"/>
              <a:sym typeface="Helvetica"/>
            </a:endParaRPr>
          </a:p>
        </xdr:txBody>
      </xdr:sp>
    </xdr:grpSp>
    <xdr:clientData/>
  </xdr:twoCellAnchor>
  <xdr:twoCellAnchor>
    <xdr:from>
      <xdr:col>38</xdr:col>
      <xdr:colOff>92601</xdr:colOff>
      <xdr:row>34</xdr:row>
      <xdr:rowOff>29198</xdr:rowOff>
    </xdr:from>
    <xdr:to>
      <xdr:col>40</xdr:col>
      <xdr:colOff>98677</xdr:colOff>
      <xdr:row>38</xdr:row>
      <xdr:rowOff>59180</xdr:rowOff>
    </xdr:to>
    <xdr:grpSp>
      <xdr:nvGrpSpPr>
        <xdr:cNvPr id="81" name="Group 80">
          <a:extLst>
            <a:ext uri="{FF2B5EF4-FFF2-40B4-BE49-F238E27FC236}">
              <a16:creationId xmlns:a16="http://schemas.microsoft.com/office/drawing/2014/main" id="{00000000-0008-0000-0300-000051000000}"/>
            </a:ext>
          </a:extLst>
        </xdr:cNvPr>
        <xdr:cNvGrpSpPr/>
      </xdr:nvGrpSpPr>
      <xdr:grpSpPr>
        <a:xfrm>
          <a:off x="9744601" y="6937998"/>
          <a:ext cx="514076" cy="842782"/>
          <a:chOff x="8312729" y="2242252"/>
          <a:chExt cx="516507" cy="808182"/>
        </a:xfrm>
      </xdr:grpSpPr>
      <xdr:grpSp>
        <xdr:nvGrpSpPr>
          <xdr:cNvPr id="82" name="Group 81">
            <a:extLst>
              <a:ext uri="{FF2B5EF4-FFF2-40B4-BE49-F238E27FC236}">
                <a16:creationId xmlns:a16="http://schemas.microsoft.com/office/drawing/2014/main" id="{00000000-0008-0000-0300-000052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84" name="Shape 9">
              <a:extLst>
                <a:ext uri="{FF2B5EF4-FFF2-40B4-BE49-F238E27FC236}">
                  <a16:creationId xmlns:a16="http://schemas.microsoft.com/office/drawing/2014/main" id="{00000000-0008-0000-0300-000054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5" name="Shape 38">
              <a:extLst>
                <a:ext uri="{FF2B5EF4-FFF2-40B4-BE49-F238E27FC236}">
                  <a16:creationId xmlns:a16="http://schemas.microsoft.com/office/drawing/2014/main" id="{00000000-0008-0000-0300-000055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6" name="Shape 39">
              <a:extLst>
                <a:ext uri="{FF2B5EF4-FFF2-40B4-BE49-F238E27FC236}">
                  <a16:creationId xmlns:a16="http://schemas.microsoft.com/office/drawing/2014/main" id="{00000000-0008-0000-0300-000056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7" name="Shape 13">
              <a:extLst>
                <a:ext uri="{FF2B5EF4-FFF2-40B4-BE49-F238E27FC236}">
                  <a16:creationId xmlns:a16="http://schemas.microsoft.com/office/drawing/2014/main" id="{00000000-0008-0000-0300-000057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8" name="Shape 37">
              <a:extLst>
                <a:ext uri="{FF2B5EF4-FFF2-40B4-BE49-F238E27FC236}">
                  <a16:creationId xmlns:a16="http://schemas.microsoft.com/office/drawing/2014/main" id="{00000000-0008-0000-0300-000058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89" name="Shape 9">
              <a:extLst>
                <a:ext uri="{FF2B5EF4-FFF2-40B4-BE49-F238E27FC236}">
                  <a16:creationId xmlns:a16="http://schemas.microsoft.com/office/drawing/2014/main" id="{00000000-0008-0000-0300-000059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0" name="Shape 9">
              <a:extLst>
                <a:ext uri="{FF2B5EF4-FFF2-40B4-BE49-F238E27FC236}">
                  <a16:creationId xmlns:a16="http://schemas.microsoft.com/office/drawing/2014/main" id="{00000000-0008-0000-0300-00005A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91" name="Shape 9">
              <a:extLst>
                <a:ext uri="{FF2B5EF4-FFF2-40B4-BE49-F238E27FC236}">
                  <a16:creationId xmlns:a16="http://schemas.microsoft.com/office/drawing/2014/main" id="{00000000-0008-0000-0300-00005B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83" name="Rectangle 82">
            <a:extLst>
              <a:ext uri="{FF2B5EF4-FFF2-40B4-BE49-F238E27FC236}">
                <a16:creationId xmlns:a16="http://schemas.microsoft.com/office/drawing/2014/main" id="{00000000-0008-0000-0300-000053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43</xdr:col>
      <xdr:colOff>145598</xdr:colOff>
      <xdr:row>33</xdr:row>
      <xdr:rowOff>170620</xdr:rowOff>
    </xdr:from>
    <xdr:to>
      <xdr:col>59</xdr:col>
      <xdr:colOff>30282</xdr:colOff>
      <xdr:row>40</xdr:row>
      <xdr:rowOff>13580</xdr:rowOff>
    </xdr:to>
    <xdr:grpSp>
      <xdr:nvGrpSpPr>
        <xdr:cNvPr id="114" name="Group 113">
          <a:extLst>
            <a:ext uri="{FF2B5EF4-FFF2-40B4-BE49-F238E27FC236}">
              <a16:creationId xmlns:a16="http://schemas.microsoft.com/office/drawing/2014/main" id="{00000000-0008-0000-0300-000072000000}"/>
            </a:ext>
          </a:extLst>
        </xdr:cNvPr>
        <xdr:cNvGrpSpPr/>
      </xdr:nvGrpSpPr>
      <xdr:grpSpPr>
        <a:xfrm>
          <a:off x="11067598" y="6876220"/>
          <a:ext cx="3948684" cy="1265360"/>
          <a:chOff x="6463027" y="3629024"/>
          <a:chExt cx="3950973" cy="1216296"/>
        </a:xfrm>
      </xdr:grpSpPr>
      <xdr:grpSp>
        <xdr:nvGrpSpPr>
          <xdr:cNvPr id="115" name="Group 114">
            <a:extLst>
              <a:ext uri="{FF2B5EF4-FFF2-40B4-BE49-F238E27FC236}">
                <a16:creationId xmlns:a16="http://schemas.microsoft.com/office/drawing/2014/main" id="{00000000-0008-0000-0300-000073000000}"/>
              </a:ext>
            </a:extLst>
          </xdr:cNvPr>
          <xdr:cNvGrpSpPr/>
        </xdr:nvGrpSpPr>
        <xdr:grpSpPr>
          <a:xfrm>
            <a:off x="6850337" y="3629024"/>
            <a:ext cx="3563663" cy="1216296"/>
            <a:chOff x="6854716" y="3624645"/>
            <a:chExt cx="3563663" cy="1214493"/>
          </a:xfrm>
        </xdr:grpSpPr>
        <xdr:grpSp>
          <xdr:nvGrpSpPr>
            <xdr:cNvPr id="127" name="Group 126">
              <a:extLst>
                <a:ext uri="{FF2B5EF4-FFF2-40B4-BE49-F238E27FC236}">
                  <a16:creationId xmlns:a16="http://schemas.microsoft.com/office/drawing/2014/main" id="{00000000-0008-0000-0300-00007F000000}"/>
                </a:ext>
              </a:extLst>
            </xdr:cNvPr>
            <xdr:cNvGrpSpPr/>
          </xdr:nvGrpSpPr>
          <xdr:grpSpPr>
            <a:xfrm>
              <a:off x="8637589" y="3624645"/>
              <a:ext cx="1776411" cy="1214493"/>
              <a:chOff x="8637589" y="3624645"/>
              <a:chExt cx="1776411" cy="1214493"/>
            </a:xfrm>
          </xdr:grpSpPr>
          <xdr:grpSp>
            <xdr:nvGrpSpPr>
              <xdr:cNvPr id="130" name="Group 129">
                <a:extLst>
                  <a:ext uri="{FF2B5EF4-FFF2-40B4-BE49-F238E27FC236}">
                    <a16:creationId xmlns:a16="http://schemas.microsoft.com/office/drawing/2014/main" id="{00000000-0008-0000-0300-000082000000}"/>
                  </a:ext>
                </a:extLst>
              </xdr:cNvPr>
              <xdr:cNvGrpSpPr/>
            </xdr:nvGrpSpPr>
            <xdr:grpSpPr>
              <a:xfrm>
                <a:off x="8637589" y="3624645"/>
                <a:ext cx="1536437" cy="808476"/>
                <a:chOff x="8637589" y="3654424"/>
                <a:chExt cx="1536437" cy="817235"/>
              </a:xfrm>
            </xdr:grpSpPr>
            <xdr:grpSp>
              <xdr:nvGrpSpPr>
                <xdr:cNvPr id="132" name="Group 131">
                  <a:extLst>
                    <a:ext uri="{FF2B5EF4-FFF2-40B4-BE49-F238E27FC236}">
                      <a16:creationId xmlns:a16="http://schemas.microsoft.com/office/drawing/2014/main" id="{00000000-0008-0000-0300-000084000000}"/>
                    </a:ext>
                  </a:extLst>
                </xdr:cNvPr>
                <xdr:cNvGrpSpPr/>
              </xdr:nvGrpSpPr>
              <xdr:grpSpPr>
                <a:xfrm>
                  <a:off x="8637589" y="3654424"/>
                  <a:ext cx="521025" cy="811443"/>
                  <a:chOff x="10048174" y="1594350"/>
                  <a:chExt cx="525820" cy="800858"/>
                </a:xfrm>
              </xdr:grpSpPr>
              <xdr:sp macro="" textlink="">
                <xdr:nvSpPr>
                  <xdr:cNvPr id="141" name="Shape 46">
                    <a:extLst>
                      <a:ext uri="{FF2B5EF4-FFF2-40B4-BE49-F238E27FC236}">
                        <a16:creationId xmlns:a16="http://schemas.microsoft.com/office/drawing/2014/main" id="{00000000-0008-0000-0300-00008D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4350"/>
                    <a:ext cx="254725" cy="294558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42" name="Rectangle 141">
                    <a:extLst>
                      <a:ext uri="{FF2B5EF4-FFF2-40B4-BE49-F238E27FC236}">
                        <a16:creationId xmlns:a16="http://schemas.microsoft.com/office/drawing/2014/main" id="{00000000-0008-0000-0300-00008E000000}"/>
                      </a:ext>
                    </a:extLst>
                  </xdr:cNvPr>
                  <xdr:cNvSpPr/>
                </xdr:nvSpPr>
                <xdr:spPr>
                  <a:xfrm>
                    <a:off x="10048174" y="159748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3" name="Shape 46">
                    <a:extLst>
                      <a:ext uri="{FF2B5EF4-FFF2-40B4-BE49-F238E27FC236}">
                        <a16:creationId xmlns:a16="http://schemas.microsoft.com/office/drawing/2014/main" id="{00000000-0008-0000-0300-00008F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98614" y="1602768"/>
                    <a:ext cx="264734" cy="286026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grpSp>
              <xdr:nvGrpSpPr>
                <xdr:cNvPr id="133" name="Group 132">
                  <a:extLst>
                    <a:ext uri="{FF2B5EF4-FFF2-40B4-BE49-F238E27FC236}">
                      <a16:creationId xmlns:a16="http://schemas.microsoft.com/office/drawing/2014/main" id="{00000000-0008-0000-0300-000085000000}"/>
                    </a:ext>
                  </a:extLst>
                </xdr:cNvPr>
                <xdr:cNvGrpSpPr/>
              </xdr:nvGrpSpPr>
              <xdr:grpSpPr>
                <a:xfrm>
                  <a:off x="9654262" y="3659876"/>
                  <a:ext cx="519764" cy="811783"/>
                  <a:chOff x="10041786" y="1591243"/>
                  <a:chExt cx="522944" cy="797725"/>
                </a:xfrm>
              </xdr:grpSpPr>
              <xdr:sp macro="" textlink="">
                <xdr:nvSpPr>
                  <xdr:cNvPr id="138" name="Shape 46">
                    <a:extLst>
                      <a:ext uri="{FF2B5EF4-FFF2-40B4-BE49-F238E27FC236}">
                        <a16:creationId xmlns:a16="http://schemas.microsoft.com/office/drawing/2014/main" id="{00000000-0008-0000-0300-00008A000000}"/>
                      </a:ext>
                    </a:extLst>
                  </xdr:cNvPr>
                  <xdr:cNvSpPr/>
                </xdr:nvSpPr>
                <xdr:spPr>
                  <a:xfrm flipH="1" flipV="1">
                    <a:off x="10048175" y="1591243"/>
                    <a:ext cx="246889" cy="300404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139" name="Rectangle 138">
                    <a:extLst>
                      <a:ext uri="{FF2B5EF4-FFF2-40B4-BE49-F238E27FC236}">
                        <a16:creationId xmlns:a16="http://schemas.microsoft.com/office/drawing/2014/main" id="{00000000-0008-0000-0300-00008B000000}"/>
                      </a:ext>
                    </a:extLst>
                  </xdr:cNvPr>
                  <xdr:cNvSpPr/>
                </xdr:nvSpPr>
                <xdr:spPr>
                  <a:xfrm>
                    <a:off x="10041786" y="1591244"/>
                    <a:ext cx="511195" cy="797724"/>
                  </a:xfrm>
                  <a:prstGeom prst="rect">
                    <a:avLst/>
                  </a:prstGeom>
                  <a:noFill/>
                  <a:ln w="6350">
                    <a:solidFill>
                      <a:schemeClr val="tx1"/>
                    </a:solidFill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en-GB" sz="1100"/>
                  </a:p>
                </xdr:txBody>
              </xdr:sp>
              <xdr:sp macro="" textlink="">
                <xdr:nvSpPr>
                  <xdr:cNvPr id="140" name="Shape 46">
                    <a:extLst>
                      <a:ext uri="{FF2B5EF4-FFF2-40B4-BE49-F238E27FC236}">
                        <a16:creationId xmlns:a16="http://schemas.microsoft.com/office/drawing/2014/main" id="{00000000-0008-0000-0300-00008C000000}"/>
                      </a:ext>
                    </a:extLst>
                  </xdr:cNvPr>
                  <xdr:cNvSpPr/>
                </xdr:nvSpPr>
                <xdr:spPr>
                  <a:xfrm rot="5040000" flipH="1" flipV="1">
                    <a:off x="10286902" y="1603135"/>
                    <a:ext cx="270716" cy="284940"/>
                  </a:xfrm>
                  <a:prstGeom prst="line">
                    <a:avLst/>
                  </a:prstGeom>
                  <a:noFill/>
                  <a:ln w="9525" cap="flat">
                    <a:solidFill>
                      <a:srgbClr val="000000"/>
                    </a:solidFill>
                    <a:prstDash val="solid"/>
                    <a:round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sp macro="" textlink="">
              <xdr:nvSpPr>
                <xdr:cNvPr id="134" name="Shape 27">
                  <a:extLst>
                    <a:ext uri="{FF2B5EF4-FFF2-40B4-BE49-F238E27FC236}">
                      <a16:creationId xmlns:a16="http://schemas.microsoft.com/office/drawing/2014/main" id="{00000000-0008-0000-0300-000086000000}"/>
                    </a:ext>
                  </a:extLst>
                </xdr:cNvPr>
                <xdr:cNvSpPr/>
              </xdr:nvSpPr>
              <xdr:spPr>
                <a:xfrm>
                  <a:off x="9170863" y="4024347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5" name="Shape 27">
                  <a:extLst>
                    <a:ext uri="{FF2B5EF4-FFF2-40B4-BE49-F238E27FC236}">
                      <a16:creationId xmlns:a16="http://schemas.microsoft.com/office/drawing/2014/main" id="{00000000-0008-0000-0300-000087000000}"/>
                    </a:ext>
                  </a:extLst>
                </xdr:cNvPr>
                <xdr:cNvSpPr/>
              </xdr:nvSpPr>
              <xdr:spPr>
                <a:xfrm>
                  <a:off x="9283328" y="4024989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6" name="Shape 27">
                  <a:extLst>
                    <a:ext uri="{FF2B5EF4-FFF2-40B4-BE49-F238E27FC236}">
                      <a16:creationId xmlns:a16="http://schemas.microsoft.com/office/drawing/2014/main" id="{00000000-0008-0000-0300-000088000000}"/>
                    </a:ext>
                  </a:extLst>
                </xdr:cNvPr>
                <xdr:cNvSpPr/>
              </xdr:nvSpPr>
              <xdr:spPr>
                <a:xfrm>
                  <a:off x="9390981" y="4025631"/>
                  <a:ext cx="74425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37" name="Shape 27">
                  <a:extLst>
                    <a:ext uri="{FF2B5EF4-FFF2-40B4-BE49-F238E27FC236}">
                      <a16:creationId xmlns:a16="http://schemas.microsoft.com/office/drawing/2014/main" id="{00000000-0008-0000-0300-000089000000}"/>
                    </a:ext>
                  </a:extLst>
                </xdr:cNvPr>
                <xdr:cNvSpPr/>
              </xdr:nvSpPr>
              <xdr:spPr>
                <a:xfrm>
                  <a:off x="9497036" y="4024636"/>
                  <a:ext cx="76023" cy="81227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19679" h="19679" extrusionOk="0">
                      <a:moveTo>
                        <a:pt x="16796" y="2882"/>
                      </a:moveTo>
                      <a:cubicBezTo>
                        <a:pt x="20639" y="6724"/>
                        <a:pt x="20639" y="12954"/>
                        <a:pt x="16796" y="16796"/>
                      </a:cubicBezTo>
                      <a:cubicBezTo>
                        <a:pt x="12954" y="20639"/>
                        <a:pt x="6724" y="20639"/>
                        <a:pt x="2882" y="16796"/>
                      </a:cubicBezTo>
                      <a:cubicBezTo>
                        <a:pt x="-961" y="12954"/>
                        <a:pt x="-961" y="6724"/>
                        <a:pt x="2882" y="2882"/>
                      </a:cubicBezTo>
                      <a:cubicBezTo>
                        <a:pt x="6724" y="-961"/>
                        <a:pt x="12954" y="-961"/>
                        <a:pt x="16796" y="2882"/>
                      </a:cubicBezTo>
                      <a:close/>
                    </a:path>
                  </a:pathLst>
                </a:custGeom>
                <a:noFill/>
                <a:ln w="6350" cap="flat">
                  <a:solidFill>
                    <a:schemeClr val="tx1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cxnSp macro="">
            <xdr:nvCxnSpPr>
              <xdr:cNvPr id="131" name="Elbow Connector 130">
                <a:extLst>
                  <a:ext uri="{FF2B5EF4-FFF2-40B4-BE49-F238E27FC236}">
                    <a16:creationId xmlns:a16="http://schemas.microsoft.com/office/drawing/2014/main" id="{00000000-0008-0000-0300-000083000000}"/>
                  </a:ext>
                </a:extLst>
              </xdr:cNvPr>
              <xdr:cNvCxnSpPr>
                <a:stCxn id="139" idx="3"/>
              </xdr:cNvCxnSpPr>
            </xdr:nvCxnSpPr>
            <xdr:spPr>
              <a:xfrm>
                <a:off x="10162348" y="4031581"/>
                <a:ext cx="251652" cy="807557"/>
              </a:xfrm>
              <a:prstGeom prst="bentConnector2">
                <a:avLst/>
              </a:prstGeom>
              <a:ln w="6350"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28" name="Elbow Connector 127">
              <a:extLst>
                <a:ext uri="{FF2B5EF4-FFF2-40B4-BE49-F238E27FC236}">
                  <a16:creationId xmlns:a16="http://schemas.microsoft.com/office/drawing/2014/main" id="{00000000-0008-0000-0300-000080000000}"/>
                </a:ext>
              </a:extLst>
            </xdr:cNvPr>
            <xdr:cNvCxnSpPr/>
          </xdr:nvCxnSpPr>
          <xdr:spPr>
            <a:xfrm>
              <a:off x="6907649" y="4221491"/>
              <a:ext cx="3510730" cy="617647"/>
            </a:xfrm>
            <a:prstGeom prst="bentConnector3">
              <a:avLst>
                <a:gd name="adj1" fmla="val 40132"/>
              </a:avLst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29" name="Straight Connector 128">
              <a:extLst>
                <a:ext uri="{FF2B5EF4-FFF2-40B4-BE49-F238E27FC236}">
                  <a16:creationId xmlns:a16="http://schemas.microsoft.com/office/drawing/2014/main" id="{00000000-0008-0000-0300-000081000000}"/>
                </a:ext>
              </a:extLst>
            </xdr:cNvPr>
            <xdr:cNvCxnSpPr>
              <a:stCxn id="142" idx="1"/>
              <a:endCxn id="124" idx="0"/>
            </xdr:cNvCxnSpPr>
          </xdr:nvCxnSpPr>
          <xdr:spPr>
            <a:xfrm flipH="1" flipV="1">
              <a:off x="6854716" y="4025949"/>
              <a:ext cx="1782872" cy="1640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grpSp>
        <xdr:nvGrpSpPr>
          <xdr:cNvPr id="116" name="Group 115">
            <a:extLst>
              <a:ext uri="{FF2B5EF4-FFF2-40B4-BE49-F238E27FC236}">
                <a16:creationId xmlns:a16="http://schemas.microsoft.com/office/drawing/2014/main" id="{00000000-0008-0000-0300-000074000000}"/>
              </a:ext>
            </a:extLst>
          </xdr:cNvPr>
          <xdr:cNvGrpSpPr/>
        </xdr:nvGrpSpPr>
        <xdr:grpSpPr>
          <a:xfrm>
            <a:off x="6463027" y="3663974"/>
            <a:ext cx="514076" cy="812899"/>
            <a:chOff x="8312729" y="2242252"/>
            <a:chExt cx="516507" cy="808182"/>
          </a:xfrm>
        </xdr:grpSpPr>
        <xdr:grpSp>
          <xdr:nvGrpSpPr>
            <xdr:cNvPr id="117" name="Group 116">
              <a:extLst>
                <a:ext uri="{FF2B5EF4-FFF2-40B4-BE49-F238E27FC236}">
                  <a16:creationId xmlns:a16="http://schemas.microsoft.com/office/drawing/2014/main" id="{00000000-0008-0000-0300-000075000000}"/>
                </a:ext>
              </a:extLst>
            </xdr:cNvPr>
            <xdr:cNvGrpSpPr/>
          </xdr:nvGrpSpPr>
          <xdr:grpSpPr>
            <a:xfrm>
              <a:off x="8422105" y="2351625"/>
              <a:ext cx="322065" cy="500842"/>
              <a:chOff x="8428183" y="2400242"/>
              <a:chExt cx="322065" cy="500842"/>
            </a:xfrm>
          </xdr:grpSpPr>
          <xdr:sp macro="" textlink="">
            <xdr:nvSpPr>
              <xdr:cNvPr id="119" name="Shape 9">
                <a:extLst>
                  <a:ext uri="{FF2B5EF4-FFF2-40B4-BE49-F238E27FC236}">
                    <a16:creationId xmlns:a16="http://schemas.microsoft.com/office/drawing/2014/main" id="{00000000-0008-0000-0300-000077000000}"/>
                  </a:ext>
                </a:extLst>
              </xdr:cNvPr>
              <xdr:cNvSpPr/>
            </xdr:nvSpPr>
            <xdr:spPr>
              <a:xfrm>
                <a:off x="8428183" y="2612919"/>
                <a:ext cx="79265" cy="7926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0" name="Shape 38">
                <a:extLst>
                  <a:ext uri="{FF2B5EF4-FFF2-40B4-BE49-F238E27FC236}">
                    <a16:creationId xmlns:a16="http://schemas.microsoft.com/office/drawing/2014/main" id="{00000000-0008-0000-0300-000078000000}"/>
                  </a:ext>
                </a:extLst>
              </xdr:cNvPr>
              <xdr:cNvSpPr/>
            </xdr:nvSpPr>
            <xdr:spPr>
              <a:xfrm flipV="1">
                <a:off x="8567942" y="2400242"/>
                <a:ext cx="0" cy="324411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1" name="Shape 39">
                <a:extLst>
                  <a:ext uri="{FF2B5EF4-FFF2-40B4-BE49-F238E27FC236}">
                    <a16:creationId xmlns:a16="http://schemas.microsoft.com/office/drawing/2014/main" id="{00000000-0008-0000-0300-000079000000}"/>
                  </a:ext>
                </a:extLst>
              </xdr:cNvPr>
              <xdr:cNvSpPr/>
            </xdr:nvSpPr>
            <xdr:spPr>
              <a:xfrm flipH="1">
                <a:off x="8519330" y="2400246"/>
                <a:ext cx="99510" cy="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2" name="Shape 13">
                <a:extLst>
                  <a:ext uri="{FF2B5EF4-FFF2-40B4-BE49-F238E27FC236}">
                    <a16:creationId xmlns:a16="http://schemas.microsoft.com/office/drawing/2014/main" id="{00000000-0008-0000-0300-00007A000000}"/>
                  </a:ext>
                </a:extLst>
              </xdr:cNvPr>
              <xdr:cNvSpPr/>
            </xdr:nvSpPr>
            <xdr:spPr>
              <a:xfrm flipV="1">
                <a:off x="8467879" y="2454932"/>
                <a:ext cx="159630" cy="159630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3" name="Shape 37">
                <a:extLst>
                  <a:ext uri="{FF2B5EF4-FFF2-40B4-BE49-F238E27FC236}">
                    <a16:creationId xmlns:a16="http://schemas.microsoft.com/office/drawing/2014/main" id="{00000000-0008-0000-0300-00007B000000}"/>
                  </a:ext>
                </a:extLst>
              </xdr:cNvPr>
              <xdr:cNvSpPr/>
            </xdr:nvSpPr>
            <xdr:spPr>
              <a:xfrm flipV="1">
                <a:off x="8470717" y="2673688"/>
                <a:ext cx="158580" cy="154246"/>
              </a:xfrm>
              <a:prstGeom prst="line">
                <a:avLst/>
              </a:prstGeom>
              <a:noFill/>
              <a:ln w="6350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4" name="Shape 9">
                <a:extLst>
                  <a:ext uri="{FF2B5EF4-FFF2-40B4-BE49-F238E27FC236}">
                    <a16:creationId xmlns:a16="http://schemas.microsoft.com/office/drawing/2014/main" id="{00000000-0008-0000-0300-00007C000000}"/>
                  </a:ext>
                </a:extLst>
              </xdr:cNvPr>
              <xdr:cNvSpPr/>
            </xdr:nvSpPr>
            <xdr:spPr>
              <a:xfrm>
                <a:off x="8665660" y="2613400"/>
                <a:ext cx="84578" cy="8457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5" name="Shape 9">
                <a:extLst>
                  <a:ext uri="{FF2B5EF4-FFF2-40B4-BE49-F238E27FC236}">
                    <a16:creationId xmlns:a16="http://schemas.microsoft.com/office/drawing/2014/main" id="{00000000-0008-0000-0300-00007D000000}"/>
                  </a:ext>
                </a:extLst>
              </xdr:cNvPr>
              <xdr:cNvSpPr/>
            </xdr:nvSpPr>
            <xdr:spPr>
              <a:xfrm>
                <a:off x="8434742" y="2820012"/>
                <a:ext cx="81072" cy="81072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26" name="Shape 9">
                <a:extLst>
                  <a:ext uri="{FF2B5EF4-FFF2-40B4-BE49-F238E27FC236}">
                    <a16:creationId xmlns:a16="http://schemas.microsoft.com/office/drawing/2014/main" id="{00000000-0008-0000-0300-00007E000000}"/>
                  </a:ext>
                </a:extLst>
              </xdr:cNvPr>
              <xdr:cNvSpPr/>
            </xdr:nvSpPr>
            <xdr:spPr>
              <a:xfrm>
                <a:off x="8672220" y="2820493"/>
                <a:ext cx="78028" cy="78028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solidFill>
                <a:schemeClr val="bg1"/>
              </a:solidFill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sp macro="" textlink="">
          <xdr:nvSpPr>
            <xdr:cNvPr id="118" name="Rectangle 117">
              <a:extLst>
                <a:ext uri="{FF2B5EF4-FFF2-40B4-BE49-F238E27FC236}">
                  <a16:creationId xmlns:a16="http://schemas.microsoft.com/office/drawing/2014/main" id="{00000000-0008-0000-0300-000076000000}"/>
                </a:ext>
              </a:extLst>
            </xdr:cNvPr>
            <xdr:cNvSpPr/>
          </xdr:nvSpPr>
          <xdr:spPr>
            <a:xfrm>
              <a:off x="8312729" y="2242252"/>
              <a:ext cx="516507" cy="808182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dash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25</xdr:col>
      <xdr:colOff>88900</xdr:colOff>
      <xdr:row>39</xdr:row>
      <xdr:rowOff>21390</xdr:rowOff>
    </xdr:from>
    <xdr:to>
      <xdr:col>29</xdr:col>
      <xdr:colOff>90883</xdr:colOff>
      <xdr:row>41</xdr:row>
      <xdr:rowOff>179525</xdr:rowOff>
    </xdr:to>
    <xdr:grpSp>
      <xdr:nvGrpSpPr>
        <xdr:cNvPr id="144" name="Group 143">
          <a:extLst>
            <a:ext uri="{FF2B5EF4-FFF2-40B4-BE49-F238E27FC236}">
              <a16:creationId xmlns:a16="http://schemas.microsoft.com/office/drawing/2014/main" id="{00000000-0008-0000-0300-000090000000}"/>
            </a:ext>
          </a:extLst>
        </xdr:cNvPr>
        <xdr:cNvGrpSpPr/>
      </xdr:nvGrpSpPr>
      <xdr:grpSpPr>
        <a:xfrm>
          <a:off x="6438900" y="7946190"/>
          <a:ext cx="1017983" cy="564535"/>
          <a:chOff x="6858969" y="6917765"/>
          <a:chExt cx="1015030" cy="545353"/>
        </a:xfrm>
      </xdr:grpSpPr>
      <xdr:sp macro="" textlink="">
        <xdr:nvSpPr>
          <xdr:cNvPr id="145" name="Shape 27">
            <a:extLst>
              <a:ext uri="{FF2B5EF4-FFF2-40B4-BE49-F238E27FC236}">
                <a16:creationId xmlns:a16="http://schemas.microsoft.com/office/drawing/2014/main" id="{00000000-0008-0000-0300-000091000000}"/>
              </a:ext>
            </a:extLst>
          </xdr:cNvPr>
          <xdr:cNvSpPr/>
        </xdr:nvSpPr>
        <xdr:spPr>
          <a:xfrm>
            <a:off x="7112996" y="7224912"/>
            <a:ext cx="81180" cy="84634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6" name="Shape 27">
            <a:extLst>
              <a:ext uri="{FF2B5EF4-FFF2-40B4-BE49-F238E27FC236}">
                <a16:creationId xmlns:a16="http://schemas.microsoft.com/office/drawing/2014/main" id="{00000000-0008-0000-0300-000092000000}"/>
              </a:ext>
            </a:extLst>
          </xdr:cNvPr>
          <xdr:cNvSpPr/>
        </xdr:nvSpPr>
        <xdr:spPr>
          <a:xfrm>
            <a:off x="7539659" y="7223065"/>
            <a:ext cx="80343" cy="83761"/>
          </a:xfrm>
          <a:custGeom>
            <a:avLst/>
            <a:gdLst/>
            <a:ahLst/>
            <a:cxnLst>
              <a:cxn ang="0">
                <a:pos x="wd2" y="hd2"/>
              </a:cxn>
              <a:cxn ang="5400000">
                <a:pos x="wd2" y="hd2"/>
              </a:cxn>
              <a:cxn ang="10800000">
                <a:pos x="wd2" y="hd2"/>
              </a:cxn>
              <a:cxn ang="16200000">
                <a:pos x="wd2" y="hd2"/>
              </a:cxn>
            </a:cxnLst>
            <a:rect l="0" t="0" r="r" b="b"/>
            <a:pathLst>
              <a:path w="19679" h="19679" extrusionOk="0">
                <a:moveTo>
                  <a:pt x="16796" y="2882"/>
                </a:moveTo>
                <a:cubicBezTo>
                  <a:pt x="20639" y="6724"/>
                  <a:pt x="20639" y="12954"/>
                  <a:pt x="16796" y="16796"/>
                </a:cubicBezTo>
                <a:cubicBezTo>
                  <a:pt x="12954" y="20639"/>
                  <a:pt x="6724" y="20639"/>
                  <a:pt x="2882" y="16796"/>
                </a:cubicBezTo>
                <a:cubicBezTo>
                  <a:pt x="-961" y="12954"/>
                  <a:pt x="-961" y="6724"/>
                  <a:pt x="2882" y="2882"/>
                </a:cubicBezTo>
                <a:cubicBezTo>
                  <a:pt x="6724" y="-961"/>
                  <a:pt x="12954" y="-961"/>
                  <a:pt x="16796" y="2882"/>
                </a:cubicBezTo>
                <a:close/>
              </a:path>
            </a:pathLst>
          </a:custGeom>
          <a:noFill/>
          <a:ln w="6350" cap="flat">
            <a:solidFill>
              <a:srgbClr val="53585F"/>
            </a:solidFill>
            <a:prstDash val="solid"/>
            <a:miter lim="400000"/>
          </a:ln>
          <a:effectLst/>
        </xdr:spPr>
        <xdr:txBody>
          <a:bodyPr/>
          <a:lstStyle/>
          <a:p>
            <a:pPr lvl="0"/>
            <a:endParaRPr/>
          </a:p>
        </xdr:txBody>
      </xdr:sp>
      <xdr:sp macro="" textlink="">
        <xdr:nvSpPr>
          <xdr:cNvPr id="147" name="Shape 26">
            <a:extLst>
              <a:ext uri="{FF2B5EF4-FFF2-40B4-BE49-F238E27FC236}">
                <a16:creationId xmlns:a16="http://schemas.microsoft.com/office/drawing/2014/main" id="{00000000-0008-0000-0300-000093000000}"/>
              </a:ext>
            </a:extLst>
          </xdr:cNvPr>
          <xdr:cNvSpPr/>
        </xdr:nvSpPr>
        <xdr:spPr>
          <a:xfrm flipH="1" flipV="1">
            <a:off x="7209118" y="7014882"/>
            <a:ext cx="351592" cy="211269"/>
          </a:xfrm>
          <a:prstGeom prst="line">
            <a:avLst/>
          </a:prstGeom>
          <a:noFill/>
          <a:ln w="9525" cap="flat">
            <a:solidFill>
              <a:srgbClr val="000000"/>
            </a:solidFill>
            <a:prstDash val="solid"/>
            <a:round/>
          </a:ln>
          <a:effectLst/>
        </xdr:spPr>
        <xdr:txBody>
          <a:bodyPr/>
          <a:lstStyle/>
          <a:p>
            <a:pPr lvl="0"/>
            <a:endParaRPr/>
          </a:p>
        </xdr:txBody>
      </xdr: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300-000094000000}"/>
              </a:ext>
            </a:extLst>
          </xdr:cNvPr>
          <xdr:cNvCxnSpPr/>
        </xdr:nvCxnSpPr>
        <xdr:spPr>
          <a:xfrm flipH="1">
            <a:off x="6858969" y="7270910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9" name="Straight Connector 148">
            <a:extLst>
              <a:ext uri="{FF2B5EF4-FFF2-40B4-BE49-F238E27FC236}">
                <a16:creationId xmlns:a16="http://schemas.microsoft.com/office/drawing/2014/main" id="{00000000-0008-0000-0300-000095000000}"/>
              </a:ext>
            </a:extLst>
          </xdr:cNvPr>
          <xdr:cNvCxnSpPr/>
        </xdr:nvCxnSpPr>
        <xdr:spPr>
          <a:xfrm flipH="1">
            <a:off x="7609015" y="7277151"/>
            <a:ext cx="260502" cy="1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50" name="Rectangle 149">
            <a:extLst>
              <a:ext uri="{FF2B5EF4-FFF2-40B4-BE49-F238E27FC236}">
                <a16:creationId xmlns:a16="http://schemas.microsoft.com/office/drawing/2014/main" id="{00000000-0008-0000-0300-000096000000}"/>
              </a:ext>
            </a:extLst>
          </xdr:cNvPr>
          <xdr:cNvSpPr/>
        </xdr:nvSpPr>
        <xdr:spPr>
          <a:xfrm>
            <a:off x="6866438" y="6917765"/>
            <a:ext cx="1007561" cy="545353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11444</xdr:colOff>
      <xdr:row>36</xdr:row>
      <xdr:rowOff>690</xdr:rowOff>
    </xdr:from>
    <xdr:to>
      <xdr:col>44</xdr:col>
      <xdr:colOff>8943</xdr:colOff>
      <xdr:row>36</xdr:row>
      <xdr:rowOff>690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00000000-0008-0000-0300-000098000000}"/>
            </a:ext>
          </a:extLst>
        </xdr:cNvPr>
        <xdr:cNvCxnSpPr/>
      </xdr:nvCxnSpPr>
      <xdr:spPr>
        <a:xfrm flipH="1">
          <a:off x="33031444" y="7315890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11802</xdr:colOff>
      <xdr:row>37</xdr:row>
      <xdr:rowOff>18936</xdr:rowOff>
    </xdr:from>
    <xdr:to>
      <xdr:col>44</xdr:col>
      <xdr:colOff>9301</xdr:colOff>
      <xdr:row>37</xdr:row>
      <xdr:rowOff>18936</xdr:rowOff>
    </xdr:to>
    <xdr:cxnSp macro="">
      <xdr:nvCxnSpPr>
        <xdr:cNvPr id="153" name="Straight Connector 152">
          <a:extLst>
            <a:ext uri="{FF2B5EF4-FFF2-40B4-BE49-F238E27FC236}">
              <a16:creationId xmlns:a16="http://schemas.microsoft.com/office/drawing/2014/main" id="{00000000-0008-0000-0300-000099000000}"/>
            </a:ext>
          </a:extLst>
        </xdr:cNvPr>
        <xdr:cNvCxnSpPr/>
      </xdr:nvCxnSpPr>
      <xdr:spPr>
        <a:xfrm flipH="1">
          <a:off x="33031802" y="7537336"/>
          <a:ext cx="3299499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137371</xdr:colOff>
      <xdr:row>37</xdr:row>
      <xdr:rowOff>1406</xdr:rowOff>
    </xdr:from>
    <xdr:to>
      <xdr:col>38</xdr:col>
      <xdr:colOff>205705</xdr:colOff>
      <xdr:row>37</xdr:row>
      <xdr:rowOff>1406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00000000-0008-0000-0300-00009A000000}"/>
            </a:ext>
          </a:extLst>
        </xdr:cNvPr>
        <xdr:cNvCxnSpPr/>
      </xdr:nvCxnSpPr>
      <xdr:spPr>
        <a:xfrm flipH="1">
          <a:off x="29855371" y="7519806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128785</xdr:colOff>
      <xdr:row>36</xdr:row>
      <xdr:rowOff>1764</xdr:rowOff>
    </xdr:from>
    <xdr:to>
      <xdr:col>38</xdr:col>
      <xdr:colOff>197119</xdr:colOff>
      <xdr:row>36</xdr:row>
      <xdr:rowOff>1764</xdr:rowOff>
    </xdr:to>
    <xdr:cxnSp macro="">
      <xdr:nvCxnSpPr>
        <xdr:cNvPr id="155" name="Straight Connector 154">
          <a:extLst>
            <a:ext uri="{FF2B5EF4-FFF2-40B4-BE49-F238E27FC236}">
              <a16:creationId xmlns:a16="http://schemas.microsoft.com/office/drawing/2014/main" id="{00000000-0008-0000-0300-00009B000000}"/>
            </a:ext>
          </a:extLst>
        </xdr:cNvPr>
        <xdr:cNvCxnSpPr/>
      </xdr:nvCxnSpPr>
      <xdr:spPr>
        <a:xfrm flipH="1">
          <a:off x="29846785" y="7316964"/>
          <a:ext cx="1719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93368</xdr:colOff>
      <xdr:row>40</xdr:row>
      <xdr:rowOff>198883</xdr:rowOff>
    </xdr:from>
    <xdr:to>
      <xdr:col>32</xdr:col>
      <xdr:colOff>169930</xdr:colOff>
      <xdr:row>40</xdr:row>
      <xdr:rowOff>198883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00000000-0008-0000-0300-00009C000000}"/>
            </a:ext>
          </a:extLst>
        </xdr:cNvPr>
        <xdr:cNvCxnSpPr/>
      </xdr:nvCxnSpPr>
      <xdr:spPr>
        <a:xfrm flipH="1">
          <a:off x="24032868" y="8326883"/>
          <a:ext cx="25530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110846</xdr:colOff>
      <xdr:row>43</xdr:row>
      <xdr:rowOff>16499</xdr:rowOff>
    </xdr:from>
    <xdr:to>
      <xdr:col>40</xdr:col>
      <xdr:colOff>116922</xdr:colOff>
      <xdr:row>47</xdr:row>
      <xdr:rowOff>43976</xdr:rowOff>
    </xdr:to>
    <xdr:grpSp>
      <xdr:nvGrpSpPr>
        <xdr:cNvPr id="157" name="Group 156">
          <a:extLst>
            <a:ext uri="{FF2B5EF4-FFF2-40B4-BE49-F238E27FC236}">
              <a16:creationId xmlns:a16="http://schemas.microsoft.com/office/drawing/2014/main" id="{00000000-0008-0000-0300-00009D000000}"/>
            </a:ext>
          </a:extLst>
        </xdr:cNvPr>
        <xdr:cNvGrpSpPr/>
      </xdr:nvGrpSpPr>
      <xdr:grpSpPr>
        <a:xfrm>
          <a:off x="9762846" y="8754099"/>
          <a:ext cx="514076" cy="840277"/>
          <a:chOff x="8312729" y="2242252"/>
          <a:chExt cx="516507" cy="808182"/>
        </a:xfrm>
      </xdr:grpSpPr>
      <xdr:grpSp>
        <xdr:nvGrpSpPr>
          <xdr:cNvPr id="158" name="Group 157">
            <a:extLst>
              <a:ext uri="{FF2B5EF4-FFF2-40B4-BE49-F238E27FC236}">
                <a16:creationId xmlns:a16="http://schemas.microsoft.com/office/drawing/2014/main" id="{00000000-0008-0000-0300-00009E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60" name="Shape 9">
              <a:extLst>
                <a:ext uri="{FF2B5EF4-FFF2-40B4-BE49-F238E27FC236}">
                  <a16:creationId xmlns:a16="http://schemas.microsoft.com/office/drawing/2014/main" id="{00000000-0008-0000-0300-0000A0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1" name="Shape 38">
              <a:extLst>
                <a:ext uri="{FF2B5EF4-FFF2-40B4-BE49-F238E27FC236}">
                  <a16:creationId xmlns:a16="http://schemas.microsoft.com/office/drawing/2014/main" id="{00000000-0008-0000-0300-0000A1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2" name="Shape 39">
              <a:extLst>
                <a:ext uri="{FF2B5EF4-FFF2-40B4-BE49-F238E27FC236}">
                  <a16:creationId xmlns:a16="http://schemas.microsoft.com/office/drawing/2014/main" id="{00000000-0008-0000-0300-0000A2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3" name="Shape 13">
              <a:extLst>
                <a:ext uri="{FF2B5EF4-FFF2-40B4-BE49-F238E27FC236}">
                  <a16:creationId xmlns:a16="http://schemas.microsoft.com/office/drawing/2014/main" id="{00000000-0008-0000-0300-0000A3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4" name="Shape 37">
              <a:extLst>
                <a:ext uri="{FF2B5EF4-FFF2-40B4-BE49-F238E27FC236}">
                  <a16:creationId xmlns:a16="http://schemas.microsoft.com/office/drawing/2014/main" id="{00000000-0008-0000-0300-0000A4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5" name="Shape 9">
              <a:extLst>
                <a:ext uri="{FF2B5EF4-FFF2-40B4-BE49-F238E27FC236}">
                  <a16:creationId xmlns:a16="http://schemas.microsoft.com/office/drawing/2014/main" id="{00000000-0008-0000-0300-0000A5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6" name="Shape 9">
              <a:extLst>
                <a:ext uri="{FF2B5EF4-FFF2-40B4-BE49-F238E27FC236}">
                  <a16:creationId xmlns:a16="http://schemas.microsoft.com/office/drawing/2014/main" id="{00000000-0008-0000-0300-0000A6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67" name="Shape 9">
              <a:extLst>
                <a:ext uri="{FF2B5EF4-FFF2-40B4-BE49-F238E27FC236}">
                  <a16:creationId xmlns:a16="http://schemas.microsoft.com/office/drawing/2014/main" id="{00000000-0008-0000-0300-0000A7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59" name="Rectangle 158">
            <a:extLst>
              <a:ext uri="{FF2B5EF4-FFF2-40B4-BE49-F238E27FC236}">
                <a16:creationId xmlns:a16="http://schemas.microsoft.com/office/drawing/2014/main" id="{00000000-0008-0000-0300-00009F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36</xdr:col>
      <xdr:colOff>140675</xdr:colOff>
      <xdr:row>46</xdr:row>
      <xdr:rowOff>3648</xdr:rowOff>
    </xdr:from>
    <xdr:to>
      <xdr:col>38</xdr:col>
      <xdr:colOff>209009</xdr:colOff>
      <xdr:row>46</xdr:row>
      <xdr:rowOff>3648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00000000-0008-0000-0300-0000A8000000}"/>
            </a:ext>
          </a:extLst>
        </xdr:cNvPr>
        <xdr:cNvCxnSpPr/>
      </xdr:nvCxnSpPr>
      <xdr:spPr>
        <a:xfrm flipH="1">
          <a:off x="9284675" y="9350848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147030</xdr:colOff>
      <xdr:row>44</xdr:row>
      <xdr:rowOff>192263</xdr:rowOff>
    </xdr:from>
    <xdr:to>
      <xdr:col>38</xdr:col>
      <xdr:colOff>215364</xdr:colOff>
      <xdr:row>44</xdr:row>
      <xdr:rowOff>192263</xdr:rowOff>
    </xdr:to>
    <xdr:cxnSp macro="">
      <xdr:nvCxnSpPr>
        <xdr:cNvPr id="169" name="Straight Connector 168">
          <a:extLst>
            <a:ext uri="{FF2B5EF4-FFF2-40B4-BE49-F238E27FC236}">
              <a16:creationId xmlns:a16="http://schemas.microsoft.com/office/drawing/2014/main" id="{00000000-0008-0000-0300-0000A9000000}"/>
            </a:ext>
          </a:extLst>
        </xdr:cNvPr>
        <xdr:cNvCxnSpPr/>
      </xdr:nvCxnSpPr>
      <xdr:spPr>
        <a:xfrm flipH="1">
          <a:off x="9291030" y="9133063"/>
          <a:ext cx="576334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209585</xdr:colOff>
      <xdr:row>43</xdr:row>
      <xdr:rowOff>16858</xdr:rowOff>
    </xdr:from>
    <xdr:to>
      <xdr:col>45</xdr:col>
      <xdr:colOff>215661</xdr:colOff>
      <xdr:row>47</xdr:row>
      <xdr:rowOff>44335</xdr:rowOff>
    </xdr:to>
    <xdr:grpSp>
      <xdr:nvGrpSpPr>
        <xdr:cNvPr id="170" name="Group 169">
          <a:extLst>
            <a:ext uri="{FF2B5EF4-FFF2-40B4-BE49-F238E27FC236}">
              <a16:creationId xmlns:a16="http://schemas.microsoft.com/office/drawing/2014/main" id="{00000000-0008-0000-0300-0000AA000000}"/>
            </a:ext>
          </a:extLst>
        </xdr:cNvPr>
        <xdr:cNvGrpSpPr/>
      </xdr:nvGrpSpPr>
      <xdr:grpSpPr>
        <a:xfrm>
          <a:off x="11131585" y="8754458"/>
          <a:ext cx="514076" cy="840277"/>
          <a:chOff x="8312729" y="2242252"/>
          <a:chExt cx="516507" cy="808182"/>
        </a:xfrm>
      </xdr:grpSpPr>
      <xdr:grpSp>
        <xdr:nvGrpSpPr>
          <xdr:cNvPr id="171" name="Group 170">
            <a:extLst>
              <a:ext uri="{FF2B5EF4-FFF2-40B4-BE49-F238E27FC236}">
                <a16:creationId xmlns:a16="http://schemas.microsoft.com/office/drawing/2014/main" id="{00000000-0008-0000-0300-0000AB000000}"/>
              </a:ext>
            </a:extLst>
          </xdr:cNvPr>
          <xdr:cNvGrpSpPr/>
        </xdr:nvGrpSpPr>
        <xdr:grpSpPr>
          <a:xfrm>
            <a:off x="8422105" y="2351625"/>
            <a:ext cx="322065" cy="500842"/>
            <a:chOff x="8428183" y="2400242"/>
            <a:chExt cx="322065" cy="500842"/>
          </a:xfrm>
        </xdr:grpSpPr>
        <xdr:sp macro="" textlink="">
          <xdr:nvSpPr>
            <xdr:cNvPr id="173" name="Shape 9">
              <a:extLst>
                <a:ext uri="{FF2B5EF4-FFF2-40B4-BE49-F238E27FC236}">
                  <a16:creationId xmlns:a16="http://schemas.microsoft.com/office/drawing/2014/main" id="{00000000-0008-0000-0300-0000AD000000}"/>
                </a:ext>
              </a:extLst>
            </xdr:cNvPr>
            <xdr:cNvSpPr/>
          </xdr:nvSpPr>
          <xdr:spPr>
            <a:xfrm>
              <a:off x="8428183" y="2612919"/>
              <a:ext cx="79265" cy="79264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4" name="Shape 38">
              <a:extLst>
                <a:ext uri="{FF2B5EF4-FFF2-40B4-BE49-F238E27FC236}">
                  <a16:creationId xmlns:a16="http://schemas.microsoft.com/office/drawing/2014/main" id="{00000000-0008-0000-0300-0000AE000000}"/>
                </a:ext>
              </a:extLst>
            </xdr:cNvPr>
            <xdr:cNvSpPr/>
          </xdr:nvSpPr>
          <xdr:spPr>
            <a:xfrm flipV="1">
              <a:off x="8567942" y="2400242"/>
              <a:ext cx="0" cy="32441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5" name="Shape 39">
              <a:extLst>
                <a:ext uri="{FF2B5EF4-FFF2-40B4-BE49-F238E27FC236}">
                  <a16:creationId xmlns:a16="http://schemas.microsoft.com/office/drawing/2014/main" id="{00000000-0008-0000-0300-0000AF000000}"/>
                </a:ext>
              </a:extLst>
            </xdr:cNvPr>
            <xdr:cNvSpPr/>
          </xdr:nvSpPr>
          <xdr:spPr>
            <a:xfrm flipH="1">
              <a:off x="8519330" y="2400246"/>
              <a:ext cx="99510" cy="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6" name="Shape 13">
              <a:extLst>
                <a:ext uri="{FF2B5EF4-FFF2-40B4-BE49-F238E27FC236}">
                  <a16:creationId xmlns:a16="http://schemas.microsoft.com/office/drawing/2014/main" id="{00000000-0008-0000-0300-0000B0000000}"/>
                </a:ext>
              </a:extLst>
            </xdr:cNvPr>
            <xdr:cNvSpPr/>
          </xdr:nvSpPr>
          <xdr:spPr>
            <a:xfrm flipV="1">
              <a:off x="8467879" y="2454932"/>
              <a:ext cx="159630" cy="15963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7" name="Shape 37">
              <a:extLst>
                <a:ext uri="{FF2B5EF4-FFF2-40B4-BE49-F238E27FC236}">
                  <a16:creationId xmlns:a16="http://schemas.microsoft.com/office/drawing/2014/main" id="{00000000-0008-0000-0300-0000B1000000}"/>
                </a:ext>
              </a:extLst>
            </xdr:cNvPr>
            <xdr:cNvSpPr/>
          </xdr:nvSpPr>
          <xdr:spPr>
            <a:xfrm flipV="1">
              <a:off x="8470717" y="2673688"/>
              <a:ext cx="158580" cy="154246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8" name="Shape 9">
              <a:extLst>
                <a:ext uri="{FF2B5EF4-FFF2-40B4-BE49-F238E27FC236}">
                  <a16:creationId xmlns:a16="http://schemas.microsoft.com/office/drawing/2014/main" id="{00000000-0008-0000-0300-0000B2000000}"/>
                </a:ext>
              </a:extLst>
            </xdr:cNvPr>
            <xdr:cNvSpPr/>
          </xdr:nvSpPr>
          <xdr:spPr>
            <a:xfrm>
              <a:off x="8665660" y="2613400"/>
              <a:ext cx="84578" cy="8457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79" name="Shape 9">
              <a:extLst>
                <a:ext uri="{FF2B5EF4-FFF2-40B4-BE49-F238E27FC236}">
                  <a16:creationId xmlns:a16="http://schemas.microsoft.com/office/drawing/2014/main" id="{00000000-0008-0000-0300-0000B3000000}"/>
                </a:ext>
              </a:extLst>
            </xdr:cNvPr>
            <xdr:cNvSpPr/>
          </xdr:nvSpPr>
          <xdr:spPr>
            <a:xfrm>
              <a:off x="8434742" y="2820012"/>
              <a:ext cx="81072" cy="8107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180" name="Shape 9">
              <a:extLst>
                <a:ext uri="{FF2B5EF4-FFF2-40B4-BE49-F238E27FC236}">
                  <a16:creationId xmlns:a16="http://schemas.microsoft.com/office/drawing/2014/main" id="{00000000-0008-0000-0300-0000B4000000}"/>
                </a:ext>
              </a:extLst>
            </xdr:cNvPr>
            <xdr:cNvSpPr/>
          </xdr:nvSpPr>
          <xdr:spPr>
            <a:xfrm>
              <a:off x="8672220" y="2820493"/>
              <a:ext cx="78028" cy="78028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solidFill>
              <a:schemeClr val="bg1"/>
            </a:solidFill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sp macro="" textlink="">
        <xdr:nvSpPr>
          <xdr:cNvPr id="172" name="Rectangle 171">
            <a:extLst>
              <a:ext uri="{FF2B5EF4-FFF2-40B4-BE49-F238E27FC236}">
                <a16:creationId xmlns:a16="http://schemas.microsoft.com/office/drawing/2014/main" id="{00000000-0008-0000-0300-0000AC000000}"/>
              </a:ext>
            </a:extLst>
          </xdr:cNvPr>
          <xdr:cNvSpPr/>
        </xdr:nvSpPr>
        <xdr:spPr>
          <a:xfrm>
            <a:off x="8312729" y="2242252"/>
            <a:ext cx="516507" cy="808182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40</xdr:col>
      <xdr:colOff>26832</xdr:colOff>
      <xdr:row>45</xdr:row>
      <xdr:rowOff>192265</xdr:rowOff>
    </xdr:from>
    <xdr:to>
      <xdr:col>44</xdr:col>
      <xdr:colOff>72267</xdr:colOff>
      <xdr:row>45</xdr:row>
      <xdr:rowOff>192265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00000000-0008-0000-0300-0000B5000000}"/>
            </a:ext>
          </a:extLst>
        </xdr:cNvPr>
        <xdr:cNvCxnSpPr/>
      </xdr:nvCxnSpPr>
      <xdr:spPr>
        <a:xfrm flipH="1">
          <a:off x="10186832" y="9336265"/>
          <a:ext cx="106143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35776</xdr:colOff>
      <xdr:row>44</xdr:row>
      <xdr:rowOff>192623</xdr:rowOff>
    </xdr:from>
    <xdr:to>
      <xdr:col>44</xdr:col>
      <xdr:colOff>63681</xdr:colOff>
      <xdr:row>44</xdr:row>
      <xdr:rowOff>192623</xdr:rowOff>
    </xdr:to>
    <xdr:cxnSp macro="">
      <xdr:nvCxnSpPr>
        <xdr:cNvPr id="182" name="Straight Connector 181">
          <a:extLst>
            <a:ext uri="{FF2B5EF4-FFF2-40B4-BE49-F238E27FC236}">
              <a16:creationId xmlns:a16="http://schemas.microsoft.com/office/drawing/2014/main" id="{00000000-0008-0000-0300-0000B6000000}"/>
            </a:ext>
          </a:extLst>
        </xdr:cNvPr>
        <xdr:cNvCxnSpPr/>
      </xdr:nvCxnSpPr>
      <xdr:spPr>
        <a:xfrm flipH="1">
          <a:off x="10195776" y="9133423"/>
          <a:ext cx="104390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125212</xdr:colOff>
      <xdr:row>42</xdr:row>
      <xdr:rowOff>182247</xdr:rowOff>
    </xdr:from>
    <xdr:to>
      <xdr:col>59</xdr:col>
      <xdr:colOff>84302</xdr:colOff>
      <xdr:row>49</xdr:row>
      <xdr:rowOff>27711</xdr:rowOff>
    </xdr:to>
    <xdr:grpSp>
      <xdr:nvGrpSpPr>
        <xdr:cNvPr id="183" name="Group 182">
          <a:extLst>
            <a:ext uri="{FF2B5EF4-FFF2-40B4-BE49-F238E27FC236}">
              <a16:creationId xmlns:a16="http://schemas.microsoft.com/office/drawing/2014/main" id="{00000000-0008-0000-0300-0000B7000000}"/>
            </a:ext>
          </a:extLst>
        </xdr:cNvPr>
        <xdr:cNvGrpSpPr/>
      </xdr:nvGrpSpPr>
      <xdr:grpSpPr>
        <a:xfrm>
          <a:off x="11555212" y="8716647"/>
          <a:ext cx="3515090" cy="1267864"/>
          <a:chOff x="6900368" y="3624645"/>
          <a:chExt cx="3518011" cy="1214493"/>
        </a:xfrm>
      </xdr:grpSpPr>
      <xdr:grpSp>
        <xdr:nvGrpSpPr>
          <xdr:cNvPr id="184" name="Group 183">
            <a:extLst>
              <a:ext uri="{FF2B5EF4-FFF2-40B4-BE49-F238E27FC236}">
                <a16:creationId xmlns:a16="http://schemas.microsoft.com/office/drawing/2014/main" id="{00000000-0008-0000-0300-0000B8000000}"/>
              </a:ext>
            </a:extLst>
          </xdr:cNvPr>
          <xdr:cNvGrpSpPr/>
        </xdr:nvGrpSpPr>
        <xdr:grpSpPr>
          <a:xfrm>
            <a:off x="8637589" y="3624645"/>
            <a:ext cx="1776411" cy="1214493"/>
            <a:chOff x="8637589" y="3624645"/>
            <a:chExt cx="1776411" cy="1214493"/>
          </a:xfrm>
        </xdr:grpSpPr>
        <xdr:grpSp>
          <xdr:nvGrpSpPr>
            <xdr:cNvPr id="187" name="Group 186">
              <a:extLst>
                <a:ext uri="{FF2B5EF4-FFF2-40B4-BE49-F238E27FC236}">
                  <a16:creationId xmlns:a16="http://schemas.microsoft.com/office/drawing/2014/main" id="{00000000-0008-0000-0300-0000BB000000}"/>
                </a:ext>
              </a:extLst>
            </xdr:cNvPr>
            <xdr:cNvGrpSpPr/>
          </xdr:nvGrpSpPr>
          <xdr:grpSpPr>
            <a:xfrm>
              <a:off x="8637589" y="3624645"/>
              <a:ext cx="1536437" cy="808476"/>
              <a:chOff x="8637589" y="3654424"/>
              <a:chExt cx="1536437" cy="817235"/>
            </a:xfrm>
          </xdr:grpSpPr>
          <xdr:grpSp>
            <xdr:nvGrpSpPr>
              <xdr:cNvPr id="189" name="Group 188">
                <a:extLst>
                  <a:ext uri="{FF2B5EF4-FFF2-40B4-BE49-F238E27FC236}">
                    <a16:creationId xmlns:a16="http://schemas.microsoft.com/office/drawing/2014/main" id="{00000000-0008-0000-0300-0000BD000000}"/>
                  </a:ext>
                </a:extLst>
              </xdr:cNvPr>
              <xdr:cNvGrpSpPr/>
            </xdr:nvGrpSpPr>
            <xdr:grpSpPr>
              <a:xfrm>
                <a:off x="8637589" y="3654424"/>
                <a:ext cx="521025" cy="811443"/>
                <a:chOff x="10048174" y="1594350"/>
                <a:chExt cx="525820" cy="800858"/>
              </a:xfrm>
            </xdr:grpSpPr>
            <xdr:sp macro="" textlink="">
              <xdr:nvSpPr>
                <xdr:cNvPr id="198" name="Shape 46">
                  <a:extLst>
                    <a:ext uri="{FF2B5EF4-FFF2-40B4-BE49-F238E27FC236}">
                      <a16:creationId xmlns:a16="http://schemas.microsoft.com/office/drawing/2014/main" id="{00000000-0008-0000-0300-0000C6000000}"/>
                    </a:ext>
                  </a:extLst>
                </xdr:cNvPr>
                <xdr:cNvSpPr/>
              </xdr:nvSpPr>
              <xdr:spPr>
                <a:xfrm flipH="1" flipV="1">
                  <a:off x="10048175" y="1594350"/>
                  <a:ext cx="254725" cy="294558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9" name="Rectangle 198">
                  <a:extLst>
                    <a:ext uri="{FF2B5EF4-FFF2-40B4-BE49-F238E27FC236}">
                      <a16:creationId xmlns:a16="http://schemas.microsoft.com/office/drawing/2014/main" id="{00000000-0008-0000-0300-0000C7000000}"/>
                    </a:ext>
                  </a:extLst>
                </xdr:cNvPr>
                <xdr:cNvSpPr/>
              </xdr:nvSpPr>
              <xdr:spPr>
                <a:xfrm>
                  <a:off x="10048174" y="159748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200" name="Shape 46">
                  <a:extLst>
                    <a:ext uri="{FF2B5EF4-FFF2-40B4-BE49-F238E27FC236}">
                      <a16:creationId xmlns:a16="http://schemas.microsoft.com/office/drawing/2014/main" id="{00000000-0008-0000-0300-0000C8000000}"/>
                    </a:ext>
                  </a:extLst>
                </xdr:cNvPr>
                <xdr:cNvSpPr/>
              </xdr:nvSpPr>
              <xdr:spPr>
                <a:xfrm rot="5040000" flipH="1" flipV="1">
                  <a:off x="10298614" y="1602768"/>
                  <a:ext cx="264734" cy="286026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grpSp>
            <xdr:nvGrpSpPr>
              <xdr:cNvPr id="190" name="Group 189">
                <a:extLst>
                  <a:ext uri="{FF2B5EF4-FFF2-40B4-BE49-F238E27FC236}">
                    <a16:creationId xmlns:a16="http://schemas.microsoft.com/office/drawing/2014/main" id="{00000000-0008-0000-0300-0000BE000000}"/>
                  </a:ext>
                </a:extLst>
              </xdr:cNvPr>
              <xdr:cNvGrpSpPr/>
            </xdr:nvGrpSpPr>
            <xdr:grpSpPr>
              <a:xfrm>
                <a:off x="9654262" y="3659876"/>
                <a:ext cx="519764" cy="811783"/>
                <a:chOff x="10041786" y="1591243"/>
                <a:chExt cx="522944" cy="797725"/>
              </a:xfrm>
            </xdr:grpSpPr>
            <xdr:sp macro="" textlink="">
              <xdr:nvSpPr>
                <xdr:cNvPr id="195" name="Shape 46">
                  <a:extLst>
                    <a:ext uri="{FF2B5EF4-FFF2-40B4-BE49-F238E27FC236}">
                      <a16:creationId xmlns:a16="http://schemas.microsoft.com/office/drawing/2014/main" id="{00000000-0008-0000-0300-0000C3000000}"/>
                    </a:ext>
                  </a:extLst>
                </xdr:cNvPr>
                <xdr:cNvSpPr/>
              </xdr:nvSpPr>
              <xdr:spPr>
                <a:xfrm flipH="1" flipV="1">
                  <a:off x="10048175" y="1591243"/>
                  <a:ext cx="246889" cy="300404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196" name="Rectangle 195">
                  <a:extLst>
                    <a:ext uri="{FF2B5EF4-FFF2-40B4-BE49-F238E27FC236}">
                      <a16:creationId xmlns:a16="http://schemas.microsoft.com/office/drawing/2014/main" id="{00000000-0008-0000-0300-0000C4000000}"/>
                    </a:ext>
                  </a:extLst>
                </xdr:cNvPr>
                <xdr:cNvSpPr/>
              </xdr:nvSpPr>
              <xdr:spPr>
                <a:xfrm>
                  <a:off x="10041786" y="1591244"/>
                  <a:ext cx="511195" cy="797724"/>
                </a:xfrm>
                <a:prstGeom prst="rect">
                  <a:avLst/>
                </a:prstGeom>
                <a:noFill/>
                <a:ln w="6350">
                  <a:solidFill>
                    <a:schemeClr val="tx1"/>
                  </a:solidFill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GB" sz="1100"/>
                </a:p>
              </xdr:txBody>
            </xdr:sp>
            <xdr:sp macro="" textlink="">
              <xdr:nvSpPr>
                <xdr:cNvPr id="197" name="Shape 46">
                  <a:extLst>
                    <a:ext uri="{FF2B5EF4-FFF2-40B4-BE49-F238E27FC236}">
                      <a16:creationId xmlns:a16="http://schemas.microsoft.com/office/drawing/2014/main" id="{00000000-0008-0000-0300-0000C5000000}"/>
                    </a:ext>
                  </a:extLst>
                </xdr:cNvPr>
                <xdr:cNvSpPr/>
              </xdr:nvSpPr>
              <xdr:spPr>
                <a:xfrm rot="5040000" flipH="1" flipV="1">
                  <a:off x="10286902" y="1603135"/>
                  <a:ext cx="270716" cy="28494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191" name="Shape 27">
                <a:extLst>
                  <a:ext uri="{FF2B5EF4-FFF2-40B4-BE49-F238E27FC236}">
                    <a16:creationId xmlns:a16="http://schemas.microsoft.com/office/drawing/2014/main" id="{00000000-0008-0000-0300-0000BF000000}"/>
                  </a:ext>
                </a:extLst>
              </xdr:cNvPr>
              <xdr:cNvSpPr/>
            </xdr:nvSpPr>
            <xdr:spPr>
              <a:xfrm>
                <a:off x="9170863" y="4024347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2" name="Shape 27">
                <a:extLst>
                  <a:ext uri="{FF2B5EF4-FFF2-40B4-BE49-F238E27FC236}">
                    <a16:creationId xmlns:a16="http://schemas.microsoft.com/office/drawing/2014/main" id="{00000000-0008-0000-0300-0000C0000000}"/>
                  </a:ext>
                </a:extLst>
              </xdr:cNvPr>
              <xdr:cNvSpPr/>
            </xdr:nvSpPr>
            <xdr:spPr>
              <a:xfrm>
                <a:off x="9283328" y="4024989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3" name="Shape 27">
                <a:extLst>
                  <a:ext uri="{FF2B5EF4-FFF2-40B4-BE49-F238E27FC236}">
                    <a16:creationId xmlns:a16="http://schemas.microsoft.com/office/drawing/2014/main" id="{00000000-0008-0000-0300-0000C1000000}"/>
                  </a:ext>
                </a:extLst>
              </xdr:cNvPr>
              <xdr:cNvSpPr/>
            </xdr:nvSpPr>
            <xdr:spPr>
              <a:xfrm>
                <a:off x="9390981" y="4025631"/>
                <a:ext cx="74425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194" name="Shape 27">
                <a:extLst>
                  <a:ext uri="{FF2B5EF4-FFF2-40B4-BE49-F238E27FC236}">
                    <a16:creationId xmlns:a16="http://schemas.microsoft.com/office/drawing/2014/main" id="{00000000-0008-0000-0300-0000C2000000}"/>
                  </a:ext>
                </a:extLst>
              </xdr:cNvPr>
              <xdr:cNvSpPr/>
            </xdr:nvSpPr>
            <xdr:spPr>
              <a:xfrm>
                <a:off x="9497036" y="4024636"/>
                <a:ext cx="76023" cy="8122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chemeClr val="tx1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188" name="Elbow Connector 187">
              <a:extLst>
                <a:ext uri="{FF2B5EF4-FFF2-40B4-BE49-F238E27FC236}">
                  <a16:creationId xmlns:a16="http://schemas.microsoft.com/office/drawing/2014/main" id="{00000000-0008-0000-0300-0000BC000000}"/>
                </a:ext>
              </a:extLst>
            </xdr:cNvPr>
            <xdr:cNvCxnSpPr>
              <a:stCxn id="196" idx="3"/>
            </xdr:cNvCxnSpPr>
          </xdr:nvCxnSpPr>
          <xdr:spPr>
            <a:xfrm>
              <a:off x="10162348" y="4031581"/>
              <a:ext cx="251652" cy="807557"/>
            </a:xfrm>
            <a:prstGeom prst="bentConnector2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85" name="Elbow Connector 184">
            <a:extLst>
              <a:ext uri="{FF2B5EF4-FFF2-40B4-BE49-F238E27FC236}">
                <a16:creationId xmlns:a16="http://schemas.microsoft.com/office/drawing/2014/main" id="{00000000-0008-0000-0300-0000B9000000}"/>
              </a:ext>
            </a:extLst>
          </xdr:cNvPr>
          <xdr:cNvCxnSpPr/>
        </xdr:nvCxnSpPr>
        <xdr:spPr>
          <a:xfrm>
            <a:off x="6907649" y="4221491"/>
            <a:ext cx="3510730" cy="617647"/>
          </a:xfrm>
          <a:prstGeom prst="bentConnector3">
            <a:avLst>
              <a:gd name="adj1" fmla="val 40132"/>
            </a:avLst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6" name="Straight Connector 185">
            <a:extLst>
              <a:ext uri="{FF2B5EF4-FFF2-40B4-BE49-F238E27FC236}">
                <a16:creationId xmlns:a16="http://schemas.microsoft.com/office/drawing/2014/main" id="{00000000-0008-0000-0300-0000BA000000}"/>
              </a:ext>
            </a:extLst>
          </xdr:cNvPr>
          <xdr:cNvCxnSpPr>
            <a:cxnSpLocks/>
            <a:stCxn id="199" idx="1"/>
          </xdr:cNvCxnSpPr>
        </xdr:nvCxnSpPr>
        <xdr:spPr>
          <a:xfrm flipH="1">
            <a:off x="6900368" y="4027588"/>
            <a:ext cx="1737221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0</xdr:colOff>
      <xdr:row>40</xdr:row>
      <xdr:rowOff>189286</xdr:rowOff>
    </xdr:from>
    <xdr:to>
      <xdr:col>25</xdr:col>
      <xdr:colOff>105262</xdr:colOff>
      <xdr:row>40</xdr:row>
      <xdr:rowOff>189286</xdr:rowOff>
    </xdr:to>
    <xdr:cxnSp macro="">
      <xdr:nvCxnSpPr>
        <xdr:cNvPr id="201" name="Straight Connector 200">
          <a:extLst>
            <a:ext uri="{FF2B5EF4-FFF2-40B4-BE49-F238E27FC236}">
              <a16:creationId xmlns:a16="http://schemas.microsoft.com/office/drawing/2014/main" id="{00000000-0008-0000-0300-0000C9000000}"/>
            </a:ext>
          </a:extLst>
        </xdr:cNvPr>
        <xdr:cNvCxnSpPr/>
      </xdr:nvCxnSpPr>
      <xdr:spPr>
        <a:xfrm flipH="1">
          <a:off x="10731500" y="8317286"/>
          <a:ext cx="10011262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5396</xdr:colOff>
      <xdr:row>32</xdr:row>
      <xdr:rowOff>128417</xdr:rowOff>
    </xdr:from>
    <xdr:to>
      <xdr:col>13</xdr:col>
      <xdr:colOff>5396</xdr:colOff>
      <xdr:row>41</xdr:row>
      <xdr:rowOff>0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00000000-0008-0000-0300-0000CA000000}"/>
            </a:ext>
          </a:extLst>
        </xdr:cNvPr>
        <xdr:cNvCxnSpPr/>
      </xdr:nvCxnSpPr>
      <xdr:spPr>
        <a:xfrm>
          <a:off x="10736896" y="6630817"/>
          <a:ext cx="0" cy="1700383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139013</xdr:colOff>
      <xdr:row>24</xdr:row>
      <xdr:rowOff>0</xdr:rowOff>
    </xdr:from>
    <xdr:to>
      <xdr:col>61</xdr:col>
      <xdr:colOff>169333</xdr:colOff>
      <xdr:row>50</xdr:row>
      <xdr:rowOff>22577</xdr:rowOff>
    </xdr:to>
    <xdr:sp macro="" textlink="">
      <xdr:nvSpPr>
        <xdr:cNvPr id="209" name="Dash">
          <a:extLst>
            <a:ext uri="{FF2B5EF4-FFF2-40B4-BE49-F238E27FC236}">
              <a16:creationId xmlns:a16="http://schemas.microsoft.com/office/drawing/2014/main" id="{00000000-0008-0000-0300-0000D1000000}"/>
            </a:ext>
          </a:extLst>
        </xdr:cNvPr>
        <xdr:cNvSpPr/>
      </xdr:nvSpPr>
      <xdr:spPr>
        <a:xfrm>
          <a:off x="10807013" y="4876800"/>
          <a:ext cx="4856320" cy="5305777"/>
        </a:xfrm>
        <a:prstGeom prst="rect">
          <a:avLst/>
        </a:prstGeom>
        <a:noFill/>
        <a:ln w="6350">
          <a:solidFill>
            <a:schemeClr val="tx1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xdr:twoCellAnchor>
    <xdr:from>
      <xdr:col>60</xdr:col>
      <xdr:colOff>167103</xdr:colOff>
      <xdr:row>49</xdr:row>
      <xdr:rowOff>198977</xdr:rowOff>
    </xdr:from>
    <xdr:to>
      <xdr:col>62</xdr:col>
      <xdr:colOff>167102</xdr:colOff>
      <xdr:row>51</xdr:row>
      <xdr:rowOff>191934</xdr:rowOff>
    </xdr:to>
    <xdr:grpSp>
      <xdr:nvGrpSpPr>
        <xdr:cNvPr id="210" name="Group 209">
          <a:extLst>
            <a:ext uri="{FF2B5EF4-FFF2-40B4-BE49-F238E27FC236}">
              <a16:creationId xmlns:a16="http://schemas.microsoft.com/office/drawing/2014/main" id="{00000000-0008-0000-0300-0000D2000000}"/>
            </a:ext>
          </a:extLst>
        </xdr:cNvPr>
        <xdr:cNvGrpSpPr/>
      </xdr:nvGrpSpPr>
      <xdr:grpSpPr>
        <a:xfrm>
          <a:off x="15407103" y="10155777"/>
          <a:ext cx="507999" cy="399357"/>
          <a:chOff x="10160000" y="2820276"/>
          <a:chExt cx="508000" cy="401148"/>
        </a:xfrm>
      </xdr:grpSpPr>
      <xdr:grpSp>
        <xdr:nvGrpSpPr>
          <xdr:cNvPr id="211" name="Group 210">
            <a:extLst>
              <a:ext uri="{FF2B5EF4-FFF2-40B4-BE49-F238E27FC236}">
                <a16:creationId xmlns:a16="http://schemas.microsoft.com/office/drawing/2014/main" id="{00000000-0008-0000-0300-0000D3000000}"/>
              </a:ext>
            </a:extLst>
          </xdr:cNvPr>
          <xdr:cNvGrpSpPr/>
        </xdr:nvGrpSpPr>
        <xdr:grpSpPr>
          <a:xfrm>
            <a:off x="10160000" y="3021724"/>
            <a:ext cx="508000" cy="199700"/>
            <a:chOff x="10160000" y="3021724"/>
            <a:chExt cx="508000" cy="199700"/>
          </a:xfrm>
        </xdr:grpSpPr>
        <xdr:cxnSp macro="">
          <xdr:nvCxnSpPr>
            <xdr:cNvPr id="213" name="Straight Connector 212">
              <a:extLst>
                <a:ext uri="{FF2B5EF4-FFF2-40B4-BE49-F238E27FC236}">
                  <a16:creationId xmlns:a16="http://schemas.microsoft.com/office/drawing/2014/main" id="{00000000-0008-0000-0300-0000D5000000}"/>
                </a:ext>
              </a:extLst>
            </xdr:cNvPr>
            <xdr:cNvCxnSpPr/>
          </xdr:nvCxnSpPr>
          <xdr:spPr>
            <a:xfrm>
              <a:off x="10160000" y="3021724"/>
              <a:ext cx="508000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4" name="Straight Connector 213">
              <a:extLst>
                <a:ext uri="{FF2B5EF4-FFF2-40B4-BE49-F238E27FC236}">
                  <a16:creationId xmlns:a16="http://schemas.microsoft.com/office/drawing/2014/main" id="{00000000-0008-0000-0300-0000D6000000}"/>
                </a:ext>
              </a:extLst>
            </xdr:cNvPr>
            <xdr:cNvCxnSpPr/>
          </xdr:nvCxnSpPr>
          <xdr:spPr>
            <a:xfrm>
              <a:off x="10246713" y="3121576"/>
              <a:ext cx="333702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15" name="Straight Connector 214">
              <a:extLst>
                <a:ext uri="{FF2B5EF4-FFF2-40B4-BE49-F238E27FC236}">
                  <a16:creationId xmlns:a16="http://schemas.microsoft.com/office/drawing/2014/main" id="{00000000-0008-0000-0300-0000D7000000}"/>
                </a:ext>
              </a:extLst>
            </xdr:cNvPr>
            <xdr:cNvCxnSpPr/>
          </xdr:nvCxnSpPr>
          <xdr:spPr>
            <a:xfrm>
              <a:off x="10307143" y="3221424"/>
              <a:ext cx="216336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212" name="Straight Connector 211">
            <a:extLst>
              <a:ext uri="{FF2B5EF4-FFF2-40B4-BE49-F238E27FC236}">
                <a16:creationId xmlns:a16="http://schemas.microsoft.com/office/drawing/2014/main" id="{00000000-0008-0000-0300-0000D4000000}"/>
              </a:ext>
            </a:extLst>
          </xdr:cNvPr>
          <xdr:cNvCxnSpPr/>
        </xdr:nvCxnSpPr>
        <xdr:spPr>
          <a:xfrm flipV="1">
            <a:off x="10414000" y="2820276"/>
            <a:ext cx="0" cy="201448"/>
          </a:xfrm>
          <a:prstGeom prst="line">
            <a:avLst/>
          </a:prstGeom>
          <a:ln w="635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215900</xdr:colOff>
          <xdr:row>7</xdr:row>
          <xdr:rowOff>177800</xdr:rowOff>
        </xdr:from>
        <xdr:to>
          <xdr:col>31</xdr:col>
          <xdr:colOff>215900</xdr:colOff>
          <xdr:row>9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  <xdr:twoCellAnchor>
    <xdr:from>
      <xdr:col>8</xdr:col>
      <xdr:colOff>2559</xdr:colOff>
      <xdr:row>2</xdr:row>
      <xdr:rowOff>102568</xdr:rowOff>
    </xdr:from>
    <xdr:to>
      <xdr:col>10</xdr:col>
      <xdr:colOff>97881</xdr:colOff>
      <xdr:row>21</xdr:row>
      <xdr:rowOff>64456</xdr:rowOff>
    </xdr:to>
    <xdr:grpSp>
      <xdr:nvGrpSpPr>
        <xdr:cNvPr id="218" name="3PL">
          <a:extLst>
            <a:ext uri="{FF2B5EF4-FFF2-40B4-BE49-F238E27FC236}">
              <a16:creationId xmlns:a16="http://schemas.microsoft.com/office/drawing/2014/main" id="{00000000-0008-0000-0300-0000DA000000}"/>
            </a:ext>
          </a:extLst>
        </xdr:cNvPr>
        <xdr:cNvGrpSpPr/>
      </xdr:nvGrpSpPr>
      <xdr:grpSpPr>
        <a:xfrm>
          <a:off x="2034559" y="508968"/>
          <a:ext cx="603322" cy="3822688"/>
          <a:chOff x="10975311" y="1118934"/>
          <a:chExt cx="590576" cy="4001288"/>
        </a:xfrm>
      </xdr:grpSpPr>
      <xdr:grpSp>
        <xdr:nvGrpSpPr>
          <xdr:cNvPr id="219" name="Group 218">
            <a:extLst>
              <a:ext uri="{FF2B5EF4-FFF2-40B4-BE49-F238E27FC236}">
                <a16:creationId xmlns:a16="http://schemas.microsoft.com/office/drawing/2014/main" id="{00000000-0008-0000-0300-0000DB000000}"/>
              </a:ext>
            </a:extLst>
          </xdr:cNvPr>
          <xdr:cNvGrpSpPr/>
        </xdr:nvGrpSpPr>
        <xdr:grpSpPr>
          <a:xfrm>
            <a:off x="10975311" y="1118934"/>
            <a:ext cx="590576" cy="3157044"/>
            <a:chOff x="10975311" y="1118934"/>
            <a:chExt cx="590576" cy="3157044"/>
          </a:xfrm>
        </xdr:grpSpPr>
        <xdr:sp macro="" textlink="">
          <xdr:nvSpPr>
            <xdr:cNvPr id="227" name="Oval 226">
              <a:extLst>
                <a:ext uri="{FF2B5EF4-FFF2-40B4-BE49-F238E27FC236}">
                  <a16:creationId xmlns:a16="http://schemas.microsoft.com/office/drawing/2014/main" id="{00000000-0008-0000-0300-0000E3000000}"/>
                </a:ext>
              </a:extLst>
            </xdr:cNvPr>
            <xdr:cNvSpPr/>
          </xdr:nvSpPr>
          <xdr:spPr>
            <a:xfrm>
              <a:off x="10975311" y="2769957"/>
              <a:ext cx="590576" cy="590576"/>
            </a:xfrm>
            <a:prstGeom prst="ellipse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28" name="Shape 27">
              <a:extLst>
                <a:ext uri="{FF2B5EF4-FFF2-40B4-BE49-F238E27FC236}">
                  <a16:creationId xmlns:a16="http://schemas.microsoft.com/office/drawing/2014/main" id="{00000000-0008-0000-0300-0000E4000000}"/>
                </a:ext>
              </a:extLst>
            </xdr:cNvPr>
            <xdr:cNvSpPr/>
          </xdr:nvSpPr>
          <xdr:spPr>
            <a:xfrm>
              <a:off x="11222694" y="111893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9" name="Shape 22">
              <a:extLst>
                <a:ext uri="{FF2B5EF4-FFF2-40B4-BE49-F238E27FC236}">
                  <a16:creationId xmlns:a16="http://schemas.microsoft.com/office/drawing/2014/main" id="{00000000-0008-0000-0300-0000E5000000}"/>
                </a:ext>
              </a:extLst>
            </xdr:cNvPr>
            <xdr:cNvSpPr/>
          </xdr:nvSpPr>
          <xdr:spPr>
            <a:xfrm>
              <a:off x="11173983" y="2958107"/>
              <a:ext cx="229894" cy="214279"/>
            </a:xfrm>
            <a:prstGeom prst="rect">
              <a:avLst/>
            </a:prstGeom>
            <a:noFill/>
            <a:ln w="12700" cap="flat">
              <a:noFill/>
              <a:miter lim="400000"/>
            </a:ln>
            <a:effectLst/>
            <a:extLst>
              <a:ext uri="{C572A759-6A51-4108-AA02-DFA0A04FC94B}">
                <ma14:wrappingTextBoxFlag xmlns="" xmlns:ma14="http://schemas.microsoft.com/office/mac/drawingml/2011/main" val="1"/>
              </a:ext>
            </a:extLst>
          </xdr:spPr>
          <xdr:txBody>
            <a:bodyPr wrap="square" lIns="50800" tIns="50800" rIns="50800" bIns="50800" numCol="1" anchor="ctr">
              <a:noAutofit/>
            </a:bodyPr>
            <a:lstStyle/>
            <a:p>
              <a:pPr marL="0" marR="0" lvl="0" indent="0" algn="ctr" defTabSz="457200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</a:pPr>
              <a:r>
                <a:rPr sz="1400" b="1" i="0" u="none" strike="noStrike" cap="none" spc="0" baseline="0">
                  <a:ln>
                    <a:noFill/>
                  </a:ln>
                  <a:solidFill>
                    <a:srgbClr val="000000"/>
                  </a:solidFill>
                  <a:uFillTx/>
                  <a:latin typeface="+mn-lt"/>
                  <a:ea typeface="+mn-ea"/>
                  <a:cs typeface="+mn-cs"/>
                  <a:sym typeface="Helvetica"/>
                </a:rPr>
                <a:t>M</a:t>
              </a:r>
            </a:p>
          </xdr:txBody>
        </xdr:sp>
        <xdr:sp macro="" textlink="">
          <xdr:nvSpPr>
            <xdr:cNvPr id="230" name="Shape 27">
              <a:extLst>
                <a:ext uri="{FF2B5EF4-FFF2-40B4-BE49-F238E27FC236}">
                  <a16:creationId xmlns:a16="http://schemas.microsoft.com/office/drawing/2014/main" id="{00000000-0008-0000-0300-0000E6000000}"/>
                </a:ext>
              </a:extLst>
            </xdr:cNvPr>
            <xdr:cNvSpPr/>
          </xdr:nvSpPr>
          <xdr:spPr>
            <a:xfrm>
              <a:off x="11220477" y="3773914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1" name="Shape 27">
              <a:extLst>
                <a:ext uri="{FF2B5EF4-FFF2-40B4-BE49-F238E27FC236}">
                  <a16:creationId xmlns:a16="http://schemas.microsoft.com/office/drawing/2014/main" id="{00000000-0008-0000-0300-0000E7000000}"/>
                </a:ext>
              </a:extLst>
            </xdr:cNvPr>
            <xdr:cNvSpPr/>
          </xdr:nvSpPr>
          <xdr:spPr>
            <a:xfrm>
              <a:off x="11221315" y="4171951"/>
              <a:ext cx="99578" cy="10402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32" name="Shape 26">
              <a:extLst>
                <a:ext uri="{FF2B5EF4-FFF2-40B4-BE49-F238E27FC236}">
                  <a16:creationId xmlns:a16="http://schemas.microsoft.com/office/drawing/2014/main" id="{00000000-0008-0000-0300-0000E8000000}"/>
                </a:ext>
              </a:extLst>
            </xdr:cNvPr>
            <xdr:cNvSpPr/>
          </xdr:nvSpPr>
          <xdr:spPr>
            <a:xfrm flipH="1">
              <a:off x="11283191" y="3956253"/>
              <a:ext cx="230430" cy="214750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grpSp>
        <xdr:nvGrpSpPr>
          <xdr:cNvPr id="220" name="Group 219">
            <a:extLst>
              <a:ext uri="{FF2B5EF4-FFF2-40B4-BE49-F238E27FC236}">
                <a16:creationId xmlns:a16="http://schemas.microsoft.com/office/drawing/2014/main" id="{00000000-0008-0000-0300-0000DC000000}"/>
              </a:ext>
            </a:extLst>
          </xdr:cNvPr>
          <xdr:cNvGrpSpPr/>
        </xdr:nvGrpSpPr>
        <xdr:grpSpPr>
          <a:xfrm>
            <a:off x="11022345" y="1228189"/>
            <a:ext cx="502566" cy="3892033"/>
            <a:chOff x="11022345" y="1228189"/>
            <a:chExt cx="502566" cy="3892033"/>
          </a:xfrm>
        </xdr:grpSpPr>
        <xdr:sp macro="" textlink="">
          <xdr:nvSpPr>
            <xdr:cNvPr id="221" name="Shape 18">
              <a:extLst>
                <a:ext uri="{FF2B5EF4-FFF2-40B4-BE49-F238E27FC236}">
                  <a16:creationId xmlns:a16="http://schemas.microsoft.com/office/drawing/2014/main" id="{00000000-0008-0000-0300-0000DD000000}"/>
                </a:ext>
              </a:extLst>
            </xdr:cNvPr>
            <xdr:cNvSpPr/>
          </xdr:nvSpPr>
          <xdr:spPr>
            <a:xfrm>
              <a:off x="11267984" y="4275144"/>
              <a:ext cx="0" cy="844241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22" name="Shape 18">
              <a:extLst>
                <a:ext uri="{FF2B5EF4-FFF2-40B4-BE49-F238E27FC236}">
                  <a16:creationId xmlns:a16="http://schemas.microsoft.com/office/drawing/2014/main" id="{00000000-0008-0000-0300-0000DE000000}"/>
                </a:ext>
              </a:extLst>
            </xdr:cNvPr>
            <xdr:cNvSpPr/>
          </xdr:nvSpPr>
          <xdr:spPr>
            <a:xfrm>
              <a:off x="11524911" y="4688862"/>
              <a:ext cx="0" cy="431360"/>
            </a:xfrm>
            <a:prstGeom prst="line">
              <a:avLst/>
            </a:prstGeom>
            <a:noFill/>
            <a:ln w="6350" cap="flat">
              <a:solidFill>
                <a:srgbClr val="000000"/>
              </a:solidFill>
              <a:prstDash val="solid"/>
              <a:miter lim="400000"/>
              <a:tailEnd type="triangle" w="med" len="med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cxnSp macro="">
          <xdr:nvCxnSpPr>
            <xdr:cNvPr id="223" name="Straight Connector 222">
              <a:extLst>
                <a:ext uri="{FF2B5EF4-FFF2-40B4-BE49-F238E27FC236}">
                  <a16:creationId xmlns:a16="http://schemas.microsoft.com/office/drawing/2014/main" id="{00000000-0008-0000-0300-0000DF000000}"/>
                </a:ext>
              </a:extLst>
            </xdr:cNvPr>
            <xdr:cNvCxnSpPr/>
          </xdr:nvCxnSpPr>
          <xdr:spPr>
            <a:xfrm>
              <a:off x="11267984" y="1228189"/>
              <a:ext cx="1" cy="154177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4" name="Straight Connector 223">
              <a:extLst>
                <a:ext uri="{FF2B5EF4-FFF2-40B4-BE49-F238E27FC236}">
                  <a16:creationId xmlns:a16="http://schemas.microsoft.com/office/drawing/2014/main" id="{00000000-0008-0000-0300-0000E0000000}"/>
                </a:ext>
              </a:extLst>
            </xdr:cNvPr>
            <xdr:cNvCxnSpPr/>
          </xdr:nvCxnSpPr>
          <xdr:spPr>
            <a:xfrm>
              <a:off x="11268821" y="3361371"/>
              <a:ext cx="0" cy="417271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25" name="Straight Connector 224">
              <a:extLst>
                <a:ext uri="{FF2B5EF4-FFF2-40B4-BE49-F238E27FC236}">
                  <a16:creationId xmlns:a16="http://schemas.microsoft.com/office/drawing/2014/main" id="{00000000-0008-0000-0300-0000E1000000}"/>
                </a:ext>
              </a:extLst>
            </xdr:cNvPr>
            <xdr:cNvCxnSpPr>
              <a:endCxn id="222" idx="0"/>
            </xdr:cNvCxnSpPr>
          </xdr:nvCxnSpPr>
          <xdr:spPr>
            <a:xfrm>
              <a:off x="11267984" y="4688862"/>
              <a:ext cx="256927" cy="0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26" name="Rectangle 225">
              <a:extLst>
                <a:ext uri="{FF2B5EF4-FFF2-40B4-BE49-F238E27FC236}">
                  <a16:creationId xmlns:a16="http://schemas.microsoft.com/office/drawing/2014/main" id="{00000000-0008-0000-0300-0000E2000000}"/>
                </a:ext>
              </a:extLst>
            </xdr:cNvPr>
            <xdr:cNvSpPr/>
          </xdr:nvSpPr>
          <xdr:spPr>
            <a:xfrm>
              <a:off x="11022345" y="1630618"/>
              <a:ext cx="501729" cy="820535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</xdr:grpSp>
    </xdr:grpSp>
    <xdr:clientData/>
  </xdr:twoCellAnchor>
  <xdr:twoCellAnchor>
    <xdr:from>
      <xdr:col>13</xdr:col>
      <xdr:colOff>6865</xdr:colOff>
      <xdr:row>25</xdr:row>
      <xdr:rowOff>135466</xdr:rowOff>
    </xdr:from>
    <xdr:to>
      <xdr:col>13</xdr:col>
      <xdr:colOff>6865</xdr:colOff>
      <xdr:row>29</xdr:row>
      <xdr:rowOff>84667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00000000-0008-0000-0300-0000F4000000}"/>
            </a:ext>
          </a:extLst>
        </xdr:cNvPr>
        <xdr:cNvCxnSpPr/>
      </xdr:nvCxnSpPr>
      <xdr:spPr>
        <a:xfrm>
          <a:off x="3308865" y="5215466"/>
          <a:ext cx="0" cy="762001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35</xdr:row>
      <xdr:rowOff>57729</xdr:rowOff>
    </xdr:from>
    <xdr:to>
      <xdr:col>13</xdr:col>
      <xdr:colOff>137450</xdr:colOff>
      <xdr:row>36</xdr:row>
      <xdr:rowOff>43861</xdr:rowOff>
    </xdr:to>
    <xdr:cxnSp macro="">
      <xdr:nvCxnSpPr>
        <xdr:cNvPr id="246" name="2P">
          <a:extLst>
            <a:ext uri="{FF2B5EF4-FFF2-40B4-BE49-F238E27FC236}">
              <a16:creationId xmlns:a16="http://schemas.microsoft.com/office/drawing/2014/main" id="{00000000-0008-0000-0300-0000F6000000}"/>
            </a:ext>
          </a:extLst>
        </xdr:cNvPr>
        <xdr:cNvCxnSpPr/>
      </xdr:nvCxnSpPr>
      <xdr:spPr>
        <a:xfrm flipH="1">
          <a:off x="3188855" y="7169729"/>
          <a:ext cx="250595" cy="189332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140855</xdr:colOff>
      <xdr:row>22</xdr:row>
      <xdr:rowOff>193196</xdr:rowOff>
    </xdr:from>
    <xdr:to>
      <xdr:col>13</xdr:col>
      <xdr:colOff>137450</xdr:colOff>
      <xdr:row>24</xdr:row>
      <xdr:rowOff>72098</xdr:rowOff>
    </xdr:to>
    <xdr:grpSp>
      <xdr:nvGrpSpPr>
        <xdr:cNvPr id="4" name="3PCables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188855" y="4663596"/>
          <a:ext cx="250595" cy="285302"/>
          <a:chOff x="3142673" y="4638196"/>
          <a:chExt cx="246747" cy="282993"/>
        </a:xfrm>
      </xdr:grpSpPr>
      <xdr:cxnSp macro="">
        <xdr:nvCxnSpPr>
          <xdr:cNvPr id="248" name="2P">
            <a:extLst>
              <a:ext uri="{FF2B5EF4-FFF2-40B4-BE49-F238E27FC236}">
                <a16:creationId xmlns:a16="http://schemas.microsoft.com/office/drawing/2014/main" id="{00000000-0008-0000-0300-0000F8000000}"/>
              </a:ext>
            </a:extLst>
          </xdr:cNvPr>
          <xdr:cNvCxnSpPr/>
        </xdr:nvCxnSpPr>
        <xdr:spPr>
          <a:xfrm flipH="1">
            <a:off x="3142673" y="4638196"/>
            <a:ext cx="246747" cy="188177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9" name="3P">
            <a:extLst>
              <a:ext uri="{FF2B5EF4-FFF2-40B4-BE49-F238E27FC236}">
                <a16:creationId xmlns:a16="http://schemas.microsoft.com/office/drawing/2014/main" id="{00000000-0008-0000-0300-0000F9000000}"/>
              </a:ext>
            </a:extLst>
          </xdr:cNvPr>
          <xdr:cNvCxnSpPr/>
        </xdr:nvCxnSpPr>
        <xdr:spPr>
          <a:xfrm flipH="1">
            <a:off x="3142673" y="4738988"/>
            <a:ext cx="246747" cy="18220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136249</xdr:colOff>
      <xdr:row>22</xdr:row>
      <xdr:rowOff>86951</xdr:rowOff>
    </xdr:from>
    <xdr:to>
      <xdr:col>13</xdr:col>
      <xdr:colOff>132844</xdr:colOff>
      <xdr:row>23</xdr:row>
      <xdr:rowOff>67382</xdr:rowOff>
    </xdr:to>
    <xdr:cxnSp macro="">
      <xdr:nvCxnSpPr>
        <xdr:cNvPr id="251" name="3P">
          <a:extLst>
            <a:ext uri="{FF2B5EF4-FFF2-40B4-BE49-F238E27FC236}">
              <a16:creationId xmlns:a16="http://schemas.microsoft.com/office/drawing/2014/main" id="{00000000-0008-0000-0300-0000FB000000}"/>
            </a:ext>
          </a:extLst>
        </xdr:cNvPr>
        <xdr:cNvCxnSpPr/>
      </xdr:nvCxnSpPr>
      <xdr:spPr>
        <a:xfrm flipH="1">
          <a:off x="3184249" y="4658951"/>
          <a:ext cx="250595" cy="18824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241434</xdr:colOff>
      <xdr:row>25</xdr:row>
      <xdr:rowOff>149346</xdr:rowOff>
    </xdr:from>
    <xdr:to>
      <xdr:col>16</xdr:col>
      <xdr:colOff>241434</xdr:colOff>
      <xdr:row>29</xdr:row>
      <xdr:rowOff>98547</xdr:rowOff>
    </xdr:to>
    <xdr:cxnSp macro="">
      <xdr:nvCxnSpPr>
        <xdr:cNvPr id="252" name="Straight Connector 251">
          <a:extLst>
            <a:ext uri="{FF2B5EF4-FFF2-40B4-BE49-F238E27FC236}">
              <a16:creationId xmlns:a16="http://schemas.microsoft.com/office/drawing/2014/main" id="{00000000-0008-0000-0300-0000FC000000}"/>
            </a:ext>
          </a:extLst>
        </xdr:cNvPr>
        <xdr:cNvCxnSpPr/>
      </xdr:nvCxnSpPr>
      <xdr:spPr>
        <a:xfrm>
          <a:off x="4349849" y="5180767"/>
          <a:ext cx="0" cy="754228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193476</xdr:colOff>
      <xdr:row>29</xdr:row>
      <xdr:rowOff>90255</xdr:rowOff>
    </xdr:from>
    <xdr:to>
      <xdr:col>17</xdr:col>
      <xdr:colOff>208700</xdr:colOff>
      <xdr:row>32</xdr:row>
      <xdr:rowOff>124049</xdr:rowOff>
    </xdr:to>
    <xdr:grpSp>
      <xdr:nvGrpSpPr>
        <xdr:cNvPr id="253" name="Group 252">
          <a:extLst>
            <a:ext uri="{FF2B5EF4-FFF2-40B4-BE49-F238E27FC236}">
              <a16:creationId xmlns:a16="http://schemas.microsoft.com/office/drawing/2014/main" id="{00000000-0008-0000-0300-0000FD000000}"/>
            </a:ext>
          </a:extLst>
        </xdr:cNvPr>
        <xdr:cNvGrpSpPr/>
      </xdr:nvGrpSpPr>
      <xdr:grpSpPr>
        <a:xfrm>
          <a:off x="4257476" y="5983055"/>
          <a:ext cx="269224" cy="643394"/>
          <a:chOff x="3291679" y="5440218"/>
          <a:chExt cx="275787" cy="639287"/>
        </a:xfrm>
      </xdr:grpSpPr>
      <xdr:grpSp>
        <xdr:nvGrpSpPr>
          <xdr:cNvPr id="254" name="Group 253">
            <a:extLst>
              <a:ext uri="{FF2B5EF4-FFF2-40B4-BE49-F238E27FC236}">
                <a16:creationId xmlns:a16="http://schemas.microsoft.com/office/drawing/2014/main" id="{00000000-0008-0000-0300-0000FE000000}"/>
              </a:ext>
            </a:extLst>
          </xdr:cNvPr>
          <xdr:cNvGrpSpPr/>
        </xdr:nvGrpSpPr>
        <xdr:grpSpPr>
          <a:xfrm>
            <a:off x="3291679" y="5440218"/>
            <a:ext cx="275787" cy="318559"/>
            <a:chOff x="3291679" y="5440218"/>
            <a:chExt cx="275787" cy="318559"/>
          </a:xfrm>
        </xdr:grpSpPr>
        <xdr:sp macro="" textlink="">
          <xdr:nvSpPr>
            <xdr:cNvPr id="256" name="Shape 27">
              <a:extLst>
                <a:ext uri="{FF2B5EF4-FFF2-40B4-BE49-F238E27FC236}">
                  <a16:creationId xmlns:a16="http://schemas.microsoft.com/office/drawing/2014/main" id="{00000000-0008-0000-0300-000000010000}"/>
                </a:ext>
              </a:extLst>
            </xdr:cNvPr>
            <xdr:cNvSpPr/>
          </xdr:nvSpPr>
          <xdr:spPr>
            <a:xfrm>
              <a:off x="3291679" y="5440218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7" name="Shape 27">
              <a:extLst>
                <a:ext uri="{FF2B5EF4-FFF2-40B4-BE49-F238E27FC236}">
                  <a16:creationId xmlns:a16="http://schemas.microsoft.com/office/drawing/2014/main" id="{00000000-0008-0000-0300-000001010000}"/>
                </a:ext>
              </a:extLst>
            </xdr:cNvPr>
            <xdr:cNvSpPr/>
          </xdr:nvSpPr>
          <xdr:spPr>
            <a:xfrm>
              <a:off x="3292522" y="5659090"/>
              <a:ext cx="100174" cy="99687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12700" cap="flat">
              <a:solidFill>
                <a:srgbClr val="53585F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58" name="Shape 26">
              <a:extLst>
                <a:ext uri="{FF2B5EF4-FFF2-40B4-BE49-F238E27FC236}">
                  <a16:creationId xmlns:a16="http://schemas.microsoft.com/office/drawing/2014/main" id="{00000000-0008-0000-0300-000002010000}"/>
                </a:ext>
              </a:extLst>
            </xdr:cNvPr>
            <xdr:cNvSpPr/>
          </xdr:nvSpPr>
          <xdr:spPr>
            <a:xfrm flipH="1">
              <a:off x="3354767" y="5472735"/>
              <a:ext cx="212699" cy="188825"/>
            </a:xfrm>
            <a:prstGeom prst="line">
              <a:avLst/>
            </a:prstGeom>
            <a:noFill/>
            <a:ln w="9525" cap="flat">
              <a:solidFill>
                <a:srgbClr val="000000"/>
              </a:solidFill>
              <a:prstDash val="solid"/>
              <a:round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55" name="Straight Connector 254">
            <a:extLst>
              <a:ext uri="{FF2B5EF4-FFF2-40B4-BE49-F238E27FC236}">
                <a16:creationId xmlns:a16="http://schemas.microsoft.com/office/drawing/2014/main" id="{00000000-0008-0000-0300-0000FF000000}"/>
              </a:ext>
            </a:extLst>
          </xdr:cNvPr>
          <xdr:cNvCxnSpPr/>
        </xdr:nvCxnSpPr>
        <xdr:spPr>
          <a:xfrm>
            <a:off x="3340311" y="5762003"/>
            <a:ext cx="0" cy="317502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237705</xdr:colOff>
      <xdr:row>32</xdr:row>
      <xdr:rowOff>124030</xdr:rowOff>
    </xdr:from>
    <xdr:to>
      <xdr:col>16</xdr:col>
      <xdr:colOff>237705</xdr:colOff>
      <xdr:row>33</xdr:row>
      <xdr:rowOff>125813</xdr:rowOff>
    </xdr:to>
    <xdr:sp macro="" textlink="">
      <xdr:nvSpPr>
        <xdr:cNvPr id="259" name="Shape 18">
          <a:extLst>
            <a:ext uri="{FF2B5EF4-FFF2-40B4-BE49-F238E27FC236}">
              <a16:creationId xmlns:a16="http://schemas.microsoft.com/office/drawing/2014/main" id="{00000000-0008-0000-0300-000003010000}"/>
            </a:ext>
          </a:extLst>
        </xdr:cNvPr>
        <xdr:cNvSpPr/>
      </xdr:nvSpPr>
      <xdr:spPr>
        <a:xfrm flipH="1">
          <a:off x="4262439" y="6602871"/>
          <a:ext cx="0" cy="204246"/>
        </a:xfrm>
        <a:prstGeom prst="line">
          <a:avLst/>
        </a:prstGeom>
        <a:noFill/>
        <a:ln w="6350" cap="flat">
          <a:solidFill>
            <a:srgbClr val="000000"/>
          </a:solidFill>
          <a:prstDash val="solid"/>
          <a:miter lim="400000"/>
          <a:tailEnd type="triangle" w="med" len="med"/>
        </a:ln>
        <a:effectLst/>
      </xdr:spPr>
      <xdr:txBody>
        <a:bodyPr/>
        <a:lstStyle/>
        <a:p>
          <a:pPr lvl="0"/>
          <a:endParaRPr/>
        </a:p>
      </xdr:txBody>
    </xdr:sp>
    <xdr:clientData/>
  </xdr:twoCellAnchor>
  <xdr:twoCellAnchor>
    <xdr:from>
      <xdr:col>8</xdr:col>
      <xdr:colOff>0</xdr:colOff>
      <xdr:row>17</xdr:row>
      <xdr:rowOff>84667</xdr:rowOff>
    </xdr:from>
    <xdr:to>
      <xdr:col>18</xdr:col>
      <xdr:colOff>25630</xdr:colOff>
      <xdr:row>18</xdr:row>
      <xdr:rowOff>102268</xdr:rowOff>
    </xdr:to>
    <xdr:grpSp>
      <xdr:nvGrpSpPr>
        <xdr:cNvPr id="234" name="CONS3P">
          <a:extLst>
            <a:ext uri="{FF2B5EF4-FFF2-40B4-BE49-F238E27FC236}">
              <a16:creationId xmlns:a16="http://schemas.microsoft.com/office/drawing/2014/main" id="{00000000-0008-0000-0300-0000EA000000}"/>
            </a:ext>
          </a:extLst>
        </xdr:cNvPr>
        <xdr:cNvGrpSpPr/>
      </xdr:nvGrpSpPr>
      <xdr:grpSpPr>
        <a:xfrm>
          <a:off x="2032000" y="3539067"/>
          <a:ext cx="2565630" cy="220801"/>
          <a:chOff x="2006600" y="3606800"/>
          <a:chExt cx="2626369" cy="216936"/>
        </a:xfrm>
      </xdr:grpSpPr>
      <xdr:sp macro="" textlink="">
        <xdr:nvSpPr>
          <xdr:cNvPr id="235" name="bo">
            <a:extLst>
              <a:ext uri="{FF2B5EF4-FFF2-40B4-BE49-F238E27FC236}">
                <a16:creationId xmlns:a16="http://schemas.microsoft.com/office/drawing/2014/main" id="{00000000-0008-0000-0300-0000EB000000}"/>
              </a:ext>
            </a:extLst>
          </xdr:cNvPr>
          <xdr:cNvSpPr/>
        </xdr:nvSpPr>
        <xdr:spPr>
          <a:xfrm>
            <a:off x="4140200" y="36195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36" name="boxdash1">
            <a:extLst>
              <a:ext uri="{FF2B5EF4-FFF2-40B4-BE49-F238E27FC236}">
                <a16:creationId xmlns:a16="http://schemas.microsoft.com/office/drawing/2014/main" id="{00000000-0008-0000-0300-0000EC000000}"/>
              </a:ext>
            </a:extLst>
          </xdr:cNvPr>
          <xdr:cNvSpPr/>
        </xdr:nvSpPr>
        <xdr:spPr>
          <a:xfrm>
            <a:off x="2006600" y="3606800"/>
            <a:ext cx="492769" cy="204236"/>
          </a:xfrm>
          <a:prstGeom prst="rect">
            <a:avLst/>
          </a:prstGeom>
          <a:noFill/>
          <a:ln w="6350">
            <a:solidFill>
              <a:schemeClr val="tx1"/>
            </a:solidFill>
            <a:prstDash val="lgDashDot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37" name="Straight Connector 236">
            <a:extLst>
              <a:ext uri="{FF2B5EF4-FFF2-40B4-BE49-F238E27FC236}">
                <a16:creationId xmlns:a16="http://schemas.microsoft.com/office/drawing/2014/main" id="{00000000-0008-0000-0300-0000ED000000}"/>
              </a:ext>
            </a:extLst>
          </xdr:cNvPr>
          <xdr:cNvCxnSpPr/>
        </xdr:nvCxnSpPr>
        <xdr:spPr>
          <a:xfrm>
            <a:off x="2288218" y="3817462"/>
            <a:ext cx="2080582" cy="0"/>
          </a:xfrm>
          <a:prstGeom prst="line">
            <a:avLst/>
          </a:prstGeom>
          <a:ln>
            <a:solidFill>
              <a:schemeClr val="tx1"/>
            </a:solidFill>
            <a:prstDash val="lgDashDotDot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152400</xdr:colOff>
      <xdr:row>35</xdr:row>
      <xdr:rowOff>152400</xdr:rowOff>
    </xdr:from>
    <xdr:to>
      <xdr:col>13</xdr:col>
      <xdr:colOff>143473</xdr:colOff>
      <xdr:row>37</xdr:row>
      <xdr:rowOff>36188</xdr:rowOff>
    </xdr:to>
    <xdr:grpSp>
      <xdr:nvGrpSpPr>
        <xdr:cNvPr id="238" name="3PInv">
          <a:extLst>
            <a:ext uri="{FF2B5EF4-FFF2-40B4-BE49-F238E27FC236}">
              <a16:creationId xmlns:a16="http://schemas.microsoft.com/office/drawing/2014/main" id="{00000000-0008-0000-0300-0000EE000000}"/>
            </a:ext>
          </a:extLst>
        </xdr:cNvPr>
        <xdr:cNvGrpSpPr/>
      </xdr:nvGrpSpPr>
      <xdr:grpSpPr>
        <a:xfrm>
          <a:off x="3200400" y="7264400"/>
          <a:ext cx="245073" cy="290188"/>
          <a:chOff x="3200401" y="7248667"/>
          <a:chExt cx="250595" cy="282458"/>
        </a:xfrm>
      </xdr:grpSpPr>
      <xdr:cxnSp macro="">
        <xdr:nvCxnSpPr>
          <xdr:cNvPr id="239" name="2P">
            <a:extLst>
              <a:ext uri="{FF2B5EF4-FFF2-40B4-BE49-F238E27FC236}">
                <a16:creationId xmlns:a16="http://schemas.microsoft.com/office/drawing/2014/main" id="{00000000-0008-0000-0300-0000EF000000}"/>
              </a:ext>
            </a:extLst>
          </xdr:cNvPr>
          <xdr:cNvCxnSpPr/>
        </xdr:nvCxnSpPr>
        <xdr:spPr>
          <a:xfrm flipH="1">
            <a:off x="3200401" y="7248667"/>
            <a:ext cx="250595" cy="189080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40" name="3P">
            <a:extLst>
              <a:ext uri="{FF2B5EF4-FFF2-40B4-BE49-F238E27FC236}">
                <a16:creationId xmlns:a16="http://schemas.microsoft.com/office/drawing/2014/main" id="{00000000-0008-0000-0300-0000F0000000}"/>
              </a:ext>
            </a:extLst>
          </xdr:cNvPr>
          <xdr:cNvCxnSpPr/>
        </xdr:nvCxnSpPr>
        <xdr:spPr>
          <a:xfrm flipH="1">
            <a:off x="3200401" y="7348172"/>
            <a:ext cx="250595" cy="182953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48</xdr:col>
      <xdr:colOff>140619</xdr:colOff>
      <xdr:row>24</xdr:row>
      <xdr:rowOff>186268</xdr:rowOff>
    </xdr:from>
    <xdr:to>
      <xdr:col>59</xdr:col>
      <xdr:colOff>73821</xdr:colOff>
      <xdr:row>37</xdr:row>
      <xdr:rowOff>27416</xdr:rowOff>
    </xdr:to>
    <xdr:grpSp>
      <xdr:nvGrpSpPr>
        <xdr:cNvPr id="241" name="Parra.A">
          <a:extLst>
            <a:ext uri="{FF2B5EF4-FFF2-40B4-BE49-F238E27FC236}">
              <a16:creationId xmlns:a16="http://schemas.microsoft.com/office/drawing/2014/main" id="{00000000-0008-0000-0300-0000F1000000}"/>
            </a:ext>
          </a:extLst>
        </xdr:cNvPr>
        <xdr:cNvGrpSpPr/>
      </xdr:nvGrpSpPr>
      <xdr:grpSpPr>
        <a:xfrm>
          <a:off x="12332619" y="5063068"/>
          <a:ext cx="2727202" cy="2482748"/>
          <a:chOff x="12083808" y="1681201"/>
          <a:chExt cx="2787353" cy="2508138"/>
        </a:xfrm>
      </xdr:grpSpPr>
      <xdr:grpSp>
        <xdr:nvGrpSpPr>
          <xdr:cNvPr id="242" name="Group 241">
            <a:extLst>
              <a:ext uri="{FF2B5EF4-FFF2-40B4-BE49-F238E27FC236}">
                <a16:creationId xmlns:a16="http://schemas.microsoft.com/office/drawing/2014/main" id="{00000000-0008-0000-0300-0000F2000000}"/>
              </a:ext>
            </a:extLst>
          </xdr:cNvPr>
          <xdr:cNvGrpSpPr/>
        </xdr:nvGrpSpPr>
        <xdr:grpSpPr>
          <a:xfrm>
            <a:off x="12083808" y="1681201"/>
            <a:ext cx="2785223" cy="2508138"/>
            <a:chOff x="8135888" y="6041149"/>
            <a:chExt cx="2785236" cy="2340562"/>
          </a:xfrm>
        </xdr:grpSpPr>
        <xdr:grpSp>
          <xdr:nvGrpSpPr>
            <xdr:cNvPr id="245" name="Group 244">
              <a:extLst>
                <a:ext uri="{FF2B5EF4-FFF2-40B4-BE49-F238E27FC236}">
                  <a16:creationId xmlns:a16="http://schemas.microsoft.com/office/drawing/2014/main" id="{00000000-0008-0000-0300-0000F5000000}"/>
                </a:ext>
              </a:extLst>
            </xdr:cNvPr>
            <xdr:cNvGrpSpPr/>
          </xdr:nvGrpSpPr>
          <xdr:grpSpPr>
            <a:xfrm>
              <a:off x="8162425" y="6041149"/>
              <a:ext cx="2758699" cy="1214493"/>
              <a:chOff x="7655301" y="3624645"/>
              <a:chExt cx="2758699" cy="1214493"/>
            </a:xfrm>
          </xdr:grpSpPr>
          <xdr:grpSp>
            <xdr:nvGrpSpPr>
              <xdr:cNvPr id="262" name="Group 261">
                <a:extLst>
                  <a:ext uri="{FF2B5EF4-FFF2-40B4-BE49-F238E27FC236}">
                    <a16:creationId xmlns:a16="http://schemas.microsoft.com/office/drawing/2014/main" id="{00000000-0008-0000-0300-000006010000}"/>
                  </a:ext>
                </a:extLst>
              </xdr:cNvPr>
              <xdr:cNvGrpSpPr/>
            </xdr:nvGrpSpPr>
            <xdr:grpSpPr>
              <a:xfrm>
                <a:off x="8637589" y="3624645"/>
                <a:ext cx="1776411" cy="1214493"/>
                <a:chOff x="8637589" y="3624645"/>
                <a:chExt cx="1776411" cy="1214493"/>
              </a:xfrm>
            </xdr:grpSpPr>
            <xdr:grpSp>
              <xdr:nvGrpSpPr>
                <xdr:cNvPr id="264" name="Group 263">
                  <a:extLst>
                    <a:ext uri="{FF2B5EF4-FFF2-40B4-BE49-F238E27FC236}">
                      <a16:creationId xmlns:a16="http://schemas.microsoft.com/office/drawing/2014/main" id="{00000000-0008-0000-0300-000008010000}"/>
                    </a:ext>
                  </a:extLst>
                </xdr:cNvPr>
                <xdr:cNvGrpSpPr/>
              </xdr:nvGrpSpPr>
              <xdr:grpSpPr>
                <a:xfrm>
                  <a:off x="8637589" y="3624645"/>
                  <a:ext cx="1536437" cy="808476"/>
                  <a:chOff x="8637589" y="3654424"/>
                  <a:chExt cx="1536437" cy="817235"/>
                </a:xfrm>
              </xdr:grpSpPr>
              <xdr:grpSp>
                <xdr:nvGrpSpPr>
                  <xdr:cNvPr id="266" name="Group 265">
                    <a:extLst>
                      <a:ext uri="{FF2B5EF4-FFF2-40B4-BE49-F238E27FC236}">
                        <a16:creationId xmlns:a16="http://schemas.microsoft.com/office/drawing/2014/main" id="{00000000-0008-0000-0300-00000A010000}"/>
                      </a:ext>
                    </a:extLst>
                  </xdr:cNvPr>
                  <xdr:cNvGrpSpPr/>
                </xdr:nvGrpSpPr>
                <xdr:grpSpPr>
                  <a:xfrm>
                    <a:off x="8637589" y="3654424"/>
                    <a:ext cx="521025" cy="811443"/>
                    <a:chOff x="10048174" y="1594350"/>
                    <a:chExt cx="525820" cy="800858"/>
                  </a:xfrm>
                </xdr:grpSpPr>
                <xdr:sp macro="" textlink="">
                  <xdr:nvSpPr>
                    <xdr:cNvPr id="275" name="Shape 46">
                      <a:extLst>
                        <a:ext uri="{FF2B5EF4-FFF2-40B4-BE49-F238E27FC236}">
                          <a16:creationId xmlns:a16="http://schemas.microsoft.com/office/drawing/2014/main" id="{00000000-0008-0000-0300-000013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4350"/>
                      <a:ext cx="254725" cy="294558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6" name="Rectangle 275">
                      <a:extLst>
                        <a:ext uri="{FF2B5EF4-FFF2-40B4-BE49-F238E27FC236}">
                          <a16:creationId xmlns:a16="http://schemas.microsoft.com/office/drawing/2014/main" id="{00000000-0008-0000-0300-000014010000}"/>
                        </a:ext>
                      </a:extLst>
                    </xdr:cNvPr>
                    <xdr:cNvSpPr/>
                  </xdr:nvSpPr>
                  <xdr:spPr>
                    <a:xfrm>
                      <a:off x="10048174" y="159748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7" name="Shape 46">
                      <a:extLst>
                        <a:ext uri="{FF2B5EF4-FFF2-40B4-BE49-F238E27FC236}">
                          <a16:creationId xmlns:a16="http://schemas.microsoft.com/office/drawing/2014/main" id="{00000000-0008-0000-0300-000015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98614" y="1602768"/>
                      <a:ext cx="264734" cy="286026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grpSp>
                <xdr:nvGrpSpPr>
                  <xdr:cNvPr id="267" name="Group 266">
                    <a:extLst>
                      <a:ext uri="{FF2B5EF4-FFF2-40B4-BE49-F238E27FC236}">
                        <a16:creationId xmlns:a16="http://schemas.microsoft.com/office/drawing/2014/main" id="{00000000-0008-0000-0300-00000B010000}"/>
                      </a:ext>
                    </a:extLst>
                  </xdr:cNvPr>
                  <xdr:cNvGrpSpPr/>
                </xdr:nvGrpSpPr>
                <xdr:grpSpPr>
                  <a:xfrm>
                    <a:off x="9654262" y="3659876"/>
                    <a:ext cx="519764" cy="811783"/>
                    <a:chOff x="10041786" y="1591243"/>
                    <a:chExt cx="522944" cy="797725"/>
                  </a:xfrm>
                </xdr:grpSpPr>
                <xdr:sp macro="" textlink="">
                  <xdr:nvSpPr>
                    <xdr:cNvPr id="272" name="Shape 46">
                      <a:extLst>
                        <a:ext uri="{FF2B5EF4-FFF2-40B4-BE49-F238E27FC236}">
                          <a16:creationId xmlns:a16="http://schemas.microsoft.com/office/drawing/2014/main" id="{00000000-0008-0000-0300-000010010000}"/>
                        </a:ext>
                      </a:extLst>
                    </xdr:cNvPr>
                    <xdr:cNvSpPr/>
                  </xdr:nvSpPr>
                  <xdr:spPr>
                    <a:xfrm flipH="1" flipV="1">
                      <a:off x="10048175" y="1591243"/>
                      <a:ext cx="246889" cy="300404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  <xdr:sp macro="" textlink="">
                  <xdr:nvSpPr>
                    <xdr:cNvPr id="273" name="Rectangle 272">
                      <a:extLst>
                        <a:ext uri="{FF2B5EF4-FFF2-40B4-BE49-F238E27FC236}">
                          <a16:creationId xmlns:a16="http://schemas.microsoft.com/office/drawing/2014/main" id="{00000000-0008-0000-0300-000011010000}"/>
                        </a:ext>
                      </a:extLst>
                    </xdr:cNvPr>
                    <xdr:cNvSpPr/>
                  </xdr:nvSpPr>
                  <xdr:spPr>
                    <a:xfrm>
                      <a:off x="10041786" y="1591244"/>
                      <a:ext cx="511195" cy="797724"/>
                    </a:xfrm>
                    <a:prstGeom prst="rect">
                      <a:avLst/>
                    </a:prstGeom>
                    <a:noFill/>
                    <a:ln w="6350">
                      <a:solidFill>
                        <a:schemeClr val="tx1"/>
                      </a:solidFill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en-GB" sz="1100"/>
                    </a:p>
                  </xdr:txBody>
                </xdr:sp>
                <xdr:sp macro="" textlink="">
                  <xdr:nvSpPr>
                    <xdr:cNvPr id="274" name="Shape 46">
                      <a:extLst>
                        <a:ext uri="{FF2B5EF4-FFF2-40B4-BE49-F238E27FC236}">
                          <a16:creationId xmlns:a16="http://schemas.microsoft.com/office/drawing/2014/main" id="{00000000-0008-0000-0300-000012010000}"/>
                        </a:ext>
                      </a:extLst>
                    </xdr:cNvPr>
                    <xdr:cNvSpPr/>
                  </xdr:nvSpPr>
                  <xdr:spPr>
                    <a:xfrm rot="5040000" flipH="1" flipV="1">
                      <a:off x="10286902" y="1603135"/>
                      <a:ext cx="270716" cy="284940"/>
                    </a:xfrm>
                    <a:prstGeom prst="line">
                      <a:avLst/>
                    </a:prstGeom>
                    <a:noFill/>
                    <a:ln w="9525" cap="flat">
                      <a:solidFill>
                        <a:srgbClr val="000000"/>
                      </a:solidFill>
                      <a:prstDash val="solid"/>
                      <a:round/>
                    </a:ln>
                    <a:effectLst/>
                  </xdr:spPr>
                  <xdr:txBody>
                    <a:bodyPr/>
                    <a:lstStyle/>
                    <a:p>
                      <a:pPr lvl="0"/>
                      <a:endParaRPr/>
                    </a:p>
                  </xdr:txBody>
                </xdr:sp>
              </xdr:grpSp>
              <xdr:sp macro="" textlink="">
                <xdr:nvSpPr>
                  <xdr:cNvPr id="268" name="Shape 27">
                    <a:extLst>
                      <a:ext uri="{FF2B5EF4-FFF2-40B4-BE49-F238E27FC236}">
                        <a16:creationId xmlns:a16="http://schemas.microsoft.com/office/drawing/2014/main" id="{00000000-0008-0000-0300-00000C010000}"/>
                      </a:ext>
                    </a:extLst>
                  </xdr:cNvPr>
                  <xdr:cNvSpPr/>
                </xdr:nvSpPr>
                <xdr:spPr>
                  <a:xfrm>
                    <a:off x="9170863" y="4024347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69" name="Shape 27">
                    <a:extLst>
                      <a:ext uri="{FF2B5EF4-FFF2-40B4-BE49-F238E27FC236}">
                        <a16:creationId xmlns:a16="http://schemas.microsoft.com/office/drawing/2014/main" id="{00000000-0008-0000-0300-00000D010000}"/>
                      </a:ext>
                    </a:extLst>
                  </xdr:cNvPr>
                  <xdr:cNvSpPr/>
                </xdr:nvSpPr>
                <xdr:spPr>
                  <a:xfrm>
                    <a:off x="9283328" y="4024989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0" name="Shape 27">
                    <a:extLst>
                      <a:ext uri="{FF2B5EF4-FFF2-40B4-BE49-F238E27FC236}">
                        <a16:creationId xmlns:a16="http://schemas.microsoft.com/office/drawing/2014/main" id="{00000000-0008-0000-0300-00000E010000}"/>
                      </a:ext>
                    </a:extLst>
                  </xdr:cNvPr>
                  <xdr:cNvSpPr/>
                </xdr:nvSpPr>
                <xdr:spPr>
                  <a:xfrm>
                    <a:off x="9390981" y="4025631"/>
                    <a:ext cx="74425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  <xdr:sp macro="" textlink="">
                <xdr:nvSpPr>
                  <xdr:cNvPr id="271" name="Shape 27">
                    <a:extLst>
                      <a:ext uri="{FF2B5EF4-FFF2-40B4-BE49-F238E27FC236}">
                        <a16:creationId xmlns:a16="http://schemas.microsoft.com/office/drawing/2014/main" id="{00000000-0008-0000-0300-00000F010000}"/>
                      </a:ext>
                    </a:extLst>
                  </xdr:cNvPr>
                  <xdr:cNvSpPr/>
                </xdr:nvSpPr>
                <xdr:spPr>
                  <a:xfrm>
                    <a:off x="9497036" y="4024636"/>
                    <a:ext cx="76023" cy="81227"/>
                  </a:xfrm>
                  <a:custGeom>
                    <a:avLst/>
                    <a:gdLst/>
                    <a:ahLst/>
                    <a:cxnLst>
                      <a:cxn ang="0">
                        <a:pos x="wd2" y="hd2"/>
                      </a:cxn>
                      <a:cxn ang="5400000">
                        <a:pos x="wd2" y="hd2"/>
                      </a:cxn>
                      <a:cxn ang="10800000">
                        <a:pos x="wd2" y="hd2"/>
                      </a:cxn>
                      <a:cxn ang="16200000">
                        <a:pos x="wd2" y="hd2"/>
                      </a:cxn>
                    </a:cxnLst>
                    <a:rect l="0" t="0" r="r" b="b"/>
                    <a:pathLst>
                      <a:path w="19679" h="19679" extrusionOk="0">
                        <a:moveTo>
                          <a:pt x="16796" y="2882"/>
                        </a:moveTo>
                        <a:cubicBezTo>
                          <a:pt x="20639" y="6724"/>
                          <a:pt x="20639" y="12954"/>
                          <a:pt x="16796" y="16796"/>
                        </a:cubicBezTo>
                        <a:cubicBezTo>
                          <a:pt x="12954" y="20639"/>
                          <a:pt x="6724" y="20639"/>
                          <a:pt x="2882" y="16796"/>
                        </a:cubicBezTo>
                        <a:cubicBezTo>
                          <a:pt x="-961" y="12954"/>
                          <a:pt x="-961" y="6724"/>
                          <a:pt x="2882" y="2882"/>
                        </a:cubicBezTo>
                        <a:cubicBezTo>
                          <a:pt x="6724" y="-961"/>
                          <a:pt x="12954" y="-961"/>
                          <a:pt x="16796" y="2882"/>
                        </a:cubicBezTo>
                        <a:close/>
                      </a:path>
                    </a:pathLst>
                  </a:custGeom>
                  <a:noFill/>
                  <a:ln w="6350" cap="flat">
                    <a:solidFill>
                      <a:schemeClr val="tx1"/>
                    </a:solidFill>
                    <a:prstDash val="solid"/>
                    <a:miter lim="400000"/>
                  </a:ln>
                  <a:effectLst/>
                </xdr:spPr>
                <xdr:txBody>
                  <a:bodyPr/>
                  <a:lstStyle/>
                  <a:p>
                    <a:pPr lvl="0"/>
                    <a:endParaRPr/>
                  </a:p>
                </xdr:txBody>
              </xdr:sp>
            </xdr:grpSp>
            <xdr:cxnSp macro="">
              <xdr:nvCxnSpPr>
                <xdr:cNvPr id="265" name="Elbow Connector 264">
                  <a:extLst>
                    <a:ext uri="{FF2B5EF4-FFF2-40B4-BE49-F238E27FC236}">
                      <a16:creationId xmlns:a16="http://schemas.microsoft.com/office/drawing/2014/main" id="{00000000-0008-0000-0300-000009010000}"/>
                    </a:ext>
                  </a:extLst>
                </xdr:cNvPr>
                <xdr:cNvCxnSpPr>
                  <a:stCxn id="273" idx="3"/>
                </xdr:cNvCxnSpPr>
              </xdr:nvCxnSpPr>
              <xdr:spPr>
                <a:xfrm>
                  <a:off x="10162348" y="4031581"/>
                  <a:ext cx="251652" cy="807557"/>
                </a:xfrm>
                <a:prstGeom prst="bentConnector2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cxnSp macro="">
            <xdr:nvCxnSpPr>
              <xdr:cNvPr id="263" name="Straight Connector 262">
                <a:extLst>
                  <a:ext uri="{FF2B5EF4-FFF2-40B4-BE49-F238E27FC236}">
                    <a16:creationId xmlns:a16="http://schemas.microsoft.com/office/drawing/2014/main" id="{00000000-0008-0000-0300-000007010000}"/>
                  </a:ext>
                </a:extLst>
              </xdr:cNvPr>
              <xdr:cNvCxnSpPr>
                <a:stCxn id="276" idx="1"/>
              </xdr:cNvCxnSpPr>
            </xdr:nvCxnSpPr>
            <xdr:spPr>
              <a:xfrm flipH="1">
                <a:off x="7655301" y="4027589"/>
                <a:ext cx="982288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247" name="Straight Connector 246">
              <a:extLst>
                <a:ext uri="{FF2B5EF4-FFF2-40B4-BE49-F238E27FC236}">
                  <a16:creationId xmlns:a16="http://schemas.microsoft.com/office/drawing/2014/main" id="{00000000-0008-0000-0300-0000F7000000}"/>
                </a:ext>
              </a:extLst>
            </xdr:cNvPr>
            <xdr:cNvCxnSpPr/>
          </xdr:nvCxnSpPr>
          <xdr:spPr>
            <a:xfrm>
              <a:off x="8386972" y="7250396"/>
              <a:ext cx="0" cy="1096272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50" name="Straight Connector 249">
              <a:extLst>
                <a:ext uri="{FF2B5EF4-FFF2-40B4-BE49-F238E27FC236}">
                  <a16:creationId xmlns:a16="http://schemas.microsoft.com/office/drawing/2014/main" id="{00000000-0008-0000-0300-0000FA000000}"/>
                </a:ext>
              </a:extLst>
            </xdr:cNvPr>
            <xdr:cNvCxnSpPr/>
          </xdr:nvCxnSpPr>
          <xdr:spPr>
            <a:xfrm>
              <a:off x="8166544" y="6445150"/>
              <a:ext cx="0" cy="1697463"/>
            </a:xfrm>
            <a:prstGeom prst="line">
              <a:avLst/>
            </a:prstGeom>
            <a:ln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60" name="Shape 27">
              <a:extLst>
                <a:ext uri="{FF2B5EF4-FFF2-40B4-BE49-F238E27FC236}">
                  <a16:creationId xmlns:a16="http://schemas.microsoft.com/office/drawing/2014/main" id="{00000000-0008-0000-0300-000004010000}"/>
                </a:ext>
              </a:extLst>
            </xdr:cNvPr>
            <xdr:cNvSpPr/>
          </xdr:nvSpPr>
          <xdr:spPr>
            <a:xfrm>
              <a:off x="8135888" y="8114456"/>
              <a:ext cx="61311" cy="64805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  <xdr:sp macro="" textlink="">
          <xdr:nvSpPr>
            <xdr:cNvPr id="261" name="Shape 27">
              <a:extLst>
                <a:ext uri="{FF2B5EF4-FFF2-40B4-BE49-F238E27FC236}">
                  <a16:creationId xmlns:a16="http://schemas.microsoft.com/office/drawing/2014/main" id="{00000000-0008-0000-0300-000005010000}"/>
                </a:ext>
              </a:extLst>
            </xdr:cNvPr>
            <xdr:cNvSpPr/>
          </xdr:nvSpPr>
          <xdr:spPr>
            <a:xfrm>
              <a:off x="8361038" y="8315979"/>
              <a:ext cx="62188" cy="65732"/>
            </a:xfrm>
            <a:custGeom>
              <a:avLst/>
              <a:gdLst/>
              <a:ahLst/>
              <a:cxnLst>
                <a:cxn ang="0">
                  <a:pos x="wd2" y="hd2"/>
                </a:cxn>
                <a:cxn ang="5400000">
                  <a:pos x="wd2" y="hd2"/>
                </a:cxn>
                <a:cxn ang="10800000">
                  <a:pos x="wd2" y="hd2"/>
                </a:cxn>
                <a:cxn ang="16200000">
                  <a:pos x="wd2" y="hd2"/>
                </a:cxn>
              </a:cxnLst>
              <a:rect l="0" t="0" r="r" b="b"/>
              <a:pathLst>
                <a:path w="19679" h="19679" extrusionOk="0">
                  <a:moveTo>
                    <a:pt x="16796" y="2882"/>
                  </a:moveTo>
                  <a:cubicBezTo>
                    <a:pt x="20639" y="6724"/>
                    <a:pt x="20639" y="12954"/>
                    <a:pt x="16796" y="16796"/>
                  </a:cubicBezTo>
                  <a:cubicBezTo>
                    <a:pt x="12954" y="20639"/>
                    <a:pt x="6724" y="20639"/>
                    <a:pt x="2882" y="16796"/>
                  </a:cubicBezTo>
                  <a:cubicBezTo>
                    <a:pt x="-961" y="12954"/>
                    <a:pt x="-961" y="6724"/>
                    <a:pt x="2882" y="2882"/>
                  </a:cubicBezTo>
                  <a:cubicBezTo>
                    <a:pt x="6724" y="-961"/>
                    <a:pt x="12954" y="-961"/>
                    <a:pt x="16796" y="2882"/>
                  </a:cubicBezTo>
                  <a:close/>
                </a:path>
              </a:pathLst>
            </a:custGeom>
            <a:noFill/>
            <a:ln w="6350" cap="flat">
              <a:solidFill>
                <a:schemeClr val="tx1"/>
              </a:solidFill>
              <a:prstDash val="solid"/>
              <a:miter lim="400000"/>
            </a:ln>
            <a:effectLst/>
          </xdr:spPr>
          <xdr:txBody>
            <a:bodyPr/>
            <a:lstStyle/>
            <a:p>
              <a:pPr lvl="0"/>
              <a:endParaRPr/>
            </a:p>
          </xdr:txBody>
        </xdr:sp>
      </xdr:grpSp>
      <xdr:cxnSp macro="">
        <xdr:nvCxnSpPr>
          <xdr:cNvPr id="243" name="Straight Connector 242">
            <a:extLst>
              <a:ext uri="{FF2B5EF4-FFF2-40B4-BE49-F238E27FC236}">
                <a16:creationId xmlns:a16="http://schemas.microsoft.com/office/drawing/2014/main" id="{00000000-0008-0000-0300-0000F3000000}"/>
              </a:ext>
            </a:extLst>
          </xdr:cNvPr>
          <xdr:cNvCxnSpPr/>
        </xdr:nvCxnSpPr>
        <xdr:spPr>
          <a:xfrm flipH="1">
            <a:off x="12333861" y="2978366"/>
            <a:ext cx="2537300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12</xdr:col>
      <xdr:colOff>88909</xdr:colOff>
      <xdr:row>16</xdr:row>
      <xdr:rowOff>169333</xdr:rowOff>
    </xdr:from>
    <xdr:to>
      <xdr:col>32</xdr:col>
      <xdr:colOff>118534</xdr:colOff>
      <xdr:row>38</xdr:row>
      <xdr:rowOff>89638</xdr:rowOff>
    </xdr:to>
    <xdr:grpSp>
      <xdr:nvGrpSpPr>
        <xdr:cNvPr id="8" name="CONS1P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3136909" y="3420533"/>
          <a:ext cx="5109625" cy="4390705"/>
          <a:chOff x="3136909" y="3420533"/>
          <a:chExt cx="5109625" cy="4390705"/>
        </a:xfrm>
      </xdr:grpSpPr>
      <xdr:grpSp>
        <xdr:nvGrpSpPr>
          <xdr:cNvPr id="203" name="ahha">
            <a:extLst>
              <a:ext uri="{FF2B5EF4-FFF2-40B4-BE49-F238E27FC236}">
                <a16:creationId xmlns:a16="http://schemas.microsoft.com/office/drawing/2014/main" id="{00000000-0008-0000-0300-0000CB000000}"/>
              </a:ext>
            </a:extLst>
          </xdr:cNvPr>
          <xdr:cNvGrpSpPr/>
        </xdr:nvGrpSpPr>
        <xdr:grpSpPr>
          <a:xfrm>
            <a:off x="3136909" y="3546529"/>
            <a:ext cx="5109625" cy="4264709"/>
            <a:chOff x="2552350" y="13583257"/>
            <a:chExt cx="5347908" cy="4168415"/>
          </a:xfrm>
        </xdr:grpSpPr>
        <xdr:sp macro="" textlink="">
          <xdr:nvSpPr>
            <xdr:cNvPr id="204" name="boxdash">
              <a:extLst>
                <a:ext uri="{FF2B5EF4-FFF2-40B4-BE49-F238E27FC236}">
                  <a16:creationId xmlns:a16="http://schemas.microsoft.com/office/drawing/2014/main" id="{00000000-0008-0000-0300-0000CC000000}"/>
                </a:ext>
              </a:extLst>
            </xdr:cNvPr>
            <xdr:cNvSpPr/>
          </xdr:nvSpPr>
          <xdr:spPr>
            <a:xfrm>
              <a:off x="2552350" y="13583257"/>
              <a:ext cx="504744" cy="203526"/>
            </a:xfrm>
            <a:prstGeom prst="rect">
              <a:avLst/>
            </a:prstGeom>
            <a:noFill/>
            <a:ln w="6350">
              <a:solidFill>
                <a:schemeClr val="tx1"/>
              </a:solidFill>
              <a:prstDash val="lgDashDotDot"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cxnSp macro="">
          <xdr:nvCxnSpPr>
            <xdr:cNvPr id="205" name="Straight Connector 204">
              <a:extLst>
                <a:ext uri="{FF2B5EF4-FFF2-40B4-BE49-F238E27FC236}">
                  <a16:creationId xmlns:a16="http://schemas.microsoft.com/office/drawing/2014/main" id="{00000000-0008-0000-0300-0000CD000000}"/>
                </a:ext>
              </a:extLst>
            </xdr:cNvPr>
            <xdr:cNvCxnSpPr/>
          </xdr:nvCxnSpPr>
          <xdr:spPr>
            <a:xfrm>
              <a:off x="3031397" y="13791917"/>
              <a:ext cx="3505445" cy="1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6" name="Straight Connector 205">
              <a:extLst>
                <a:ext uri="{FF2B5EF4-FFF2-40B4-BE49-F238E27FC236}">
                  <a16:creationId xmlns:a16="http://schemas.microsoft.com/office/drawing/2014/main" id="{00000000-0008-0000-0300-0000CE000000}"/>
                </a:ext>
              </a:extLst>
            </xdr:cNvPr>
            <xdr:cNvCxnSpPr/>
          </xdr:nvCxnSpPr>
          <xdr:spPr>
            <a:xfrm>
              <a:off x="6539112" y="13790972"/>
              <a:ext cx="0" cy="2985383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7" name="Straight Connector 206">
              <a:extLst>
                <a:ext uri="{FF2B5EF4-FFF2-40B4-BE49-F238E27FC236}">
                  <a16:creationId xmlns:a16="http://schemas.microsoft.com/office/drawing/2014/main" id="{00000000-0008-0000-0300-0000CF000000}"/>
                </a:ext>
              </a:extLst>
            </xdr:cNvPr>
            <xdr:cNvCxnSpPr/>
          </xdr:nvCxnSpPr>
          <xdr:spPr>
            <a:xfrm>
              <a:off x="6685850" y="17654368"/>
              <a:ext cx="1214408" cy="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8" name="Straight Connector 207">
              <a:extLst>
                <a:ext uri="{FF2B5EF4-FFF2-40B4-BE49-F238E27FC236}">
                  <a16:creationId xmlns:a16="http://schemas.microsoft.com/office/drawing/2014/main" id="{00000000-0008-0000-0300-0000D0000000}"/>
                </a:ext>
              </a:extLst>
            </xdr:cNvPr>
            <xdr:cNvCxnSpPr/>
          </xdr:nvCxnSpPr>
          <xdr:spPr>
            <a:xfrm>
              <a:off x="6678431" y="17178525"/>
              <a:ext cx="0" cy="488750"/>
            </a:xfrm>
            <a:prstGeom prst="line">
              <a:avLst/>
            </a:prstGeom>
            <a:ln>
              <a:solidFill>
                <a:schemeClr val="tx1"/>
              </a:solidFill>
              <a:prstDash val="lgDashDotDot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6" name="TextBox 215">
              <a:extLst>
                <a:ext uri="{FF2B5EF4-FFF2-40B4-BE49-F238E27FC236}">
                  <a16:creationId xmlns:a16="http://schemas.microsoft.com/office/drawing/2014/main" id="{00000000-0008-0000-0300-0000D8000000}"/>
                </a:ext>
              </a:extLst>
            </xdr:cNvPr>
            <xdr:cNvSpPr txBox="1"/>
          </xdr:nvSpPr>
          <xdr:spPr>
            <a:xfrm>
              <a:off x="6197952" y="16803331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WN Meter</a:t>
              </a:r>
            </a:p>
          </xdr:txBody>
        </xdr:sp>
        <xdr:sp macro="" textlink="">
          <xdr:nvSpPr>
            <xdr:cNvPr id="217" name="Rectangle 216">
              <a:extLst>
                <a:ext uri="{FF2B5EF4-FFF2-40B4-BE49-F238E27FC236}">
                  <a16:creationId xmlns:a16="http://schemas.microsoft.com/office/drawing/2014/main" id="{00000000-0008-0000-0300-0000D9000000}"/>
                </a:ext>
              </a:extLst>
            </xdr:cNvPr>
            <xdr:cNvSpPr/>
          </xdr:nvSpPr>
          <xdr:spPr>
            <a:xfrm>
              <a:off x="6138791" y="16778189"/>
              <a:ext cx="724551" cy="398910"/>
            </a:xfrm>
            <a:prstGeom prst="rect">
              <a:avLst/>
            </a:prstGeom>
            <a:noFill/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/>
            </a:p>
          </xdr:txBody>
        </xdr:sp>
        <xdr:sp macro="" textlink="">
          <xdr:nvSpPr>
            <xdr:cNvPr id="233" name="TextBox 232">
              <a:extLst>
                <a:ext uri="{FF2B5EF4-FFF2-40B4-BE49-F238E27FC236}">
                  <a16:creationId xmlns:a16="http://schemas.microsoft.com/office/drawing/2014/main" id="{00000000-0008-0000-0300-0000E9000000}"/>
                </a:ext>
              </a:extLst>
            </xdr:cNvPr>
            <xdr:cNvSpPr txBox="1"/>
          </xdr:nvSpPr>
          <xdr:spPr>
            <a:xfrm>
              <a:off x="7205107" y="17361857"/>
              <a:ext cx="691662" cy="389815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GB" sz="800"/>
                <a:t>RS485</a:t>
              </a:r>
            </a:p>
          </xdr:txBody>
        </xdr:sp>
      </xdr:grpSp>
      <xdr:sp macro="" textlink="">
        <xdr:nvSpPr>
          <xdr:cNvPr id="278" name="TextBox 277">
            <a:extLst>
              <a:ext uri="{FF2B5EF4-FFF2-40B4-BE49-F238E27FC236}">
                <a16:creationId xmlns:a16="http://schemas.microsoft.com/office/drawing/2014/main" id="{00000000-0008-0000-0300-000016010000}"/>
              </a:ext>
            </a:extLst>
          </xdr:cNvPr>
          <xdr:cNvSpPr txBox="1"/>
        </xdr:nvSpPr>
        <xdr:spPr>
          <a:xfrm>
            <a:off x="5283200" y="3420533"/>
            <a:ext cx="1029705" cy="3908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GB" sz="900"/>
              <a:t>Consumption CT</a:t>
            </a:r>
          </a:p>
        </xdr:txBody>
      </xdr:sp>
    </xdr:grpSp>
    <xdr:clientData/>
  </xdr:twoCellAnchor>
  <xdr:twoCellAnchor>
    <xdr:from>
      <xdr:col>7</xdr:col>
      <xdr:colOff>155376</xdr:colOff>
      <xdr:row>25</xdr:row>
      <xdr:rowOff>127000</xdr:rowOff>
    </xdr:from>
    <xdr:to>
      <xdr:col>23</xdr:col>
      <xdr:colOff>42332</xdr:colOff>
      <xdr:row>62</xdr:row>
      <xdr:rowOff>60677</xdr:rowOff>
    </xdr:to>
    <xdr:grpSp>
      <xdr:nvGrpSpPr>
        <xdr:cNvPr id="54" name="ExtraArray">
          <a:extLst>
            <a:ext uri="{FF2B5EF4-FFF2-40B4-BE49-F238E27FC236}">
              <a16:creationId xmlns:a16="http://schemas.microsoft.com/office/drawing/2014/main" id="{00000000-0008-0000-0300-000036000000}"/>
            </a:ext>
          </a:extLst>
        </xdr:cNvPr>
        <xdr:cNvGrpSpPr/>
      </xdr:nvGrpSpPr>
      <xdr:grpSpPr>
        <a:xfrm>
          <a:off x="1933376" y="5207000"/>
          <a:ext cx="3950956" cy="7452077"/>
          <a:chOff x="1933376" y="5207000"/>
          <a:chExt cx="3950956" cy="7452077"/>
        </a:xfrm>
      </xdr:grpSpPr>
      <xdr:grpSp>
        <xdr:nvGrpSpPr>
          <xdr:cNvPr id="294" name="Group 293">
            <a:extLst>
              <a:ext uri="{FF2B5EF4-FFF2-40B4-BE49-F238E27FC236}">
                <a16:creationId xmlns:a16="http://schemas.microsoft.com/office/drawing/2014/main" id="{00000000-0008-0000-0300-000026010000}"/>
              </a:ext>
            </a:extLst>
          </xdr:cNvPr>
          <xdr:cNvGrpSpPr/>
        </xdr:nvGrpSpPr>
        <xdr:grpSpPr>
          <a:xfrm>
            <a:off x="1981200" y="10960100"/>
            <a:ext cx="3705287" cy="1269276"/>
            <a:chOff x="3998020" y="4975411"/>
            <a:chExt cx="3623241" cy="1316399"/>
          </a:xfrm>
        </xdr:grpSpPr>
        <xdr:grpSp>
          <xdr:nvGrpSpPr>
            <xdr:cNvPr id="295" name="Group 294">
              <a:extLst>
                <a:ext uri="{FF2B5EF4-FFF2-40B4-BE49-F238E27FC236}">
                  <a16:creationId xmlns:a16="http://schemas.microsoft.com/office/drawing/2014/main" id="{00000000-0008-0000-0300-000027010000}"/>
                </a:ext>
              </a:extLst>
            </xdr:cNvPr>
            <xdr:cNvGrpSpPr/>
          </xdr:nvGrpSpPr>
          <xdr:grpSpPr>
            <a:xfrm>
              <a:off x="6859261" y="4975411"/>
              <a:ext cx="762000" cy="1316399"/>
              <a:chOff x="5588000" y="4800600"/>
              <a:chExt cx="762000" cy="1270001"/>
            </a:xfrm>
          </xdr:grpSpPr>
          <xdr:grpSp>
            <xdr:nvGrpSpPr>
              <xdr:cNvPr id="303" name="Group 302">
                <a:extLst>
                  <a:ext uri="{FF2B5EF4-FFF2-40B4-BE49-F238E27FC236}">
                    <a16:creationId xmlns:a16="http://schemas.microsoft.com/office/drawing/2014/main" id="{00000000-0008-0000-0300-00002F010000}"/>
                  </a:ext>
                </a:extLst>
              </xdr:cNvPr>
              <xdr:cNvGrpSpPr/>
            </xdr:nvGrpSpPr>
            <xdr:grpSpPr>
              <a:xfrm>
                <a:off x="5600699" y="4813301"/>
                <a:ext cx="736601" cy="1257300"/>
                <a:chOff x="5600699" y="4813301"/>
                <a:chExt cx="736601" cy="1257300"/>
              </a:xfrm>
            </xdr:grpSpPr>
            <xdr:sp macro="" textlink="">
              <xdr:nvSpPr>
                <xdr:cNvPr id="305" name="Shape 5">
                  <a:extLst>
                    <a:ext uri="{FF2B5EF4-FFF2-40B4-BE49-F238E27FC236}">
                      <a16:creationId xmlns:a16="http://schemas.microsoft.com/office/drawing/2014/main" id="{00000000-0008-0000-0300-000031010000}"/>
                    </a:ext>
                  </a:extLst>
                </xdr:cNvPr>
                <xdr:cNvSpPr/>
              </xdr:nvSpPr>
              <xdr:spPr>
                <a:xfrm>
                  <a:off x="5600699" y="4813301"/>
                  <a:ext cx="736601" cy="1257300"/>
                </a:xfrm>
                <a:prstGeom prst="line">
                  <a:avLst/>
                </a:prstGeom>
                <a:noFill/>
                <a:ln w="6350" cap="flat">
                  <a:solidFill>
                    <a:srgbClr val="000000"/>
                  </a:solidFill>
                  <a:prstDash val="solid"/>
                  <a:miter lim="400000"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6" name="Shape 6">
                  <a:extLst>
                    <a:ext uri="{FF2B5EF4-FFF2-40B4-BE49-F238E27FC236}">
                      <a16:creationId xmlns:a16="http://schemas.microsoft.com/office/drawing/2014/main" id="{00000000-0008-0000-0300-000032010000}"/>
                    </a:ext>
                  </a:extLst>
                </xdr:cNvPr>
                <xdr:cNvSpPr/>
              </xdr:nvSpPr>
              <xdr:spPr>
                <a:xfrm>
                  <a:off x="6027997" y="4938868"/>
                  <a:ext cx="212482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dash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7" name="Shape 7">
                  <a:extLst>
                    <a:ext uri="{FF2B5EF4-FFF2-40B4-BE49-F238E27FC236}">
                      <a16:creationId xmlns:a16="http://schemas.microsoft.com/office/drawing/2014/main" id="{00000000-0008-0000-0300-000033010000}"/>
                    </a:ext>
                  </a:extLst>
                </xdr:cNvPr>
                <xdr:cNvSpPr/>
              </xdr:nvSpPr>
              <xdr:spPr>
                <a:xfrm>
                  <a:off x="6018472" y="5050734"/>
                  <a:ext cx="222007" cy="0"/>
                </a:xfrm>
                <a:prstGeom prst="line">
                  <a:avLst/>
                </a:pr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  <xdr:sp macro="" textlink="">
              <xdr:nvSpPr>
                <xdr:cNvPr id="308" name="Shape 8">
                  <a:extLst>
                    <a:ext uri="{FF2B5EF4-FFF2-40B4-BE49-F238E27FC236}">
                      <a16:creationId xmlns:a16="http://schemas.microsoft.com/office/drawing/2014/main" id="{00000000-0008-0000-0300-000034010000}"/>
                    </a:ext>
                  </a:extLst>
                </xdr:cNvPr>
                <xdr:cNvSpPr/>
              </xdr:nvSpPr>
              <xdr:spPr>
                <a:xfrm>
                  <a:off x="5716328" y="5742770"/>
                  <a:ext cx="202957" cy="171450"/>
                </a:xfrm>
                <a:custGeom>
                  <a:avLst/>
                  <a:gdLst/>
                  <a:ahLst/>
                  <a:cxnLst>
                    <a:cxn ang="0">
                      <a:pos x="wd2" y="hd2"/>
                    </a:cxn>
                    <a:cxn ang="5400000">
                      <a:pos x="wd2" y="hd2"/>
                    </a:cxn>
                    <a:cxn ang="10800000">
                      <a:pos x="wd2" y="hd2"/>
                    </a:cxn>
                    <a:cxn ang="16200000">
                      <a:pos x="wd2" y="hd2"/>
                    </a:cxn>
                  </a:cxnLst>
                  <a:rect l="0" t="0" r="r" b="b"/>
                  <a:pathLst>
                    <a:path w="21600" h="21600" extrusionOk="0">
                      <a:moveTo>
                        <a:pt x="0" y="19200"/>
                      </a:moveTo>
                      <a:cubicBezTo>
                        <a:pt x="2057" y="9600"/>
                        <a:pt x="5143" y="0"/>
                        <a:pt x="7200" y="0"/>
                      </a:cubicBezTo>
                      <a:cubicBezTo>
                        <a:pt x="9257" y="0"/>
                        <a:pt x="12343" y="21600"/>
                        <a:pt x="14400" y="21600"/>
                      </a:cubicBezTo>
                      <a:cubicBezTo>
                        <a:pt x="16457" y="21600"/>
                        <a:pt x="20571" y="4800"/>
                        <a:pt x="21600" y="2400"/>
                      </a:cubicBezTo>
                    </a:path>
                  </a:pathLst>
                </a:custGeom>
                <a:noFill/>
                <a:ln w="9525" cap="flat">
                  <a:solidFill>
                    <a:srgbClr val="000000"/>
                  </a:solidFill>
                  <a:prstDash val="solid"/>
                  <a:round/>
                </a:ln>
                <a:effectLst/>
              </xdr:spPr>
              <xdr:txBody>
                <a:bodyPr/>
                <a:lstStyle/>
                <a:p>
                  <a:pPr lvl="0"/>
                  <a:endParaRPr/>
                </a:p>
              </xdr:txBody>
            </xdr:sp>
          </xdr:grpSp>
          <xdr:sp macro="" textlink="">
            <xdr:nvSpPr>
              <xdr:cNvPr id="304" name="Rectangle 303">
                <a:extLst>
                  <a:ext uri="{FF2B5EF4-FFF2-40B4-BE49-F238E27FC236}">
                    <a16:creationId xmlns:a16="http://schemas.microsoft.com/office/drawing/2014/main" id="{00000000-0008-0000-0300-000030010000}"/>
                  </a:ext>
                </a:extLst>
              </xdr:cNvPr>
              <xdr:cNvSpPr/>
            </xdr:nvSpPr>
            <xdr:spPr>
              <a:xfrm>
                <a:off x="5588000" y="4800600"/>
                <a:ext cx="762000" cy="1270000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rot="0" spcFirstLastPara="1" vertOverflow="overflow" horzOverflow="overflow" vert="horz" wrap="square" lIns="50800" tIns="50800" rIns="50800" bIns="50800" numCol="1" spcCol="38100" rtlCol="0" anchor="ctr">
                <a:noAutofit/>
              </a:bodyPr>
              <a:lstStyle/>
              <a:p>
                <a:pPr marL="0" marR="0" indent="0" algn="ctr" defTabSz="457200" rtl="0" fontAlgn="auto" latinLnBrk="1" hangingPunct="0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</a:pPr>
                <a:endParaRPr kumimoji="0" lang="en-GB" sz="1200" b="0" i="0" u="none" strike="noStrike" cap="none" spc="0" normalizeH="0" baseline="0">
                  <a:ln>
                    <a:noFill/>
                  </a:ln>
                  <a:solidFill>
                    <a:srgbClr val="FFFFFF"/>
                  </a:solidFill>
                  <a:effectLst>
                    <a:outerShdw blurRad="25400" dist="23998" dir="2700000" rotWithShape="0">
                      <a:srgbClr val="000000">
                        <a:alpha val="31034"/>
                      </a:srgbClr>
                    </a:outerShdw>
                  </a:effectLst>
                  <a:uFillTx/>
                  <a:latin typeface="+mn-lt"/>
                  <a:ea typeface="+mn-ea"/>
                  <a:cs typeface="+mn-cs"/>
                  <a:sym typeface="Helvetica"/>
                </a:endParaRPr>
              </a:p>
            </xdr:txBody>
          </xdr:sp>
        </xdr:grpSp>
        <xdr:grpSp>
          <xdr:nvGrpSpPr>
            <xdr:cNvPr id="296" name="Group 295">
              <a:extLst>
                <a:ext uri="{FF2B5EF4-FFF2-40B4-BE49-F238E27FC236}">
                  <a16:creationId xmlns:a16="http://schemas.microsoft.com/office/drawing/2014/main" id="{00000000-0008-0000-0300-000028010000}"/>
                </a:ext>
              </a:extLst>
            </xdr:cNvPr>
            <xdr:cNvGrpSpPr/>
          </xdr:nvGrpSpPr>
          <xdr:grpSpPr>
            <a:xfrm>
              <a:off x="3998020" y="5492101"/>
              <a:ext cx="2859982" cy="564535"/>
              <a:chOff x="5534014" y="6917765"/>
              <a:chExt cx="2851685" cy="545353"/>
            </a:xfrm>
          </xdr:grpSpPr>
          <xdr:sp macro="" textlink="">
            <xdr:nvSpPr>
              <xdr:cNvPr id="297" name="Shape 27">
                <a:extLst>
                  <a:ext uri="{FF2B5EF4-FFF2-40B4-BE49-F238E27FC236}">
                    <a16:creationId xmlns:a16="http://schemas.microsoft.com/office/drawing/2014/main" id="{00000000-0008-0000-0300-000029010000}"/>
                  </a:ext>
                </a:extLst>
              </xdr:cNvPr>
              <xdr:cNvSpPr/>
            </xdr:nvSpPr>
            <xdr:spPr>
              <a:xfrm>
                <a:off x="7112996" y="7224912"/>
                <a:ext cx="81180" cy="84634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8" name="Shape 27">
                <a:extLst>
                  <a:ext uri="{FF2B5EF4-FFF2-40B4-BE49-F238E27FC236}">
                    <a16:creationId xmlns:a16="http://schemas.microsoft.com/office/drawing/2014/main" id="{00000000-0008-0000-0300-00002A010000}"/>
                  </a:ext>
                </a:extLst>
              </xdr:cNvPr>
              <xdr:cNvSpPr/>
            </xdr:nvSpPr>
            <xdr:spPr>
              <a:xfrm>
                <a:off x="7539659" y="7223065"/>
                <a:ext cx="80343" cy="83761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635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299" name="Shape 26">
                <a:extLst>
                  <a:ext uri="{FF2B5EF4-FFF2-40B4-BE49-F238E27FC236}">
                    <a16:creationId xmlns:a16="http://schemas.microsoft.com/office/drawing/2014/main" id="{00000000-0008-0000-0300-00002B010000}"/>
                  </a:ext>
                </a:extLst>
              </xdr:cNvPr>
              <xdr:cNvSpPr/>
            </xdr:nvSpPr>
            <xdr:spPr>
              <a:xfrm flipH="1" flipV="1">
                <a:off x="7209118" y="7014882"/>
                <a:ext cx="351592" cy="211269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cxnSp macro="">
            <xdr:nvCxnSpPr>
              <xdr:cNvPr id="300" name="Straight Connector 299">
                <a:extLst>
                  <a:ext uri="{FF2B5EF4-FFF2-40B4-BE49-F238E27FC236}">
                    <a16:creationId xmlns:a16="http://schemas.microsoft.com/office/drawing/2014/main" id="{00000000-0008-0000-0300-00002C010000}"/>
                  </a:ext>
                </a:extLst>
              </xdr:cNvPr>
              <xdr:cNvCxnSpPr/>
            </xdr:nvCxnSpPr>
            <xdr:spPr>
              <a:xfrm flipH="1">
                <a:off x="5534014" y="7270910"/>
                <a:ext cx="1585457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cxnSp macro="">
            <xdr:nvCxnSpPr>
              <xdr:cNvPr id="301" name="Straight Connector 300">
                <a:extLst>
                  <a:ext uri="{FF2B5EF4-FFF2-40B4-BE49-F238E27FC236}">
                    <a16:creationId xmlns:a16="http://schemas.microsoft.com/office/drawing/2014/main" id="{00000000-0008-0000-0300-00002D010000}"/>
                  </a:ext>
                </a:extLst>
              </xdr:cNvPr>
              <xdr:cNvCxnSpPr/>
            </xdr:nvCxnSpPr>
            <xdr:spPr>
              <a:xfrm flipH="1">
                <a:off x="7625908" y="7270208"/>
                <a:ext cx="759791" cy="0"/>
              </a:xfrm>
              <a:prstGeom prst="line">
                <a:avLst/>
              </a:prstGeom>
              <a:ln>
                <a:solidFill>
                  <a:schemeClr val="tx1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  <xdr:sp macro="" textlink="">
            <xdr:nvSpPr>
              <xdr:cNvPr id="302" name="Rectangle 301">
                <a:extLst>
                  <a:ext uri="{FF2B5EF4-FFF2-40B4-BE49-F238E27FC236}">
                    <a16:creationId xmlns:a16="http://schemas.microsoft.com/office/drawing/2014/main" id="{00000000-0008-0000-0300-00002E010000}"/>
                  </a:ext>
                </a:extLst>
              </xdr:cNvPr>
              <xdr:cNvSpPr/>
            </xdr:nvSpPr>
            <xdr:spPr>
              <a:xfrm>
                <a:off x="6866438" y="6917765"/>
                <a:ext cx="1007561" cy="545353"/>
              </a:xfrm>
              <a:prstGeom prst="rect">
                <a:avLst/>
              </a:prstGeom>
              <a:noFill/>
              <a:ln w="6350">
                <a:solidFill>
                  <a:schemeClr val="tx1"/>
                </a:solidFill>
                <a:prstDash val="dash"/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en-GB" sz="1100"/>
              </a:p>
            </xdr:txBody>
          </xdr:sp>
        </xdr:grpSp>
      </xdr:grpSp>
      <xdr:grpSp>
        <xdr:nvGrpSpPr>
          <xdr:cNvPr id="309" name="Group 308">
            <a:extLst>
              <a:ext uri="{FF2B5EF4-FFF2-40B4-BE49-F238E27FC236}">
                <a16:creationId xmlns:a16="http://schemas.microsoft.com/office/drawing/2014/main" id="{00000000-0008-0000-0300-000035010000}"/>
              </a:ext>
            </a:extLst>
          </xdr:cNvPr>
          <xdr:cNvGrpSpPr/>
        </xdr:nvGrpSpPr>
        <xdr:grpSpPr>
          <a:xfrm>
            <a:off x="1933376" y="5944956"/>
            <a:ext cx="269224" cy="5866044"/>
            <a:chOff x="3291679" y="5440218"/>
            <a:chExt cx="275787" cy="5828599"/>
          </a:xfrm>
        </xdr:grpSpPr>
        <xdr:grpSp>
          <xdr:nvGrpSpPr>
            <xdr:cNvPr id="310" name="Group 309">
              <a:extLst>
                <a:ext uri="{FF2B5EF4-FFF2-40B4-BE49-F238E27FC236}">
                  <a16:creationId xmlns:a16="http://schemas.microsoft.com/office/drawing/2014/main" id="{00000000-0008-0000-0300-000036010000}"/>
                </a:ext>
              </a:extLst>
            </xdr:cNvPr>
            <xdr:cNvGrpSpPr/>
          </xdr:nvGrpSpPr>
          <xdr:grpSpPr>
            <a:xfrm>
              <a:off x="3291679" y="5440218"/>
              <a:ext cx="275787" cy="318559"/>
              <a:chOff x="3291679" y="5440218"/>
              <a:chExt cx="275787" cy="318559"/>
            </a:xfrm>
          </xdr:grpSpPr>
          <xdr:sp macro="" textlink="">
            <xdr:nvSpPr>
              <xdr:cNvPr id="312" name="Shape 27">
                <a:extLst>
                  <a:ext uri="{FF2B5EF4-FFF2-40B4-BE49-F238E27FC236}">
                    <a16:creationId xmlns:a16="http://schemas.microsoft.com/office/drawing/2014/main" id="{00000000-0008-0000-0300-000038010000}"/>
                  </a:ext>
                </a:extLst>
              </xdr:cNvPr>
              <xdr:cNvSpPr/>
            </xdr:nvSpPr>
            <xdr:spPr>
              <a:xfrm>
                <a:off x="3291679" y="5440218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3" name="Shape 27">
                <a:extLst>
                  <a:ext uri="{FF2B5EF4-FFF2-40B4-BE49-F238E27FC236}">
                    <a16:creationId xmlns:a16="http://schemas.microsoft.com/office/drawing/2014/main" id="{00000000-0008-0000-0300-000039010000}"/>
                  </a:ext>
                </a:extLst>
              </xdr:cNvPr>
              <xdr:cNvSpPr/>
            </xdr:nvSpPr>
            <xdr:spPr>
              <a:xfrm>
                <a:off x="3292522" y="5659090"/>
                <a:ext cx="100174" cy="99687"/>
              </a:xfrm>
              <a:custGeom>
                <a:avLst/>
                <a:gdLst/>
                <a:ahLst/>
                <a:cxnLst>
                  <a:cxn ang="0">
                    <a:pos x="wd2" y="hd2"/>
                  </a:cxn>
                  <a:cxn ang="5400000">
                    <a:pos x="wd2" y="hd2"/>
                  </a:cxn>
                  <a:cxn ang="10800000">
                    <a:pos x="wd2" y="hd2"/>
                  </a:cxn>
                  <a:cxn ang="16200000">
                    <a:pos x="wd2" y="hd2"/>
                  </a:cxn>
                </a:cxnLst>
                <a:rect l="0" t="0" r="r" b="b"/>
                <a:pathLst>
                  <a:path w="19679" h="19679" extrusionOk="0">
                    <a:moveTo>
                      <a:pt x="16796" y="2882"/>
                    </a:moveTo>
                    <a:cubicBezTo>
                      <a:pt x="20639" y="6724"/>
                      <a:pt x="20639" y="12954"/>
                      <a:pt x="16796" y="16796"/>
                    </a:cubicBezTo>
                    <a:cubicBezTo>
                      <a:pt x="12954" y="20639"/>
                      <a:pt x="6724" y="20639"/>
                      <a:pt x="2882" y="16796"/>
                    </a:cubicBezTo>
                    <a:cubicBezTo>
                      <a:pt x="-961" y="12954"/>
                      <a:pt x="-961" y="6724"/>
                      <a:pt x="2882" y="2882"/>
                    </a:cubicBezTo>
                    <a:cubicBezTo>
                      <a:pt x="6724" y="-961"/>
                      <a:pt x="12954" y="-961"/>
                      <a:pt x="16796" y="2882"/>
                    </a:cubicBezTo>
                    <a:close/>
                  </a:path>
                </a:pathLst>
              </a:custGeom>
              <a:noFill/>
              <a:ln w="12700" cap="flat">
                <a:solidFill>
                  <a:srgbClr val="53585F"/>
                </a:solidFill>
                <a:prstDash val="solid"/>
                <a:miter lim="400000"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  <xdr:sp macro="" textlink="">
            <xdr:nvSpPr>
              <xdr:cNvPr id="314" name="Shape 26">
                <a:extLst>
                  <a:ext uri="{FF2B5EF4-FFF2-40B4-BE49-F238E27FC236}">
                    <a16:creationId xmlns:a16="http://schemas.microsoft.com/office/drawing/2014/main" id="{00000000-0008-0000-0300-00003A010000}"/>
                  </a:ext>
                </a:extLst>
              </xdr:cNvPr>
              <xdr:cNvSpPr/>
            </xdr:nvSpPr>
            <xdr:spPr>
              <a:xfrm flipH="1">
                <a:off x="3354767" y="5472735"/>
                <a:ext cx="212699" cy="188825"/>
              </a:xfrm>
              <a:prstGeom prst="line">
                <a:avLst/>
              </a:prstGeom>
              <a:noFill/>
              <a:ln w="9525" cap="flat">
                <a:solidFill>
                  <a:srgbClr val="000000"/>
                </a:solidFill>
                <a:prstDash val="solid"/>
                <a:round/>
              </a:ln>
              <a:effectLst/>
            </xdr:spPr>
            <xdr:txBody>
              <a:bodyPr/>
              <a:lstStyle/>
              <a:p>
                <a:pPr lvl="0"/>
                <a:endParaRPr/>
              </a:p>
            </xdr:txBody>
          </xdr:sp>
        </xdr:grpSp>
        <xdr:cxnSp macro="">
          <xdr:nvCxnSpPr>
            <xdr:cNvPr id="311" name="Straight Connector 310">
              <a:extLst>
                <a:ext uri="{FF2B5EF4-FFF2-40B4-BE49-F238E27FC236}">
                  <a16:creationId xmlns:a16="http://schemas.microsoft.com/office/drawing/2014/main" id="{00000000-0008-0000-0300-000037010000}"/>
                </a:ext>
              </a:extLst>
            </xdr:cNvPr>
            <xdr:cNvCxnSpPr/>
          </xdr:nvCxnSpPr>
          <xdr:spPr>
            <a:xfrm>
              <a:off x="3340311" y="5762003"/>
              <a:ext cx="0" cy="5506814"/>
            </a:xfrm>
            <a:prstGeom prst="line">
              <a:avLst/>
            </a:prstGeom>
            <a:ln w="6350">
              <a:solidFill>
                <a:schemeClr val="tx1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315" name="Straight Connector 314">
            <a:extLst>
              <a:ext uri="{FF2B5EF4-FFF2-40B4-BE49-F238E27FC236}">
                <a16:creationId xmlns:a16="http://schemas.microsoft.com/office/drawing/2014/main" id="{00000000-0008-0000-0300-00003B010000}"/>
              </a:ext>
            </a:extLst>
          </xdr:cNvPr>
          <xdr:cNvCxnSpPr/>
        </xdr:nvCxnSpPr>
        <xdr:spPr>
          <a:xfrm>
            <a:off x="1974949" y="5207000"/>
            <a:ext cx="0" cy="735768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16" name="Dash">
            <a:extLst>
              <a:ext uri="{FF2B5EF4-FFF2-40B4-BE49-F238E27FC236}">
                <a16:creationId xmlns:a16="http://schemas.microsoft.com/office/drawing/2014/main" id="{00000000-0008-0000-0300-00003C010000}"/>
              </a:ext>
            </a:extLst>
          </xdr:cNvPr>
          <xdr:cNvSpPr/>
        </xdr:nvSpPr>
        <xdr:spPr>
          <a:xfrm>
            <a:off x="2425700" y="10629900"/>
            <a:ext cx="3458632" cy="2029177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</xdr:grpSp>
    <xdr:clientData/>
  </xdr:twoCellAnchor>
  <xdr:twoCellAnchor>
    <xdr:from>
      <xdr:col>16</xdr:col>
      <xdr:colOff>125940</xdr:colOff>
      <xdr:row>26</xdr:row>
      <xdr:rowOff>181680</xdr:rowOff>
    </xdr:from>
    <xdr:to>
      <xdr:col>17</xdr:col>
      <xdr:colOff>124299</xdr:colOff>
      <xdr:row>28</xdr:row>
      <xdr:rowOff>62383</xdr:rowOff>
    </xdr:to>
    <xdr:grpSp>
      <xdr:nvGrpSpPr>
        <xdr:cNvPr id="286" name="3PLoads">
          <a:extLst>
            <a:ext uri="{FF2B5EF4-FFF2-40B4-BE49-F238E27FC236}">
              <a16:creationId xmlns:a16="http://schemas.microsoft.com/office/drawing/2014/main" id="{00000000-0008-0000-0300-00001E010000}"/>
            </a:ext>
          </a:extLst>
        </xdr:cNvPr>
        <xdr:cNvGrpSpPr/>
      </xdr:nvGrpSpPr>
      <xdr:grpSpPr>
        <a:xfrm>
          <a:off x="4189940" y="5464880"/>
          <a:ext cx="252359" cy="287103"/>
          <a:chOff x="3200401" y="4739690"/>
          <a:chExt cx="250595" cy="287456"/>
        </a:xfrm>
      </xdr:grpSpPr>
      <xdr:cxnSp macro="">
        <xdr:nvCxnSpPr>
          <xdr:cNvPr id="287" name="2P">
            <a:extLst>
              <a:ext uri="{FF2B5EF4-FFF2-40B4-BE49-F238E27FC236}">
                <a16:creationId xmlns:a16="http://schemas.microsoft.com/office/drawing/2014/main" id="{00000000-0008-0000-0300-00001F010000}"/>
              </a:ext>
            </a:extLst>
          </xdr:cNvPr>
          <xdr:cNvCxnSpPr/>
        </xdr:nvCxnSpPr>
        <xdr:spPr>
          <a:xfrm flipH="1">
            <a:off x="3200401" y="4739690"/>
            <a:ext cx="250595" cy="189081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8" name="3P">
            <a:extLst>
              <a:ext uri="{FF2B5EF4-FFF2-40B4-BE49-F238E27FC236}">
                <a16:creationId xmlns:a16="http://schemas.microsoft.com/office/drawing/2014/main" id="{00000000-0008-0000-0300-000020010000}"/>
              </a:ext>
            </a:extLst>
          </xdr:cNvPr>
          <xdr:cNvCxnSpPr/>
        </xdr:nvCxnSpPr>
        <xdr:spPr>
          <a:xfrm flipH="1">
            <a:off x="3200401" y="4844192"/>
            <a:ext cx="250595" cy="182954"/>
          </a:xfrm>
          <a:prstGeom prst="line">
            <a:avLst/>
          </a:prstGeom>
          <a:ln w="635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16</xdr:col>
      <xdr:colOff>118533</xdr:colOff>
      <xdr:row>26</xdr:row>
      <xdr:rowOff>84666</xdr:rowOff>
    </xdr:from>
    <xdr:to>
      <xdr:col>17</xdr:col>
      <xdr:colOff>116891</xdr:colOff>
      <xdr:row>27</xdr:row>
      <xdr:rowOff>70195</xdr:rowOff>
    </xdr:to>
    <xdr:cxnSp macro="">
      <xdr:nvCxnSpPr>
        <xdr:cNvPr id="289" name="watat">
          <a:extLst>
            <a:ext uri="{FF2B5EF4-FFF2-40B4-BE49-F238E27FC236}">
              <a16:creationId xmlns:a16="http://schemas.microsoft.com/office/drawing/2014/main" id="{00000000-0008-0000-0300-000021010000}"/>
            </a:ext>
          </a:extLst>
        </xdr:cNvPr>
        <xdr:cNvCxnSpPr/>
      </xdr:nvCxnSpPr>
      <xdr:spPr>
        <a:xfrm flipH="1">
          <a:off x="4182533" y="5367866"/>
          <a:ext cx="252358" cy="188729"/>
        </a:xfrm>
        <a:prstGeom prst="line">
          <a:avLst/>
        </a:prstGeom>
        <a:ln w="6350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67734</xdr:colOff>
      <xdr:row>4</xdr:row>
      <xdr:rowOff>33867</xdr:rowOff>
    </xdr:from>
    <xdr:to>
      <xdr:col>62</xdr:col>
      <xdr:colOff>67733</xdr:colOff>
      <xdr:row>12</xdr:row>
      <xdr:rowOff>130495</xdr:rowOff>
    </xdr:to>
    <xdr:grpSp>
      <xdr:nvGrpSpPr>
        <xdr:cNvPr id="279" name="BD">
          <a:extLst>
            <a:ext uri="{FF2B5EF4-FFF2-40B4-BE49-F238E27FC236}">
              <a16:creationId xmlns:a16="http://schemas.microsoft.com/office/drawing/2014/main" id="{00000000-0008-0000-0300-000017010000}"/>
            </a:ext>
          </a:extLst>
        </xdr:cNvPr>
        <xdr:cNvGrpSpPr/>
      </xdr:nvGrpSpPr>
      <xdr:grpSpPr>
        <a:xfrm>
          <a:off x="8957734" y="846667"/>
          <a:ext cx="6857999" cy="1722228"/>
          <a:chOff x="9040250" y="743066"/>
          <a:chExt cx="6857999" cy="1722228"/>
        </a:xfrm>
      </xdr:grpSpPr>
      <xdr:sp macro="" textlink="">
        <xdr:nvSpPr>
          <xdr:cNvPr id="280" name="Rectangle 279">
            <a:extLst>
              <a:ext uri="{FF2B5EF4-FFF2-40B4-BE49-F238E27FC236}">
                <a16:creationId xmlns:a16="http://schemas.microsoft.com/office/drawing/2014/main" id="{00000000-0008-0000-0300-000018010000}"/>
              </a:ext>
            </a:extLst>
          </xdr:cNvPr>
          <xdr:cNvSpPr/>
        </xdr:nvSpPr>
        <xdr:spPr>
          <a:xfrm>
            <a:off x="9040250" y="743066"/>
            <a:ext cx="6857999" cy="1722228"/>
          </a:xfrm>
          <a:prstGeom prst="rect">
            <a:avLst/>
          </a:prstGeom>
          <a:noFill/>
          <a:ln w="6350">
            <a:solidFill>
              <a:schemeClr val="tx1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1" name="Rectangle 280">
            <a:extLst>
              <a:ext uri="{FF2B5EF4-FFF2-40B4-BE49-F238E27FC236}">
                <a16:creationId xmlns:a16="http://schemas.microsoft.com/office/drawing/2014/main" id="{00000000-0008-0000-0300-000019010000}"/>
              </a:ext>
            </a:extLst>
          </xdr:cNvPr>
          <xdr:cNvSpPr/>
        </xdr:nvSpPr>
        <xdr:spPr>
          <a:xfrm>
            <a:off x="9631829" y="1465696"/>
            <a:ext cx="887026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2" name="Rectangle 281">
            <a:extLst>
              <a:ext uri="{FF2B5EF4-FFF2-40B4-BE49-F238E27FC236}">
                <a16:creationId xmlns:a16="http://schemas.microsoft.com/office/drawing/2014/main" id="{00000000-0008-0000-0300-00001A010000}"/>
              </a:ext>
            </a:extLst>
          </xdr:cNvPr>
          <xdr:cNvSpPr/>
        </xdr:nvSpPr>
        <xdr:spPr>
          <a:xfrm>
            <a:off x="11972786" y="1432814"/>
            <a:ext cx="887025" cy="528240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sp macro="" textlink="">
        <xdr:nvSpPr>
          <xdr:cNvPr id="283" name="Rectangle 282">
            <a:extLst>
              <a:ext uri="{FF2B5EF4-FFF2-40B4-BE49-F238E27FC236}">
                <a16:creationId xmlns:a16="http://schemas.microsoft.com/office/drawing/2014/main" id="{00000000-0008-0000-0300-00001B010000}"/>
              </a:ext>
            </a:extLst>
          </xdr:cNvPr>
          <xdr:cNvSpPr/>
        </xdr:nvSpPr>
        <xdr:spPr>
          <a:xfrm>
            <a:off x="14273424" y="1447958"/>
            <a:ext cx="877094" cy="524386"/>
          </a:xfrm>
          <a:prstGeom prst="rect">
            <a:avLst/>
          </a:prstGeom>
          <a:noFill/>
          <a:ln w="635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GB" sz="1100"/>
          </a:p>
        </xdr:txBody>
      </xdr:sp>
      <xdr:cxnSp macro="">
        <xdr:nvCxnSpPr>
          <xdr:cNvPr id="284" name="Straight Connector 283">
            <a:extLst>
              <a:ext uri="{FF2B5EF4-FFF2-40B4-BE49-F238E27FC236}">
                <a16:creationId xmlns:a16="http://schemas.microsoft.com/office/drawing/2014/main" id="{00000000-0008-0000-0300-00001C010000}"/>
              </a:ext>
            </a:extLst>
          </xdr:cNvPr>
          <xdr:cNvCxnSpPr/>
        </xdr:nvCxnSpPr>
        <xdr:spPr>
          <a:xfrm flipH="1">
            <a:off x="10527196" y="1710334"/>
            <a:ext cx="1443978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5" name="Straight Connector 284">
            <a:extLst>
              <a:ext uri="{FF2B5EF4-FFF2-40B4-BE49-F238E27FC236}">
                <a16:creationId xmlns:a16="http://schemas.microsoft.com/office/drawing/2014/main" id="{00000000-0008-0000-0300-00001D010000}"/>
              </a:ext>
            </a:extLst>
          </xdr:cNvPr>
          <xdr:cNvCxnSpPr/>
        </xdr:nvCxnSpPr>
        <xdr:spPr>
          <a:xfrm flipH="1">
            <a:off x="12855779" y="1707025"/>
            <a:ext cx="1404744" cy="0"/>
          </a:xfrm>
          <a:prstGeom prst="line">
            <a:avLst/>
          </a:prstGeom>
          <a:ln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38</xdr:col>
      <xdr:colOff>16934</xdr:colOff>
      <xdr:row>8</xdr:row>
      <xdr:rowOff>17423</xdr:rowOff>
    </xdr:from>
    <xdr:to>
      <xdr:col>40</xdr:col>
      <xdr:colOff>180871</xdr:colOff>
      <xdr:row>10</xdr:row>
      <xdr:rowOff>6853</xdr:rowOff>
    </xdr:to>
    <xdr:sp macro="" textlink="">
      <xdr:nvSpPr>
        <xdr:cNvPr id="290" name="Tb-b1">
          <a:extLst>
            <a:ext uri="{FF2B5EF4-FFF2-40B4-BE49-F238E27FC236}">
              <a16:creationId xmlns:a16="http://schemas.microsoft.com/office/drawing/2014/main" id="{00000000-0008-0000-0300-000022010000}"/>
            </a:ext>
          </a:extLst>
        </xdr:cNvPr>
        <xdr:cNvSpPr txBox="1"/>
      </xdr:nvSpPr>
      <xdr:spPr>
        <a:xfrm>
          <a:off x="9668934" y="1643023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47</xdr:col>
      <xdr:colOff>35745</xdr:colOff>
      <xdr:row>8</xdr:row>
      <xdr:rowOff>9249</xdr:rowOff>
    </xdr:from>
    <xdr:to>
      <xdr:col>49</xdr:col>
      <xdr:colOff>199682</xdr:colOff>
      <xdr:row>9</xdr:row>
      <xdr:rowOff>201879</xdr:rowOff>
    </xdr:to>
    <xdr:sp macro="" textlink="">
      <xdr:nvSpPr>
        <xdr:cNvPr id="291" name="Tb-b2">
          <a:extLst>
            <a:ext uri="{FF2B5EF4-FFF2-40B4-BE49-F238E27FC236}">
              <a16:creationId xmlns:a16="http://schemas.microsoft.com/office/drawing/2014/main" id="{00000000-0008-0000-0300-000023010000}"/>
            </a:ext>
          </a:extLst>
        </xdr:cNvPr>
        <xdr:cNvSpPr txBox="1"/>
      </xdr:nvSpPr>
      <xdr:spPr>
        <a:xfrm>
          <a:off x="11973745" y="1634849"/>
          <a:ext cx="671937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56</xdr:col>
      <xdr:colOff>87721</xdr:colOff>
      <xdr:row>8</xdr:row>
      <xdr:rowOff>15672</xdr:rowOff>
    </xdr:from>
    <xdr:to>
      <xdr:col>58</xdr:col>
      <xdr:colOff>247687</xdr:colOff>
      <xdr:row>10</xdr:row>
      <xdr:rowOff>5102</xdr:rowOff>
    </xdr:to>
    <xdr:sp macro="" textlink="">
      <xdr:nvSpPr>
        <xdr:cNvPr id="292" name="Tb-b3">
          <a:extLst>
            <a:ext uri="{FF2B5EF4-FFF2-40B4-BE49-F238E27FC236}">
              <a16:creationId xmlns:a16="http://schemas.microsoft.com/office/drawing/2014/main" id="{00000000-0008-0000-0300-000024010000}"/>
            </a:ext>
          </a:extLst>
        </xdr:cNvPr>
        <xdr:cNvSpPr txBox="1"/>
      </xdr:nvSpPr>
      <xdr:spPr>
        <a:xfrm>
          <a:off x="14311721" y="1641272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209628</xdr:colOff>
      <xdr:row>7</xdr:row>
      <xdr:rowOff>94593</xdr:rowOff>
    </xdr:from>
    <xdr:to>
      <xdr:col>45</xdr:col>
      <xdr:colOff>119566</xdr:colOff>
      <xdr:row>9</xdr:row>
      <xdr:rowOff>84021</xdr:rowOff>
    </xdr:to>
    <xdr:sp macro="" textlink="">
      <xdr:nvSpPr>
        <xdr:cNvPr id="293" name="Tb-l1a">
          <a:extLst>
            <a:ext uri="{FF2B5EF4-FFF2-40B4-BE49-F238E27FC236}">
              <a16:creationId xmlns:a16="http://schemas.microsoft.com/office/drawing/2014/main" id="{00000000-0008-0000-0300-000025010000}"/>
            </a:ext>
          </a:extLst>
        </xdr:cNvPr>
        <xdr:cNvSpPr txBox="1"/>
      </xdr:nvSpPr>
      <xdr:spPr>
        <a:xfrm>
          <a:off x="10877628" y="1516993"/>
          <a:ext cx="671938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42</xdr:col>
      <xdr:colOff>216051</xdr:colOff>
      <xdr:row>8</xdr:row>
      <xdr:rowOff>147050</xdr:rowOff>
    </xdr:from>
    <xdr:to>
      <xdr:col>45</xdr:col>
      <xdr:colOff>125989</xdr:colOff>
      <xdr:row>10</xdr:row>
      <xdr:rowOff>136480</xdr:rowOff>
    </xdr:to>
    <xdr:sp macro="" textlink="">
      <xdr:nvSpPr>
        <xdr:cNvPr id="317" name="Tb-l1b">
          <a:extLst>
            <a:ext uri="{FF2B5EF4-FFF2-40B4-BE49-F238E27FC236}">
              <a16:creationId xmlns:a16="http://schemas.microsoft.com/office/drawing/2014/main" id="{00000000-0008-0000-0300-00003D010000}"/>
            </a:ext>
          </a:extLst>
        </xdr:cNvPr>
        <xdr:cNvSpPr txBox="1"/>
      </xdr:nvSpPr>
      <xdr:spPr>
        <a:xfrm>
          <a:off x="10884051" y="1772650"/>
          <a:ext cx="671938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147274</xdr:colOff>
      <xdr:row>8</xdr:row>
      <xdr:rowOff>169144</xdr:rowOff>
    </xdr:from>
    <xdr:to>
      <xdr:col>54</xdr:col>
      <xdr:colOff>53240</xdr:colOff>
      <xdr:row>10</xdr:row>
      <xdr:rowOff>158574</xdr:rowOff>
    </xdr:to>
    <xdr:sp macro="" textlink="">
      <xdr:nvSpPr>
        <xdr:cNvPr id="318" name="Tb-l2b">
          <a:extLst>
            <a:ext uri="{FF2B5EF4-FFF2-40B4-BE49-F238E27FC236}">
              <a16:creationId xmlns:a16="http://schemas.microsoft.com/office/drawing/2014/main" id="{00000000-0008-0000-0300-00003E010000}"/>
            </a:ext>
          </a:extLst>
        </xdr:cNvPr>
        <xdr:cNvSpPr txBox="1"/>
      </xdr:nvSpPr>
      <xdr:spPr>
        <a:xfrm>
          <a:off x="13101274" y="1794744"/>
          <a:ext cx="667966" cy="395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  <xdr:twoCellAnchor>
    <xdr:from>
      <xdr:col>51</xdr:col>
      <xdr:colOff>153697</xdr:colOff>
      <xdr:row>7</xdr:row>
      <xdr:rowOff>84667</xdr:rowOff>
    </xdr:from>
    <xdr:to>
      <xdr:col>54</xdr:col>
      <xdr:colOff>59663</xdr:colOff>
      <xdr:row>9</xdr:row>
      <xdr:rowOff>74095</xdr:rowOff>
    </xdr:to>
    <xdr:sp macro="" textlink="">
      <xdr:nvSpPr>
        <xdr:cNvPr id="319" name="Tb-l2a">
          <a:extLst>
            <a:ext uri="{FF2B5EF4-FFF2-40B4-BE49-F238E27FC236}">
              <a16:creationId xmlns:a16="http://schemas.microsoft.com/office/drawing/2014/main" id="{00000000-0008-0000-0300-00003F010000}"/>
            </a:ext>
          </a:extLst>
        </xdr:cNvPr>
        <xdr:cNvSpPr txBox="1"/>
      </xdr:nvSpPr>
      <xdr:spPr>
        <a:xfrm>
          <a:off x="13107697" y="1507067"/>
          <a:ext cx="667966" cy="39582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en-GB" sz="8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hcbsolar-operations/jobs/templates/Design%20For%20Three%20Phase%20Suppl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nage"/>
      <sheetName val="Rules"/>
      <sheetName val="Defined Names"/>
      <sheetName val="Reference - Panel"/>
      <sheetName val="Reference - Inverter"/>
      <sheetName val="Reference - Cable"/>
      <sheetName val="Design VRC"/>
      <sheetName val="1x1"/>
      <sheetName val="1x1 (C)"/>
      <sheetName val="1x2"/>
      <sheetName val="1x2 (C)"/>
      <sheetName val="SLD Components"/>
    </sheetNames>
    <sheetDataSet>
      <sheetData sheetId="0">
        <row r="28">
          <cell r="I28">
            <v>9</v>
          </cell>
        </row>
        <row r="29">
          <cell r="I29">
            <v>9</v>
          </cell>
        </row>
      </sheetData>
      <sheetData sheetId="1">
        <row r="5">
          <cell r="C5" t="b">
            <v>0</v>
          </cell>
        </row>
        <row r="6">
          <cell r="C6" t="b">
            <v>0</v>
          </cell>
        </row>
        <row r="10">
          <cell r="C10" t="b">
            <v>0</v>
          </cell>
        </row>
        <row r="11">
          <cell r="C11" t="b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C849B-E273-F44B-9CC5-2C53F577DEC6}">
  <sheetPr codeName="Feuil12"/>
  <dimension ref="A1:H40"/>
  <sheetViews>
    <sheetView topLeftCell="A11" zoomScale="99" workbookViewId="0">
      <selection activeCell="E33" sqref="E33"/>
    </sheetView>
  </sheetViews>
  <sheetFormatPr baseColWidth="10" defaultRowHeight="16" x14ac:dyDescent="0.2"/>
  <cols>
    <col min="1" max="1" width="22.1640625" style="122" customWidth="1"/>
    <col min="2" max="2" width="37.1640625" style="53" customWidth="1"/>
    <col min="3" max="3" width="19.1640625" style="145" customWidth="1"/>
    <col min="4" max="4" width="19.83203125" style="53" customWidth="1"/>
    <col min="5" max="5" width="16.6640625" style="86" customWidth="1"/>
    <col min="6" max="6" width="18" style="93" customWidth="1"/>
    <col min="7" max="7" width="21.1640625" style="93" customWidth="1"/>
    <col min="8" max="8" width="15.5" style="122" customWidth="1"/>
  </cols>
  <sheetData>
    <row r="1" spans="1:8" x14ac:dyDescent="0.2">
      <c r="A1" s="154" t="s">
        <v>99</v>
      </c>
      <c r="B1" s="154"/>
      <c r="C1" s="154" t="s">
        <v>133</v>
      </c>
      <c r="D1" s="154"/>
    </row>
    <row r="2" spans="1:8" x14ac:dyDescent="0.2">
      <c r="A2" s="89" t="s">
        <v>100</v>
      </c>
      <c r="B2" s="89">
        <v>26394</v>
      </c>
      <c r="C2" s="147" t="s">
        <v>141</v>
      </c>
      <c r="D2" s="89"/>
    </row>
    <row r="3" spans="1:8" ht="34" x14ac:dyDescent="0.2">
      <c r="A3" s="90" t="s">
        <v>102</v>
      </c>
      <c r="B3" s="90" t="s">
        <v>147</v>
      </c>
      <c r="C3" s="146" t="s">
        <v>134</v>
      </c>
      <c r="D3" s="142"/>
    </row>
    <row r="4" spans="1:8" ht="24" customHeight="1" x14ac:dyDescent="0.2">
      <c r="A4" s="89" t="s">
        <v>101</v>
      </c>
      <c r="B4" s="89" t="s">
        <v>148</v>
      </c>
      <c r="C4" s="146" t="s">
        <v>135</v>
      </c>
      <c r="D4" s="142"/>
    </row>
    <row r="5" spans="1:8" x14ac:dyDescent="0.2">
      <c r="A5" s="89" t="s">
        <v>71</v>
      </c>
      <c r="B5" s="89">
        <v>3</v>
      </c>
      <c r="C5" s="146" t="s">
        <v>136</v>
      </c>
      <c r="D5" s="142"/>
    </row>
    <row r="6" spans="1:8" x14ac:dyDescent="0.2">
      <c r="A6" s="139"/>
      <c r="B6" s="139"/>
      <c r="C6" s="146" t="s">
        <v>137</v>
      </c>
      <c r="D6" s="142"/>
    </row>
    <row r="7" spans="1:8" x14ac:dyDescent="0.2">
      <c r="A7" s="139"/>
      <c r="B7" s="139"/>
      <c r="C7" s="146" t="s">
        <v>138</v>
      </c>
      <c r="D7" s="142"/>
    </row>
    <row r="8" spans="1:8" x14ac:dyDescent="0.2">
      <c r="A8" s="139"/>
      <c r="B8" s="139"/>
      <c r="C8" s="146" t="s">
        <v>139</v>
      </c>
      <c r="D8" s="142"/>
    </row>
    <row r="9" spans="1:8" x14ac:dyDescent="0.2">
      <c r="C9" s="146" t="s">
        <v>140</v>
      </c>
      <c r="D9" s="142"/>
    </row>
    <row r="10" spans="1:8" x14ac:dyDescent="0.2">
      <c r="A10" s="155" t="s">
        <v>108</v>
      </c>
      <c r="B10" s="156"/>
      <c r="C10" s="147" t="s">
        <v>142</v>
      </c>
      <c r="D10" s="89"/>
      <c r="E10" s="123"/>
      <c r="F10" s="125"/>
    </row>
    <row r="11" spans="1:8" x14ac:dyDescent="0.2">
      <c r="A11" s="124" t="s">
        <v>103</v>
      </c>
      <c r="B11" s="92" t="s">
        <v>80</v>
      </c>
      <c r="C11" s="143"/>
      <c r="D11" s="121"/>
      <c r="E11" s="123"/>
      <c r="F11" s="125"/>
      <c r="G11" s="125"/>
      <c r="H11" s="125"/>
    </row>
    <row r="12" spans="1:8" x14ac:dyDescent="0.2">
      <c r="A12" s="124" t="s">
        <v>104</v>
      </c>
      <c r="B12" s="92" t="s">
        <v>149</v>
      </c>
      <c r="C12" s="143"/>
      <c r="D12" s="121"/>
      <c r="E12" s="123"/>
      <c r="F12" s="125"/>
      <c r="G12" s="125"/>
      <c r="H12" s="125"/>
    </row>
    <row r="13" spans="1:8" x14ac:dyDescent="0.2">
      <c r="A13" s="124" t="s">
        <v>105</v>
      </c>
      <c r="B13" s="92">
        <v>36</v>
      </c>
      <c r="C13" s="143"/>
      <c r="D13" s="126"/>
      <c r="E13" s="126"/>
      <c r="F13" s="119"/>
      <c r="G13" s="119"/>
      <c r="H13" s="121"/>
    </row>
    <row r="14" spans="1:8" x14ac:dyDescent="0.2">
      <c r="A14" s="89" t="s">
        <v>109</v>
      </c>
      <c r="B14" s="92">
        <v>370</v>
      </c>
    </row>
    <row r="15" spans="1:8" x14ac:dyDescent="0.2">
      <c r="A15" s="89" t="s">
        <v>110</v>
      </c>
      <c r="B15" s="91">
        <v>41.72</v>
      </c>
    </row>
    <row r="16" spans="1:8" x14ac:dyDescent="0.2">
      <c r="A16" s="89" t="s">
        <v>111</v>
      </c>
      <c r="B16" s="91">
        <v>11.32</v>
      </c>
      <c r="C16" s="144"/>
      <c r="D16" s="127"/>
      <c r="E16" s="127"/>
      <c r="F16" s="127"/>
    </row>
    <row r="17" spans="1:6" x14ac:dyDescent="0.2">
      <c r="B17" s="127"/>
      <c r="C17" s="144"/>
      <c r="D17" s="127"/>
      <c r="E17" s="127"/>
      <c r="F17" s="127"/>
    </row>
    <row r="18" spans="1:6" x14ac:dyDescent="0.2">
      <c r="A18" s="154" t="s">
        <v>112</v>
      </c>
      <c r="B18" s="154"/>
      <c r="E18" s="127"/>
      <c r="F18" s="127"/>
    </row>
    <row r="19" spans="1:6" x14ac:dyDescent="0.2">
      <c r="A19" s="89" t="s">
        <v>106</v>
      </c>
      <c r="B19" s="89" t="s">
        <v>150</v>
      </c>
      <c r="E19" s="127"/>
      <c r="F19" s="127"/>
    </row>
    <row r="20" spans="1:6" ht="16" customHeight="1" x14ac:dyDescent="0.2">
      <c r="A20" s="89" t="s">
        <v>107</v>
      </c>
      <c r="B20" s="89" t="s">
        <v>151</v>
      </c>
      <c r="E20" s="127"/>
      <c r="F20" s="127"/>
    </row>
    <row r="21" spans="1:6" ht="16" customHeight="1" x14ac:dyDescent="0.2">
      <c r="A21" s="89" t="s">
        <v>113</v>
      </c>
      <c r="B21" s="89">
        <v>1</v>
      </c>
      <c r="E21" s="127"/>
      <c r="F21" s="127"/>
    </row>
    <row r="22" spans="1:6" x14ac:dyDescent="0.2">
      <c r="A22" s="89" t="s">
        <v>114</v>
      </c>
      <c r="B22" s="89">
        <v>21.7</v>
      </c>
      <c r="E22" s="127"/>
      <c r="F22" s="127"/>
    </row>
    <row r="23" spans="1:6" x14ac:dyDescent="0.2">
      <c r="A23" s="89" t="s">
        <v>60</v>
      </c>
      <c r="B23" s="89">
        <v>4.9850000000000003</v>
      </c>
      <c r="E23" s="127"/>
      <c r="F23" s="127"/>
    </row>
    <row r="24" spans="1:6" x14ac:dyDescent="0.2">
      <c r="A24" s="89" t="s">
        <v>115</v>
      </c>
      <c r="B24" s="89">
        <v>10</v>
      </c>
      <c r="E24" s="127"/>
      <c r="F24" s="127"/>
    </row>
    <row r="25" spans="1:6" x14ac:dyDescent="0.2">
      <c r="A25" s="89" t="s">
        <v>116</v>
      </c>
      <c r="B25" s="89">
        <v>11</v>
      </c>
      <c r="E25" s="127"/>
      <c r="F25" s="127"/>
    </row>
    <row r="26" spans="1:6" x14ac:dyDescent="0.2">
      <c r="A26" s="89" t="s">
        <v>117</v>
      </c>
      <c r="B26" s="89"/>
    </row>
    <row r="27" spans="1:6" x14ac:dyDescent="0.2">
      <c r="A27" s="128" t="s">
        <v>118</v>
      </c>
      <c r="B27" s="128"/>
    </row>
    <row r="28" spans="1:6" x14ac:dyDescent="0.2">
      <c r="A28" s="89" t="s">
        <v>124</v>
      </c>
      <c r="B28" s="89"/>
    </row>
    <row r="29" spans="1:6" x14ac:dyDescent="0.2">
      <c r="A29" s="157" t="s">
        <v>119</v>
      </c>
      <c r="B29" s="157"/>
    </row>
    <row r="30" spans="1:6" x14ac:dyDescent="0.2">
      <c r="A30" s="89" t="s">
        <v>120</v>
      </c>
      <c r="B30" s="89">
        <v>25</v>
      </c>
    </row>
    <row r="31" spans="1:6" x14ac:dyDescent="0.2">
      <c r="A31" s="89" t="s">
        <v>121</v>
      </c>
      <c r="B31" s="89">
        <v>16</v>
      </c>
    </row>
    <row r="32" spans="1:6" x14ac:dyDescent="0.2">
      <c r="A32" s="89" t="s">
        <v>122</v>
      </c>
      <c r="B32" s="89">
        <v>6</v>
      </c>
    </row>
    <row r="33" spans="1:2" x14ac:dyDescent="0.2">
      <c r="A33" s="89" t="s">
        <v>123</v>
      </c>
      <c r="B33" s="89">
        <v>4</v>
      </c>
    </row>
    <row r="34" spans="1:2" x14ac:dyDescent="0.2">
      <c r="A34" s="89" t="s">
        <v>132</v>
      </c>
      <c r="B34" s="89"/>
    </row>
    <row r="35" spans="1:2" x14ac:dyDescent="0.2">
      <c r="A35" s="89" t="s">
        <v>143</v>
      </c>
      <c r="B35" s="89" t="s">
        <v>152</v>
      </c>
    </row>
    <row r="36" spans="1:2" x14ac:dyDescent="0.2">
      <c r="A36" s="89" t="s">
        <v>144</v>
      </c>
      <c r="B36" s="89" t="s">
        <v>153</v>
      </c>
    </row>
    <row r="37" spans="1:2" x14ac:dyDescent="0.2">
      <c r="A37" s="89" t="s">
        <v>145</v>
      </c>
      <c r="B37" s="89" t="s">
        <v>154</v>
      </c>
    </row>
    <row r="38" spans="1:2" x14ac:dyDescent="0.2">
      <c r="A38" s="153" t="s">
        <v>125</v>
      </c>
      <c r="B38" s="153"/>
    </row>
    <row r="39" spans="1:2" x14ac:dyDescent="0.2">
      <c r="A39" s="89" t="s">
        <v>126</v>
      </c>
      <c r="B39" s="89"/>
    </row>
    <row r="40" spans="1:2" x14ac:dyDescent="0.2">
      <c r="A40" s="89" t="s">
        <v>131</v>
      </c>
      <c r="B40" s="89"/>
    </row>
  </sheetData>
  <mergeCells count="6">
    <mergeCell ref="A38:B38"/>
    <mergeCell ref="C1:D1"/>
    <mergeCell ref="A1:B1"/>
    <mergeCell ref="A10:B10"/>
    <mergeCell ref="A18:B18"/>
    <mergeCell ref="A29:B29"/>
  </mergeCells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C47F70-F295-3042-ADEC-DA24459744A4}">
  <sheetPr codeName="Sheet1">
    <pageSetUpPr fitToPage="1"/>
  </sheetPr>
  <dimension ref="B6:G41"/>
  <sheetViews>
    <sheetView topLeftCell="A17" workbookViewId="0">
      <selection activeCell="F32" sqref="F32"/>
    </sheetView>
  </sheetViews>
  <sheetFormatPr baseColWidth="10" defaultRowHeight="16" x14ac:dyDescent="0.2"/>
  <cols>
    <col min="2" max="2" width="25" customWidth="1"/>
    <col min="3" max="3" width="25.6640625" customWidth="1"/>
    <col min="4" max="4" width="24.83203125" customWidth="1"/>
    <col min="5" max="5" width="23.83203125" customWidth="1"/>
    <col min="6" max="6" width="20" customWidth="1"/>
    <col min="7" max="7" width="21" customWidth="1"/>
  </cols>
  <sheetData>
    <row r="6" s="2" customFormat="1" x14ac:dyDescent="0.2"/>
    <row r="29" spans="2:7" ht="17" thickBot="1" x14ac:dyDescent="0.25">
      <c r="B29" s="85"/>
      <c r="C29" s="85"/>
      <c r="D29" s="85"/>
      <c r="E29" s="85"/>
      <c r="F29" s="85"/>
      <c r="G29" s="85"/>
    </row>
    <row r="30" spans="2:7" ht="17" thickBot="1" x14ac:dyDescent="0.25">
      <c r="B30" s="54" t="s">
        <v>69</v>
      </c>
      <c r="C30" s="55" t="str">
        <f>Param!B3</f>
        <v xml:space="preserve">Jones, Terry
</v>
      </c>
      <c r="D30" s="54" t="s">
        <v>70</v>
      </c>
      <c r="E30" s="158" t="str">
        <f>Param!B4</f>
        <v>3 Allandale Street Kearsley</v>
      </c>
      <c r="F30" s="159"/>
      <c r="G30" s="160"/>
    </row>
    <row r="31" spans="2:7" ht="17" thickBot="1" x14ac:dyDescent="0.25">
      <c r="B31" s="161" t="str">
        <f>Param!B35</f>
        <v>Service main to Private Pole</v>
      </c>
      <c r="C31" s="162"/>
      <c r="D31" s="161" t="str">
        <f>Param!B36</f>
        <v>Private Pole to MSB</v>
      </c>
      <c r="E31" s="162"/>
      <c r="F31" s="163" t="str">
        <f>Param!B37</f>
        <v>MSB to Inverter</v>
      </c>
      <c r="G31" s="164"/>
    </row>
    <row r="32" spans="2:7" x14ac:dyDescent="0.2">
      <c r="B32" s="56" t="s">
        <v>71</v>
      </c>
      <c r="C32" s="57">
        <f>Param!B21</f>
        <v>1</v>
      </c>
      <c r="D32" s="56" t="s">
        <v>71</v>
      </c>
      <c r="E32" s="57">
        <f>Param!B21</f>
        <v>1</v>
      </c>
      <c r="F32" s="58" t="s">
        <v>71</v>
      </c>
      <c r="G32" s="59">
        <f>Param!B21</f>
        <v>1</v>
      </c>
    </row>
    <row r="33" spans="2:7" x14ac:dyDescent="0.2">
      <c r="B33" s="56" t="s">
        <v>72</v>
      </c>
      <c r="C33" s="60" t="s">
        <v>73</v>
      </c>
      <c r="D33" s="56" t="s">
        <v>72</v>
      </c>
      <c r="E33" s="61" t="s">
        <v>73</v>
      </c>
      <c r="F33" s="62" t="s">
        <v>72</v>
      </c>
      <c r="G33" s="63" t="s">
        <v>73</v>
      </c>
    </row>
    <row r="34" spans="2:7" x14ac:dyDescent="0.2">
      <c r="B34" s="64" t="s">
        <v>74</v>
      </c>
      <c r="C34" s="65">
        <v>16</v>
      </c>
      <c r="D34" s="64" t="s">
        <v>74</v>
      </c>
      <c r="E34" s="65">
        <v>16</v>
      </c>
      <c r="F34" s="64" t="s">
        <v>74</v>
      </c>
      <c r="G34" s="66">
        <f>Param!B33</f>
        <v>4</v>
      </c>
    </row>
    <row r="35" spans="2:7" x14ac:dyDescent="0.2">
      <c r="B35" s="67" t="s">
        <v>75</v>
      </c>
      <c r="C35" s="68">
        <f>Param!B30</f>
        <v>25</v>
      </c>
      <c r="D35" s="67" t="s">
        <v>75</v>
      </c>
      <c r="E35" s="69">
        <f>Param!B31</f>
        <v>16</v>
      </c>
      <c r="F35" s="67" t="s">
        <v>75</v>
      </c>
      <c r="G35" s="69">
        <f>Param!B32</f>
        <v>6</v>
      </c>
    </row>
    <row r="36" spans="2:7" x14ac:dyDescent="0.2">
      <c r="B36" s="67" t="s">
        <v>76</v>
      </c>
      <c r="C36" s="70">
        <f>Param!B22</f>
        <v>21.7</v>
      </c>
      <c r="D36" s="67" t="s">
        <v>76</v>
      </c>
      <c r="E36" s="71">
        <f>Param!B22</f>
        <v>21.7</v>
      </c>
      <c r="F36" s="67" t="s">
        <v>76</v>
      </c>
      <c r="G36" s="71">
        <f>Param!B22</f>
        <v>21.7</v>
      </c>
    </row>
    <row r="37" spans="2:7" ht="17" thickBot="1" x14ac:dyDescent="0.25">
      <c r="B37" s="72" t="s">
        <v>77</v>
      </c>
      <c r="C37" s="73" cm="1">
        <f t="array" ref="C37">AmPerPcntVd(C34,C32)</f>
        <v>818</v>
      </c>
      <c r="D37" s="74" t="s">
        <v>77</v>
      </c>
      <c r="E37" s="73" cm="1">
        <f t="array" ref="E37">AmPerPcntVd(E34,E32)</f>
        <v>818</v>
      </c>
      <c r="F37" s="74" t="s">
        <v>77</v>
      </c>
      <c r="G37" s="75" cm="1">
        <f t="array" ref="G37">AmPerPcntVd(G34,G32)</f>
        <v>205</v>
      </c>
    </row>
    <row r="38" spans="2:7" ht="17" thickBot="1" x14ac:dyDescent="0.25">
      <c r="B38" s="76" t="s">
        <v>78</v>
      </c>
      <c r="C38" s="77" cm="1">
        <f t="array" ref="C38">VoltageDrop(C36,C34,C35,C32)/100</f>
        <v>6.6320293398533002E-3</v>
      </c>
      <c r="D38" s="78" t="s">
        <v>78</v>
      </c>
      <c r="E38" s="77" cm="1">
        <f t="array" ref="E38">VoltageDrop(E36,E34,E35,E32)/100</f>
        <v>4.2444987775061118E-3</v>
      </c>
      <c r="F38" s="78" t="s">
        <v>78</v>
      </c>
      <c r="G38" s="84" cm="1">
        <f t="array" ref="G38">VoltageDrop(G36,G34,G35,G32)/100</f>
        <v>6.3512195121951213E-3</v>
      </c>
    </row>
    <row r="39" spans="2:7" ht="17" thickBot="1" x14ac:dyDescent="0.25">
      <c r="B39" s="76" t="s">
        <v>79</v>
      </c>
      <c r="C39" s="79">
        <f>C38*IF(C32=1,230,400)</f>
        <v>1.5253667481662589</v>
      </c>
      <c r="D39" s="76" t="s">
        <v>79</v>
      </c>
      <c r="E39" s="79">
        <f>E38*IF(E32=1,230,400)</f>
        <v>0.97623471882640567</v>
      </c>
      <c r="F39" s="76" t="s">
        <v>79</v>
      </c>
      <c r="G39" s="83">
        <f>G38*IF(G32=1,230,400)</f>
        <v>1.460780487804878</v>
      </c>
    </row>
    <row r="40" spans="2:7" x14ac:dyDescent="0.2">
      <c r="B40" s="165" t="s">
        <v>29</v>
      </c>
      <c r="C40" s="140" t="str">
        <f>_xlfn.CONCAT(Param!B34)</f>
        <v/>
      </c>
      <c r="D40" s="80"/>
      <c r="E40" s="80"/>
      <c r="F40" s="167">
        <f>C38+G38+E38</f>
        <v>1.7227747629554532E-2</v>
      </c>
      <c r="G40" s="169">
        <f>G39+E39+C39</f>
        <v>3.962381954797543</v>
      </c>
    </row>
    <row r="41" spans="2:7" ht="17" thickBot="1" x14ac:dyDescent="0.25">
      <c r="B41" s="166"/>
      <c r="C41" s="81"/>
      <c r="D41" s="82"/>
      <c r="E41" s="82"/>
      <c r="F41" s="168"/>
      <c r="G41" s="170"/>
    </row>
  </sheetData>
  <mergeCells count="7">
    <mergeCell ref="E30:G30"/>
    <mergeCell ref="B31:C31"/>
    <mergeCell ref="D31:E31"/>
    <mergeCell ref="F31:G31"/>
    <mergeCell ref="B40:B41"/>
    <mergeCell ref="F40:F41"/>
    <mergeCell ref="G40:G41"/>
  </mergeCells>
  <conditionalFormatting sqref="C38 E38 G38">
    <cfRule type="cellIs" dxfId="15" priority="7" operator="greaterThan">
      <formula>0.01</formula>
    </cfRule>
    <cfRule type="cellIs" dxfId="14" priority="8" operator="lessThanOrEqual">
      <formula>0.01</formula>
    </cfRule>
  </conditionalFormatting>
  <conditionalFormatting sqref="C30 E30 C32:C33 C35:C36 E35:E36 G35:G36 E32:E33 G32:G33">
    <cfRule type="containsBlanks" dxfId="13" priority="9">
      <formula>LEN(TRIM(C30))=0</formula>
    </cfRule>
  </conditionalFormatting>
  <conditionalFormatting sqref="C39">
    <cfRule type="cellIs" dxfId="12" priority="5" operator="greaterThan">
      <formula>0.01</formula>
    </cfRule>
    <cfRule type="cellIs" dxfId="11" priority="6" operator="lessThanOrEqual">
      <formula>0.01</formula>
    </cfRule>
  </conditionalFormatting>
  <conditionalFormatting sqref="E39 K39">
    <cfRule type="cellIs" dxfId="10" priority="3" operator="greaterThan">
      <formula>0.01</formula>
    </cfRule>
    <cfRule type="cellIs" dxfId="9" priority="4" operator="lessThanOrEqual">
      <formula>0.01</formula>
    </cfRule>
  </conditionalFormatting>
  <conditionalFormatting sqref="G39 M39">
    <cfRule type="cellIs" dxfId="8" priority="1" operator="greaterThan">
      <formula>0.01</formula>
    </cfRule>
    <cfRule type="cellIs" dxfId="7" priority="2" operator="lessThanOrEqual">
      <formula>0.01</formula>
    </cfRule>
  </conditionalFormatting>
  <dataValidations count="4">
    <dataValidation type="list" allowBlank="1" showInputMessage="1" showErrorMessage="1" sqref="C34 E34 G34" xr:uid="{F878F764-7AC0-B540-B33B-54EB7F071147}">
      <formula1>conductor_size</formula1>
    </dataValidation>
    <dataValidation type="list" errorStyle="warning" allowBlank="1" showInputMessage="1" showErrorMessage="1" sqref="E32" xr:uid="{5CE42D14-9641-D249-875A-11CC6B32B0B2}">
      <formula1>select_phases</formula1>
    </dataValidation>
    <dataValidation type="list" allowBlank="1" showInputMessage="1" showErrorMessage="1" sqref="C33 E33 G33" xr:uid="{E12E9D8C-A363-F84B-896A-2DE5EBCA9D36}">
      <formula1>select_conductor_type</formula1>
    </dataValidation>
    <dataValidation type="list" allowBlank="1" showInputMessage="1" showErrorMessage="1" sqref="C32 G32" xr:uid="{5475BD4C-086E-0F46-81AC-E14853108651}">
      <formula1>select_phases</formula1>
    </dataValidation>
  </dataValidations>
  <pageMargins left="0.7" right="0.7" top="0.75" bottom="0.75" header="0.3" footer="0.3"/>
  <pageSetup paperSize="9" scale="7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Print_Vrise">
                <anchor moveWithCells="1" sizeWithCells="1">
                  <from>
                    <xdr:col>6</xdr:col>
                    <xdr:colOff>1409700</xdr:colOff>
                    <xdr:row>16</xdr:row>
                    <xdr:rowOff>152400</xdr:rowOff>
                  </from>
                  <to>
                    <xdr:col>8</xdr:col>
                    <xdr:colOff>508000</xdr:colOff>
                    <xdr:row>18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75F5F-D10E-8D43-9A51-7A52569B06AA}">
  <sheetPr codeName="Feuil14">
    <pageSetUpPr fitToPage="1"/>
  </sheetPr>
  <dimension ref="B5:CD74"/>
  <sheetViews>
    <sheetView showGridLines="0" tabSelected="1" topLeftCell="A27" zoomScale="81" zoomScaleNormal="85" workbookViewId="0">
      <selection activeCell="BM61" sqref="BM61"/>
    </sheetView>
  </sheetViews>
  <sheetFormatPr baseColWidth="10" defaultRowHeight="16" x14ac:dyDescent="0.2"/>
  <cols>
    <col min="1" max="73" width="3.33203125" style="97" customWidth="1"/>
    <col min="74" max="74" width="5.33203125" style="97" bestFit="1" customWidth="1"/>
    <col min="75" max="83" width="3.33203125" style="97" customWidth="1"/>
    <col min="84" max="16384" width="10.83203125" style="97"/>
  </cols>
  <sheetData>
    <row r="5" spans="4:81" x14ac:dyDescent="0.2">
      <c r="D5" s="118" t="s">
        <v>95</v>
      </c>
      <c r="AK5" s="87" t="str">
        <f>IF(Param!D2=1,"Block Diagram","")</f>
        <v/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BJ6" s="52"/>
      <c r="BR6" s="44" t="s">
        <v>62</v>
      </c>
      <c r="BS6" s="38"/>
      <c r="BT6" s="38"/>
      <c r="BU6" s="38"/>
      <c r="BW6" s="187" t="str">
        <f>Param!B11</f>
        <v>LG Electronics</v>
      </c>
      <c r="BX6" s="187"/>
      <c r="BY6" s="187"/>
      <c r="BZ6" s="188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W7" s="189" t="str">
        <f>Param!B12</f>
        <v>LG Mono X Plus</v>
      </c>
      <c r="BX7" s="189"/>
      <c r="BY7" s="189"/>
      <c r="BZ7" s="190"/>
    </row>
    <row r="8" spans="4:81" x14ac:dyDescent="0.2">
      <c r="BL8" s="50"/>
      <c r="BM8" s="50"/>
      <c r="BN8" s="50"/>
      <c r="BR8" s="44" t="s">
        <v>127</v>
      </c>
      <c r="BS8" s="137"/>
      <c r="BT8" s="137"/>
      <c r="BU8" s="137"/>
      <c r="BV8" s="137"/>
      <c r="BW8" s="194">
        <f>Param!B13</f>
        <v>36</v>
      </c>
      <c r="BX8" s="194"/>
      <c r="BY8" s="194"/>
      <c r="BZ8" s="19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179">
        <f>Param!B14</f>
        <v>370</v>
      </c>
      <c r="BX9" s="179"/>
      <c r="BY9" s="179"/>
      <c r="BZ9" s="180"/>
    </row>
    <row r="10" spans="4:81" x14ac:dyDescent="0.2">
      <c r="BR10" s="44" t="s">
        <v>66</v>
      </c>
      <c r="BS10" s="38"/>
      <c r="BT10" s="38"/>
      <c r="BU10" s="38"/>
      <c r="BV10" s="38"/>
      <c r="BW10" s="181">
        <f>Param!B15</f>
        <v>41.72</v>
      </c>
      <c r="BX10" s="181"/>
      <c r="BY10" s="181"/>
      <c r="BZ10" s="182"/>
    </row>
    <row r="11" spans="4:81" x14ac:dyDescent="0.2">
      <c r="BR11" s="44" t="s">
        <v>65</v>
      </c>
      <c r="BS11" s="138"/>
      <c r="BT11" s="138"/>
      <c r="BU11" s="138"/>
      <c r="BV11" s="138"/>
      <c r="BW11" s="183">
        <f>Param!B16</f>
        <v>11.32</v>
      </c>
      <c r="BX11" s="183"/>
      <c r="BY11" s="183"/>
      <c r="BZ11" s="184"/>
      <c r="CA11" s="196"/>
      <c r="CB11" s="196"/>
      <c r="CC11" s="196"/>
    </row>
    <row r="12" spans="4:81" x14ac:dyDescent="0.2">
      <c r="AM12" s="97" t="str">
        <f>IF(Param!D10&lt;&gt;"",_xlfn.CONCAT("Note: ",Param!D10),"")</f>
        <v/>
      </c>
      <c r="BR12" s="48" t="s">
        <v>128</v>
      </c>
      <c r="BS12" s="40"/>
      <c r="BT12" s="40"/>
      <c r="BU12" s="40"/>
      <c r="BV12" s="106"/>
      <c r="BW12" s="185">
        <f>BW8*Param!B14/1000</f>
        <v>13.32</v>
      </c>
      <c r="BX12" s="185"/>
      <c r="BY12" s="185"/>
      <c r="BZ12" s="186"/>
      <c r="CC12" s="107"/>
    </row>
    <row r="13" spans="4:81" x14ac:dyDescent="0.2">
      <c r="BR13" s="137"/>
      <c r="BS13" s="137"/>
      <c r="BT13" s="137"/>
      <c r="BU13" s="137"/>
      <c r="BV13" s="137"/>
      <c r="BW13" s="137"/>
      <c r="BX13" s="137"/>
      <c r="BY13" s="137"/>
      <c r="BZ13" s="137"/>
      <c r="CC13" s="107"/>
    </row>
    <row r="14" spans="4:81" x14ac:dyDescent="0.2">
      <c r="BR14" s="137"/>
      <c r="BS14" s="137"/>
      <c r="BT14" s="137"/>
      <c r="BU14" s="137"/>
      <c r="BV14" s="137"/>
      <c r="BW14" s="137"/>
      <c r="BX14" s="137"/>
      <c r="BY14" s="137"/>
      <c r="BZ14" s="137"/>
      <c r="CC14" s="107"/>
    </row>
    <row r="15" spans="4:81" x14ac:dyDescent="0.2">
      <c r="BK15" s="107"/>
      <c r="BL15" s="107"/>
      <c r="BM15" s="107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107"/>
    </row>
    <row r="16" spans="4:81" x14ac:dyDescent="0.2">
      <c r="BR16" s="44" t="s">
        <v>63</v>
      </c>
      <c r="BS16" s="38"/>
      <c r="BT16" s="38"/>
      <c r="BU16" s="38"/>
      <c r="BV16" s="187">
        <v>2</v>
      </c>
      <c r="BW16" s="187"/>
      <c r="BX16" s="187"/>
      <c r="BY16" s="187"/>
      <c r="BZ16" s="188"/>
      <c r="CC16" s="107"/>
    </row>
    <row r="17" spans="4:82" x14ac:dyDescent="0.2">
      <c r="BE17" s="108"/>
      <c r="BF17" s="108"/>
      <c r="BG17" s="108"/>
      <c r="BH17" s="108"/>
      <c r="BI17" s="108"/>
      <c r="BJ17" s="108"/>
      <c r="BK17" s="108"/>
      <c r="BL17" s="108"/>
      <c r="BM17" s="108"/>
      <c r="BN17" s="108"/>
      <c r="BO17" s="108"/>
      <c r="BR17" s="44" t="s">
        <v>62</v>
      </c>
      <c r="BS17" s="38"/>
      <c r="BT17" s="38"/>
      <c r="BU17" s="38"/>
      <c r="BV17" s="187" t="str">
        <f>Param!B19</f>
        <v>SolarEdge</v>
      </c>
      <c r="BW17" s="187"/>
      <c r="BX17" s="187"/>
      <c r="BY17" s="187"/>
      <c r="BZ17" s="188"/>
      <c r="CA17" s="107"/>
      <c r="CB17" s="107"/>
      <c r="CC17" s="107"/>
    </row>
    <row r="18" spans="4:82" ht="16" customHeight="1" x14ac:dyDescent="0.2">
      <c r="BE18" s="108"/>
      <c r="BF18" s="108"/>
      <c r="BG18" s="108"/>
      <c r="BH18" s="108"/>
      <c r="BI18" s="108"/>
      <c r="BJ18" s="108"/>
      <c r="BK18" s="108"/>
      <c r="BL18" s="108"/>
      <c r="BM18" s="108"/>
      <c r="BN18" s="108"/>
      <c r="BO18" s="108"/>
      <c r="BR18" s="43" t="s">
        <v>61</v>
      </c>
      <c r="BS18" s="42"/>
      <c r="BT18" s="38"/>
      <c r="BU18" s="38"/>
      <c r="BV18" s="187" t="str">
        <f>Param!B20</f>
        <v>SE5000H</v>
      </c>
      <c r="BW18" s="187"/>
      <c r="BX18" s="187"/>
      <c r="BY18" s="187"/>
      <c r="BZ18" s="188"/>
      <c r="CA18" s="38"/>
      <c r="CB18" s="38"/>
      <c r="CC18" s="38"/>
    </row>
    <row r="19" spans="4:82" ht="16" customHeight="1" x14ac:dyDescent="0.2">
      <c r="BE19" s="108"/>
      <c r="BF19" s="108"/>
      <c r="BG19" s="108"/>
      <c r="BH19" s="108"/>
      <c r="BI19" s="108"/>
      <c r="BJ19" s="108"/>
      <c r="BK19" s="108"/>
      <c r="BL19" s="108"/>
      <c r="BM19" s="108"/>
      <c r="BN19" s="108"/>
      <c r="BO19" s="108"/>
      <c r="BR19" s="41" t="s">
        <v>60</v>
      </c>
      <c r="BS19" s="40"/>
      <c r="BT19" s="40"/>
      <c r="BU19" s="40"/>
      <c r="BV19" s="197">
        <f>Param!B23</f>
        <v>4.9850000000000003</v>
      </c>
      <c r="BW19" s="197"/>
      <c r="BX19" s="197"/>
      <c r="BY19" s="197"/>
      <c r="BZ19" s="198"/>
      <c r="CA19" s="194"/>
      <c r="CB19" s="194"/>
      <c r="CC19" s="38"/>
    </row>
    <row r="20" spans="4:82" x14ac:dyDescent="0.2">
      <c r="Y20" s="108"/>
      <c r="BE20" s="108"/>
      <c r="BF20" s="108"/>
      <c r="BG20" s="108"/>
      <c r="BH20" s="108"/>
      <c r="BI20" s="108"/>
      <c r="BJ20" s="108"/>
      <c r="BK20" s="108"/>
      <c r="BL20" s="108"/>
      <c r="BM20" s="108"/>
      <c r="BN20" s="108"/>
      <c r="BO20" s="108"/>
      <c r="CC20" s="38"/>
    </row>
    <row r="21" spans="4:82" x14ac:dyDescent="0.2">
      <c r="BE21" s="108"/>
      <c r="BF21" s="108"/>
      <c r="BG21" s="108"/>
      <c r="BH21" s="108"/>
      <c r="BI21" s="108"/>
      <c r="BJ21" s="108"/>
      <c r="BK21" s="108"/>
      <c r="BL21" s="108"/>
      <c r="BM21" s="108"/>
      <c r="BN21" s="108"/>
      <c r="BO21" s="108"/>
      <c r="CC21" s="94"/>
    </row>
    <row r="22" spans="4:82" x14ac:dyDescent="0.2">
      <c r="CC22" s="96"/>
    </row>
    <row r="23" spans="4:82" x14ac:dyDescent="0.2">
      <c r="BP23" s="30" t="s">
        <v>158</v>
      </c>
      <c r="BQ23" s="29"/>
      <c r="BR23" s="29"/>
      <c r="BS23" s="29"/>
      <c r="BT23" s="29"/>
      <c r="BU23" s="29"/>
      <c r="BV23" s="29"/>
      <c r="BW23" s="171" t="s">
        <v>81</v>
      </c>
      <c r="BX23" s="172"/>
      <c r="BY23" s="171" t="s">
        <v>82</v>
      </c>
      <c r="BZ23" s="172"/>
      <c r="CA23" s="171" t="s">
        <v>159</v>
      </c>
      <c r="CB23" s="172"/>
      <c r="CC23" s="171" t="s">
        <v>165</v>
      </c>
      <c r="CD23" s="172"/>
    </row>
    <row r="24" spans="4:82" x14ac:dyDescent="0.2">
      <c r="BP24" s="109" t="s">
        <v>83</v>
      </c>
      <c r="BQ24" s="98"/>
      <c r="BR24" s="98"/>
      <c r="BS24" s="98"/>
      <c r="BT24" s="98"/>
      <c r="BU24" s="98"/>
      <c r="BV24" s="110"/>
      <c r="BW24" s="173">
        <v>9</v>
      </c>
      <c r="BX24" s="174"/>
      <c r="BY24" s="173">
        <v>9</v>
      </c>
      <c r="BZ24" s="174"/>
      <c r="CA24" s="173">
        <v>9</v>
      </c>
      <c r="CB24" s="174"/>
      <c r="CC24" s="173">
        <v>9</v>
      </c>
      <c r="CD24" s="174"/>
    </row>
    <row r="25" spans="4:82" x14ac:dyDescent="0.2">
      <c r="BP25" s="99" t="s">
        <v>84</v>
      </c>
      <c r="BQ25" s="108"/>
      <c r="BR25" s="108"/>
      <c r="BS25" s="108"/>
      <c r="BT25" s="108"/>
      <c r="BU25" s="108"/>
      <c r="BV25" s="101"/>
      <c r="BW25" s="175">
        <f>BW24*BW9</f>
        <v>3330</v>
      </c>
      <c r="BX25" s="176"/>
      <c r="BY25" s="175">
        <f>BY24*BW9</f>
        <v>3330</v>
      </c>
      <c r="BZ25" s="176"/>
      <c r="CA25" s="175">
        <f>CA24*370</f>
        <v>3330</v>
      </c>
      <c r="CB25" s="176"/>
      <c r="CC25" s="175">
        <f>CC24*370</f>
        <v>3330</v>
      </c>
      <c r="CD25" s="176"/>
    </row>
    <row r="26" spans="4:82" x14ac:dyDescent="0.2">
      <c r="BP26" s="99" t="s">
        <v>85</v>
      </c>
      <c r="BQ26" s="108"/>
      <c r="BR26" s="108"/>
      <c r="BS26" s="108"/>
      <c r="BT26" s="108"/>
      <c r="BU26" s="108"/>
      <c r="BV26" s="101"/>
      <c r="BW26" s="175">
        <v>380</v>
      </c>
      <c r="BX26" s="176"/>
      <c r="BY26" s="175">
        <v>380</v>
      </c>
      <c r="BZ26" s="176"/>
      <c r="CA26" s="175">
        <v>380</v>
      </c>
      <c r="CB26" s="176"/>
      <c r="CC26" s="175">
        <v>380</v>
      </c>
      <c r="CD26" s="176"/>
    </row>
    <row r="27" spans="4:82" x14ac:dyDescent="0.2">
      <c r="BP27" s="116" t="s">
        <v>86</v>
      </c>
      <c r="BQ27" s="117"/>
      <c r="BR27" s="117"/>
      <c r="BS27" s="117"/>
      <c r="BT27" s="117"/>
      <c r="BU27" s="117"/>
      <c r="BV27" s="113"/>
      <c r="BW27" s="177">
        <f>BW25/BW26</f>
        <v>8.7631578947368425</v>
      </c>
      <c r="BX27" s="178"/>
      <c r="BY27" s="177">
        <f>BY25/BY26</f>
        <v>8.7631578947368425</v>
      </c>
      <c r="BZ27" s="178"/>
      <c r="CA27" s="177">
        <f>CA25/CA26</f>
        <v>8.7631578947368425</v>
      </c>
      <c r="CB27" s="178"/>
      <c r="CC27" s="177">
        <f>CC25/CC26</f>
        <v>8.7631578947368425</v>
      </c>
      <c r="CD27" s="178"/>
    </row>
    <row r="28" spans="4:82" x14ac:dyDescent="0.2">
      <c r="AJ28" s="11"/>
      <c r="BK28" s="108"/>
      <c r="BL28" s="108"/>
      <c r="BM28" s="108"/>
      <c r="BN28" s="108"/>
      <c r="BO28" s="108"/>
      <c r="BP28" s="108"/>
      <c r="BQ28" s="108"/>
      <c r="BR28" s="136"/>
      <c r="BS28" s="136"/>
      <c r="BT28" s="133"/>
      <c r="BU28" s="133"/>
      <c r="BV28" s="134"/>
      <c r="BW28" s="134"/>
      <c r="BX28" s="132"/>
      <c r="BY28" s="132"/>
      <c r="BZ28" s="132"/>
      <c r="CA28" s="132"/>
      <c r="CB28" s="135"/>
      <c r="CC28" s="135"/>
    </row>
    <row r="29" spans="4:82" x14ac:dyDescent="0.2">
      <c r="L29" s="33"/>
      <c r="M29" s="32"/>
      <c r="BK29" s="108"/>
      <c r="BL29" s="108"/>
      <c r="BM29" s="108"/>
      <c r="BN29" s="108"/>
      <c r="BO29" s="108"/>
      <c r="BP29" s="108"/>
      <c r="BQ29" s="108"/>
      <c r="BR29" s="136"/>
      <c r="BS29" s="136"/>
      <c r="BT29" s="133"/>
      <c r="BU29" s="133"/>
      <c r="BV29" s="134"/>
      <c r="BW29" s="134"/>
      <c r="BX29" s="132"/>
      <c r="BY29" s="132"/>
      <c r="BZ29" s="132"/>
      <c r="CA29" s="132"/>
      <c r="CB29" s="135"/>
      <c r="CC29" s="135"/>
    </row>
    <row r="30" spans="4:82" x14ac:dyDescent="0.2">
      <c r="D30" s="150"/>
      <c r="I30" s="115" t="s">
        <v>89</v>
      </c>
      <c r="BK30" s="108"/>
      <c r="BL30" s="108"/>
      <c r="BM30" s="108"/>
      <c r="BN30" s="108"/>
      <c r="BO30" s="108"/>
      <c r="BP30" s="108"/>
      <c r="BQ30" s="108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2" x14ac:dyDescent="0.2">
      <c r="D31" s="150"/>
      <c r="I31" s="115" t="s">
        <v>90</v>
      </c>
      <c r="BK31" s="108"/>
      <c r="BL31" s="108"/>
      <c r="BM31" s="108"/>
      <c r="BN31" s="108"/>
      <c r="BO31" s="108"/>
      <c r="BP31" s="108"/>
      <c r="BQ31" s="108"/>
      <c r="BR31" s="20"/>
      <c r="BS31" s="20"/>
      <c r="BT31" s="227"/>
      <c r="BU31" s="227"/>
      <c r="BV31" s="228"/>
      <c r="BW31" s="228"/>
      <c r="BX31" s="211"/>
      <c r="BY31" s="211"/>
      <c r="BZ31" s="211"/>
      <c r="CA31" s="211"/>
      <c r="CB31" s="225"/>
      <c r="CC31" s="225"/>
    </row>
    <row r="32" spans="4:82" x14ac:dyDescent="0.2">
      <c r="I32" s="97" t="s">
        <v>163</v>
      </c>
      <c r="BK32" s="31"/>
      <c r="BL32" s="31"/>
      <c r="BM32" s="108"/>
      <c r="BN32" s="108"/>
      <c r="BO32" s="108"/>
      <c r="BP32" s="108"/>
      <c r="BQ32" s="108"/>
      <c r="BR32" s="20"/>
      <c r="BS32" s="20"/>
      <c r="BT32" s="227"/>
      <c r="BU32" s="227"/>
      <c r="BV32" s="228"/>
      <c r="BW32" s="228"/>
      <c r="BX32" s="211"/>
      <c r="BY32" s="211"/>
      <c r="BZ32" s="211"/>
      <c r="CA32" s="211"/>
      <c r="CB32" s="225"/>
      <c r="CC32" s="225"/>
    </row>
    <row r="33" spans="17:82" x14ac:dyDescent="0.2">
      <c r="S33" s="115" t="s">
        <v>96</v>
      </c>
      <c r="BE33" s="108"/>
      <c r="BF33" s="108"/>
      <c r="BG33" s="108"/>
      <c r="BH33" s="108"/>
      <c r="BI33" s="108"/>
      <c r="BJ33" s="108"/>
      <c r="BK33" s="108"/>
      <c r="BL33" s="108"/>
      <c r="BM33" s="108"/>
      <c r="BN33" s="108"/>
      <c r="BO33" s="108"/>
      <c r="BP33" s="108"/>
      <c r="BQ33" s="108"/>
      <c r="BR33" s="226" t="s">
        <v>129</v>
      </c>
      <c r="BS33" s="221"/>
      <c r="BT33" s="221"/>
      <c r="BU33" s="221"/>
      <c r="BV33" s="221"/>
      <c r="BW33" s="221"/>
      <c r="BX33" s="221"/>
      <c r="BY33" s="221"/>
      <c r="BZ33" s="221"/>
      <c r="CA33" s="221"/>
      <c r="CB33" s="221"/>
      <c r="CC33" s="222"/>
    </row>
    <row r="34" spans="17:82" x14ac:dyDescent="0.2">
      <c r="S34" s="115" t="s">
        <v>87</v>
      </c>
      <c r="BE34" s="108"/>
      <c r="BF34" s="108"/>
      <c r="BG34" s="108"/>
      <c r="BH34" s="108"/>
      <c r="BI34" s="108"/>
      <c r="BK34" s="108"/>
      <c r="BL34" s="108"/>
      <c r="BM34" s="108"/>
      <c r="BN34" s="108"/>
      <c r="BO34" s="108"/>
      <c r="BP34" s="108"/>
      <c r="BQ34" s="108"/>
      <c r="BR34" s="230" t="s">
        <v>120</v>
      </c>
      <c r="BS34" s="231"/>
      <c r="BT34" s="231"/>
      <c r="BU34" s="232"/>
      <c r="BV34" s="233" t="s">
        <v>121</v>
      </c>
      <c r="BW34" s="234"/>
      <c r="BX34" s="234"/>
      <c r="BY34" s="235"/>
      <c r="BZ34" s="236" t="s">
        <v>130</v>
      </c>
      <c r="CA34" s="237"/>
      <c r="CB34" s="237"/>
      <c r="CC34" s="238"/>
    </row>
    <row r="35" spans="17:82" x14ac:dyDescent="0.2">
      <c r="BE35" s="108"/>
      <c r="BF35" s="108"/>
      <c r="BG35" s="108"/>
      <c r="BH35" s="108"/>
      <c r="BI35" s="108"/>
      <c r="BK35" s="108"/>
      <c r="BL35" s="108"/>
      <c r="BM35" s="108"/>
      <c r="BN35" s="108"/>
      <c r="BO35" s="108"/>
      <c r="BP35" s="108"/>
      <c r="BQ35" s="108"/>
      <c r="BR35" s="191">
        <f>Vrise!C32</f>
        <v>1</v>
      </c>
      <c r="BS35" s="192"/>
      <c r="BT35" s="192"/>
      <c r="BU35" s="193"/>
      <c r="BV35" s="191">
        <f>Vrise!E32</f>
        <v>1</v>
      </c>
      <c r="BW35" s="192"/>
      <c r="BX35" s="192"/>
      <c r="BY35" s="192"/>
      <c r="BZ35" s="191">
        <f>Vrise!G32</f>
        <v>1</v>
      </c>
      <c r="CA35" s="192"/>
      <c r="CB35" s="192"/>
      <c r="CC35" s="193"/>
    </row>
    <row r="36" spans="17:82" x14ac:dyDescent="0.2">
      <c r="BA36" s="97" t="s">
        <v>160</v>
      </c>
      <c r="BD36" s="97">
        <v>9</v>
      </c>
      <c r="BE36" s="97" t="str">
        <f>IF(Param!B25&lt;&gt;"","Panels","")</f>
        <v>Panels</v>
      </c>
      <c r="BF36" s="108"/>
      <c r="BG36" s="108"/>
      <c r="BH36" s="108"/>
      <c r="BI36" s="108"/>
      <c r="BK36" s="108"/>
      <c r="BL36" s="108"/>
      <c r="BM36" s="108"/>
      <c r="BN36" s="108"/>
      <c r="BO36" s="108"/>
      <c r="BP36" s="108"/>
      <c r="BQ36" s="108"/>
      <c r="BR36" s="214">
        <f>Vrise!C34</f>
        <v>16</v>
      </c>
      <c r="BS36" s="215"/>
      <c r="BT36" s="215"/>
      <c r="BU36" s="216"/>
      <c r="BV36" s="214">
        <f>Vrise!E34</f>
        <v>16</v>
      </c>
      <c r="BW36" s="215"/>
      <c r="BX36" s="215"/>
      <c r="BY36" s="216"/>
      <c r="BZ36" s="214">
        <f>Vrise!G34</f>
        <v>4</v>
      </c>
      <c r="CA36" s="215"/>
      <c r="CB36" s="215"/>
      <c r="CC36" s="216"/>
    </row>
    <row r="37" spans="17:82" x14ac:dyDescent="0.2">
      <c r="BE37" s="108"/>
      <c r="BF37" s="108"/>
      <c r="BG37" s="108"/>
      <c r="BH37" s="108"/>
      <c r="BI37" s="31"/>
      <c r="BJ37" s="31"/>
      <c r="BK37" s="108"/>
      <c r="BL37" s="108"/>
      <c r="BM37" s="108"/>
      <c r="BN37" s="108"/>
      <c r="BO37" s="108"/>
      <c r="BP37" s="108"/>
      <c r="BQ37" s="108"/>
      <c r="BR37" s="217" t="str">
        <f>_xlfn.CONCAT(Vrise!C36," A")</f>
        <v>21.7 A</v>
      </c>
      <c r="BS37" s="218"/>
      <c r="BT37" s="218"/>
      <c r="BU37" s="219"/>
      <c r="BV37" s="217" t="str">
        <f>_xlfn.CONCAT(Vrise!E36," A")</f>
        <v>21.7 A</v>
      </c>
      <c r="BW37" s="218"/>
      <c r="BX37" s="218"/>
      <c r="BY37" s="219"/>
      <c r="BZ37" s="217" t="str">
        <f>_xlfn.CONCAT(Vrise!G36," A")</f>
        <v>21.7 A</v>
      </c>
      <c r="CA37" s="218"/>
      <c r="CB37" s="218"/>
      <c r="CC37" s="219"/>
    </row>
    <row r="38" spans="17:82" x14ac:dyDescent="0.2">
      <c r="BE38" s="108"/>
      <c r="BF38" s="108"/>
      <c r="BG38" s="108"/>
      <c r="BH38" s="108"/>
      <c r="BI38" s="108"/>
      <c r="BQ38" s="8"/>
      <c r="BR38" s="229" t="str">
        <f>_xlfn.CONCAT(Vrise!C35," m")</f>
        <v>25 m</v>
      </c>
      <c r="BS38" s="194"/>
      <c r="BT38" s="194"/>
      <c r="BU38" s="195"/>
      <c r="BV38" s="229" t="str">
        <f>_xlfn.CONCAT(Vrise!E35," m")</f>
        <v>16 m</v>
      </c>
      <c r="BW38" s="194"/>
      <c r="BX38" s="194"/>
      <c r="BY38" s="195"/>
      <c r="BZ38" s="229" t="str">
        <f>_xlfn.CONCAT(Vrise!G35," m")</f>
        <v>6 m</v>
      </c>
      <c r="CA38" s="194"/>
      <c r="CB38" s="194"/>
      <c r="CC38" s="195"/>
    </row>
    <row r="39" spans="17:82" x14ac:dyDescent="0.2">
      <c r="BE39" s="108"/>
      <c r="BF39" s="108"/>
      <c r="BG39" s="108"/>
      <c r="BH39" s="108"/>
      <c r="BI39" s="108"/>
      <c r="BR39" s="220">
        <f>Vrise!C38</f>
        <v>6.6320293398533002E-3</v>
      </c>
      <c r="BS39" s="223"/>
      <c r="BT39" s="223"/>
      <c r="BU39" s="224"/>
      <c r="BV39" s="220">
        <f>Vrise!E38</f>
        <v>4.2444987775061118E-3</v>
      </c>
      <c r="BW39" s="221"/>
      <c r="BX39" s="221"/>
      <c r="BY39" s="222"/>
      <c r="BZ39" s="220">
        <f>Vrise!G38</f>
        <v>6.3512195121951213E-3</v>
      </c>
      <c r="CA39" s="223"/>
      <c r="CB39" s="223"/>
      <c r="CC39" s="224"/>
    </row>
    <row r="40" spans="17:82" x14ac:dyDescent="0.2">
      <c r="BE40" s="108"/>
      <c r="BF40" s="108"/>
      <c r="BG40" s="108"/>
      <c r="BH40" s="108"/>
      <c r="BI40" s="108"/>
      <c r="BR40" s="211"/>
      <c r="BS40" s="211"/>
      <c r="BT40" s="211"/>
      <c r="BU40" s="211"/>
      <c r="BV40" s="211"/>
      <c r="BW40" s="211"/>
      <c r="BX40" s="211"/>
      <c r="BY40" s="211"/>
      <c r="BZ40" s="211"/>
      <c r="CA40" s="211"/>
      <c r="CB40" s="211"/>
    </row>
    <row r="41" spans="17:82" x14ac:dyDescent="0.2">
      <c r="BE41" s="108"/>
      <c r="BF41" s="108"/>
      <c r="BG41" s="108"/>
      <c r="BH41" s="108"/>
      <c r="BI41" s="108"/>
      <c r="BR41" s="211"/>
      <c r="BS41" s="211"/>
      <c r="BT41" s="211"/>
      <c r="BU41" s="211"/>
      <c r="BV41" s="211"/>
      <c r="BW41" s="211"/>
      <c r="BX41" s="211"/>
      <c r="BY41" s="211"/>
      <c r="BZ41" s="211"/>
      <c r="CA41" s="211"/>
      <c r="CB41" s="211"/>
    </row>
    <row r="42" spans="17:82" x14ac:dyDescent="0.2">
      <c r="Q42" s="97">
        <f>Vrise!G34</f>
        <v>4</v>
      </c>
      <c r="R42" s="97" t="str">
        <f>IF(Param!B21=3,"mm 4C+E","mm 2C+E")</f>
        <v>mm 2C+E</v>
      </c>
      <c r="BE42" s="108"/>
      <c r="BF42" s="108"/>
      <c r="BG42" s="108"/>
      <c r="BH42" s="108"/>
      <c r="BI42" s="108"/>
      <c r="BR42" s="211"/>
      <c r="BS42" s="211"/>
      <c r="BT42" s="211"/>
      <c r="BU42" s="211"/>
      <c r="BV42" s="211"/>
      <c r="BW42" s="211"/>
      <c r="BX42" s="211"/>
      <c r="BY42" s="211"/>
      <c r="BZ42" s="211"/>
      <c r="CA42" s="211"/>
      <c r="CB42" s="211"/>
    </row>
    <row r="43" spans="17:82" x14ac:dyDescent="0.2">
      <c r="AA43" s="115" t="s">
        <v>92</v>
      </c>
    </row>
    <row r="44" spans="17:82" x14ac:dyDescent="0.2">
      <c r="AA44" s="115" t="s">
        <v>91</v>
      </c>
      <c r="AM44" s="115" t="s">
        <v>94</v>
      </c>
      <c r="AR44" s="115" t="s">
        <v>94</v>
      </c>
      <c r="BT44" s="106"/>
      <c r="BU44" s="106"/>
      <c r="BV44" s="106"/>
      <c r="BW44" s="106"/>
      <c r="BX44" s="106"/>
      <c r="BY44" s="106"/>
      <c r="BZ44" s="106"/>
      <c r="CA44" s="106"/>
      <c r="CB44" s="106"/>
    </row>
    <row r="45" spans="17:82" x14ac:dyDescent="0.2">
      <c r="AA45" s="115" t="s">
        <v>34</v>
      </c>
      <c r="AM45" s="115" t="s">
        <v>93</v>
      </c>
      <c r="AR45" s="115" t="s">
        <v>93</v>
      </c>
      <c r="BA45" s="97" t="s">
        <v>161</v>
      </c>
      <c r="BD45" s="97">
        <v>9</v>
      </c>
      <c r="BE45" s="97" t="s">
        <v>40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AH46" s="97" t="s">
        <v>43</v>
      </c>
      <c r="AM46" s="115" t="s">
        <v>52</v>
      </c>
      <c r="AR46" s="115" t="s">
        <v>51</v>
      </c>
      <c r="BR46" s="109" t="s">
        <v>48</v>
      </c>
      <c r="BS46" s="98"/>
      <c r="BT46" s="98"/>
      <c r="BU46" s="110"/>
      <c r="BV46" s="27" t="s">
        <v>47</v>
      </c>
      <c r="BW46" s="109" t="s">
        <v>46</v>
      </c>
      <c r="BX46" s="98"/>
      <c r="BY46" s="98"/>
      <c r="BZ46" s="98"/>
      <c r="CA46" s="98"/>
      <c r="CB46" s="98"/>
      <c r="CC46" s="98"/>
      <c r="CD46" s="110"/>
    </row>
    <row r="47" spans="17:82" x14ac:dyDescent="0.2">
      <c r="AH47" s="97" t="s">
        <v>38</v>
      </c>
      <c r="BR47" s="99" t="s">
        <v>45</v>
      </c>
      <c r="BS47" s="108"/>
      <c r="BT47" s="108"/>
      <c r="BU47" s="101"/>
      <c r="BV47" s="25">
        <f>SUM(BW24:CD24)</f>
        <v>36</v>
      </c>
      <c r="BW47" s="99" t="str">
        <f>_xlfn.CONCAT(BW7," ",BW9,"W")</f>
        <v>LG Mono X Plus 370W</v>
      </c>
      <c r="BX47" s="108"/>
      <c r="BY47" s="108"/>
      <c r="BZ47" s="108"/>
      <c r="CA47" s="108"/>
      <c r="CB47" s="108"/>
      <c r="CC47" s="108"/>
      <c r="CD47" s="101"/>
    </row>
    <row r="48" spans="17:82" x14ac:dyDescent="0.2">
      <c r="AH48" s="97" t="s">
        <v>35</v>
      </c>
      <c r="AM48" s="95"/>
      <c r="AR48" s="95"/>
      <c r="BR48" s="99" t="s">
        <v>44</v>
      </c>
      <c r="BS48" s="108"/>
      <c r="BT48" s="108"/>
      <c r="BU48" s="101"/>
      <c r="BV48" s="25">
        <f>BV16</f>
        <v>2</v>
      </c>
      <c r="BW48" s="149" t="str">
        <f>BV18</f>
        <v>SE5000H</v>
      </c>
      <c r="BX48" s="108"/>
      <c r="BY48" s="108"/>
      <c r="BZ48" s="108"/>
      <c r="CA48" s="108"/>
      <c r="CB48" s="108"/>
      <c r="CC48" s="108"/>
      <c r="CD48" s="101"/>
    </row>
    <row r="49" spans="11:82" x14ac:dyDescent="0.2">
      <c r="AM49" s="95"/>
      <c r="AR49" s="95"/>
      <c r="BR49" s="99" t="s">
        <v>39</v>
      </c>
      <c r="BS49" s="108"/>
      <c r="BT49" s="108"/>
      <c r="BU49" s="101"/>
      <c r="BV49" s="25"/>
      <c r="BW49" s="212">
        <f>BV19*BV16</f>
        <v>9.9700000000000006</v>
      </c>
      <c r="BX49" s="213"/>
      <c r="BY49" s="213"/>
      <c r="BZ49" s="108"/>
      <c r="CA49" s="108"/>
      <c r="CB49" s="108"/>
      <c r="CC49" s="108"/>
      <c r="CD49" s="101"/>
    </row>
    <row r="50" spans="11:82" x14ac:dyDescent="0.2">
      <c r="BR50" s="99" t="s">
        <v>37</v>
      </c>
      <c r="BS50" s="108"/>
      <c r="BT50" s="108"/>
      <c r="BU50" s="101"/>
      <c r="BV50" s="25">
        <v>2</v>
      </c>
      <c r="BW50" s="99" t="s">
        <v>36</v>
      </c>
      <c r="BX50" s="108"/>
      <c r="BY50" s="108"/>
      <c r="BZ50" s="108"/>
      <c r="CA50" s="108"/>
      <c r="CB50" s="108"/>
      <c r="CC50" s="108"/>
      <c r="CD50" s="101"/>
    </row>
    <row r="51" spans="11:82" x14ac:dyDescent="0.2">
      <c r="BR51" s="99" t="s">
        <v>34</v>
      </c>
      <c r="BS51" s="108"/>
      <c r="BT51" s="108"/>
      <c r="BU51" s="101"/>
      <c r="BV51" s="25">
        <v>2</v>
      </c>
      <c r="BW51" s="99" t="s">
        <v>88</v>
      </c>
      <c r="BX51" s="108"/>
      <c r="BY51" s="108"/>
      <c r="BZ51" s="108"/>
      <c r="CA51" s="108"/>
      <c r="CB51" s="108"/>
      <c r="CC51" s="108"/>
      <c r="CD51" s="101"/>
    </row>
    <row r="52" spans="11:82" x14ac:dyDescent="0.2">
      <c r="BR52" s="99" t="s">
        <v>33</v>
      </c>
      <c r="BS52" s="108"/>
      <c r="BT52" s="108"/>
      <c r="BU52" s="101"/>
      <c r="BV52" s="25">
        <v>4</v>
      </c>
      <c r="BW52" s="99" t="s">
        <v>32</v>
      </c>
      <c r="BX52" s="108"/>
      <c r="BY52" s="108"/>
      <c r="BZ52" s="108"/>
      <c r="CA52" s="108"/>
      <c r="CB52" s="108"/>
      <c r="CC52" s="108"/>
      <c r="CD52" s="101"/>
    </row>
    <row r="53" spans="11:82" x14ac:dyDescent="0.2">
      <c r="BR53" s="111" t="s">
        <v>31</v>
      </c>
      <c r="BS53" s="112"/>
      <c r="BT53" s="112"/>
      <c r="BU53" s="113"/>
      <c r="BV53" s="24">
        <v>1</v>
      </c>
      <c r="BW53" s="99" t="s">
        <v>30</v>
      </c>
      <c r="BX53" s="108"/>
      <c r="BY53" s="112"/>
      <c r="BZ53" s="112"/>
      <c r="CA53" s="112"/>
      <c r="CB53" s="112"/>
      <c r="CC53" s="112"/>
      <c r="CD53" s="113"/>
    </row>
    <row r="54" spans="11:82" x14ac:dyDescent="0.2">
      <c r="K54" s="87" t="str">
        <f>IF(Param!B39&lt;&gt;"","Existing Array","")</f>
        <v/>
      </c>
      <c r="BB54" s="152" t="s">
        <v>162</v>
      </c>
      <c r="BC54" s="152"/>
      <c r="BD54" s="152"/>
      <c r="BE54" s="152">
        <v>9</v>
      </c>
      <c r="BF54" s="152" t="s">
        <v>40</v>
      </c>
      <c r="BW54" s="103"/>
      <c r="BX54" s="103"/>
    </row>
    <row r="55" spans="11:82" x14ac:dyDescent="0.2">
      <c r="K55" s="129" t="str">
        <f>IF(Param!B39&lt;&gt;"",_xlfn.CONCAT(Param!B39," kWac"),"")</f>
        <v/>
      </c>
      <c r="BX55" s="106"/>
    </row>
    <row r="56" spans="11:82" x14ac:dyDescent="0.2">
      <c r="BR56" s="23" t="s">
        <v>29</v>
      </c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110"/>
    </row>
    <row r="57" spans="11:82" x14ac:dyDescent="0.2">
      <c r="BR57" s="99" t="s">
        <v>28</v>
      </c>
      <c r="BS57" s="108"/>
      <c r="BT57" s="108"/>
      <c r="BU57" s="108"/>
      <c r="BV57" s="108"/>
      <c r="BW57" s="108"/>
      <c r="BX57" s="108"/>
      <c r="BY57" s="108"/>
      <c r="BZ57" s="108"/>
      <c r="CA57" s="108"/>
      <c r="CB57" s="108"/>
      <c r="CC57" s="108"/>
      <c r="CD57" s="101"/>
    </row>
    <row r="58" spans="11:82" x14ac:dyDescent="0.2">
      <c r="BR58" s="99" t="s">
        <v>27</v>
      </c>
      <c r="BS58" s="108"/>
      <c r="BT58" s="108"/>
      <c r="BU58" s="108"/>
      <c r="BV58" s="108"/>
      <c r="BW58" s="108"/>
      <c r="BX58" s="108"/>
      <c r="BY58" s="108"/>
      <c r="BZ58" s="108"/>
      <c r="CA58" s="108"/>
      <c r="CB58" s="108"/>
      <c r="CC58" s="108"/>
      <c r="CD58" s="101"/>
    </row>
    <row r="59" spans="11:82" x14ac:dyDescent="0.2">
      <c r="AZ59" s="211"/>
      <c r="BA59" s="211"/>
      <c r="BB59" s="211"/>
      <c r="BC59" s="211"/>
      <c r="BD59" s="211"/>
      <c r="BE59" s="211"/>
      <c r="BF59" s="211"/>
      <c r="BG59" s="211"/>
      <c r="BH59" s="211"/>
      <c r="BI59" s="211"/>
      <c r="BJ59" s="211"/>
      <c r="BR59" s="99" t="s">
        <v>26</v>
      </c>
      <c r="BS59" s="108"/>
      <c r="BT59" s="108"/>
      <c r="BU59" s="108"/>
      <c r="BV59" s="108"/>
      <c r="BW59" s="108"/>
      <c r="BX59" s="108"/>
      <c r="BY59" s="108"/>
      <c r="BZ59" s="108"/>
      <c r="CA59" s="108"/>
      <c r="CB59" s="108"/>
      <c r="CC59" s="108"/>
      <c r="CD59" s="101"/>
    </row>
    <row r="60" spans="11:82" x14ac:dyDescent="0.2">
      <c r="O60" s="129" t="str">
        <f>IF(Param!B39&lt;&gt;"","Inverter","")</f>
        <v/>
      </c>
      <c r="Q60" s="150">
        <v>4</v>
      </c>
      <c r="R60" s="150" t="str">
        <f>IF(Param!B39=3,"mm 4C+E","mm 2C+E")</f>
        <v>mm 2C+E</v>
      </c>
      <c r="BR60" s="99" t="s">
        <v>25</v>
      </c>
      <c r="BS60" s="108"/>
      <c r="BT60" s="108"/>
      <c r="BU60" s="108"/>
      <c r="BV60" s="108"/>
      <c r="BW60" s="108"/>
      <c r="BX60" s="108"/>
      <c r="BY60" s="108"/>
      <c r="BZ60" s="108"/>
      <c r="CA60" s="108"/>
      <c r="CB60" s="108"/>
      <c r="CC60" s="108"/>
      <c r="CD60" s="101"/>
    </row>
    <row r="61" spans="11:82" x14ac:dyDescent="0.2">
      <c r="O61" s="129" t="str">
        <f>IF(Param!B39&lt;&gt;"","A.C. Isolator","")</f>
        <v/>
      </c>
      <c r="AA61" s="150" t="s">
        <v>92</v>
      </c>
      <c r="AB61" s="150"/>
      <c r="AC61" s="150"/>
      <c r="AD61" s="150"/>
      <c r="AE61" s="150"/>
      <c r="AF61" s="150"/>
      <c r="AG61" s="150"/>
      <c r="AH61" s="150"/>
      <c r="AI61" s="150"/>
      <c r="AJ61" s="150"/>
      <c r="AK61" s="150"/>
      <c r="AL61" s="150"/>
      <c r="AM61" s="150"/>
      <c r="AN61" s="150"/>
      <c r="AO61" s="150"/>
      <c r="AP61" s="150"/>
      <c r="AQ61" s="150"/>
      <c r="AR61" s="150"/>
      <c r="AS61" s="150"/>
      <c r="AT61" s="150"/>
      <c r="AU61" s="150"/>
      <c r="AV61" s="150"/>
      <c r="AW61" s="150"/>
      <c r="AX61" s="150"/>
      <c r="AY61" s="150"/>
      <c r="AZ61" s="150"/>
      <c r="BA61" s="150"/>
      <c r="BB61" s="150"/>
      <c r="BC61" s="150"/>
      <c r="BD61" s="150"/>
      <c r="BR61" s="99" t="s">
        <v>24</v>
      </c>
      <c r="BS61" s="108"/>
      <c r="BT61" s="108"/>
      <c r="BU61" s="108"/>
      <c r="BV61" s="108"/>
      <c r="BW61" s="108"/>
      <c r="BX61" s="108"/>
      <c r="BY61" s="108"/>
      <c r="BZ61" s="108"/>
      <c r="CA61" s="108"/>
      <c r="CB61" s="108"/>
      <c r="CC61" s="108"/>
      <c r="CD61" s="101"/>
    </row>
    <row r="62" spans="11:82" x14ac:dyDescent="0.2">
      <c r="AA62" s="150" t="s">
        <v>91</v>
      </c>
      <c r="AB62" s="150"/>
      <c r="AC62" s="150"/>
      <c r="AD62" s="150"/>
      <c r="AE62" s="150"/>
      <c r="AF62" s="150"/>
      <c r="AG62" s="150"/>
      <c r="AH62" s="150"/>
      <c r="AI62" s="150"/>
      <c r="AJ62" s="150"/>
      <c r="AK62" s="150"/>
      <c r="AL62" s="150"/>
      <c r="AS62" s="150"/>
      <c r="AT62" s="150"/>
      <c r="AU62" s="150"/>
      <c r="AV62" s="150"/>
      <c r="AW62" s="150"/>
      <c r="AX62" s="150"/>
      <c r="AY62" s="150"/>
      <c r="AZ62" s="150"/>
      <c r="BA62" s="150"/>
      <c r="BB62" s="150"/>
      <c r="BC62" s="150"/>
      <c r="BD62" s="150"/>
      <c r="BE62" s="19"/>
      <c r="BJ62" s="18"/>
      <c r="BR62" s="99" t="s">
        <v>23</v>
      </c>
      <c r="BS62" s="108"/>
      <c r="BT62" s="108"/>
      <c r="BU62" s="108"/>
      <c r="BV62" s="108"/>
      <c r="BW62" s="108"/>
      <c r="BX62" s="108"/>
      <c r="BY62" s="108"/>
      <c r="BZ62" s="108"/>
      <c r="CA62" s="108"/>
      <c r="CB62" s="108"/>
      <c r="CC62" s="108"/>
      <c r="CD62" s="101"/>
    </row>
    <row r="63" spans="11:82" x14ac:dyDescent="0.2">
      <c r="AA63" s="150" t="s">
        <v>157</v>
      </c>
      <c r="AB63" s="150"/>
      <c r="AC63" s="150"/>
      <c r="AD63" s="150"/>
      <c r="AE63" s="150"/>
      <c r="AF63" s="150"/>
      <c r="AG63" s="150"/>
      <c r="AH63" s="150"/>
      <c r="AI63" s="150"/>
      <c r="AJ63" s="150"/>
      <c r="AK63" s="150"/>
      <c r="AL63" s="150"/>
      <c r="AN63" s="150" t="s">
        <v>94</v>
      </c>
      <c r="AO63" s="150"/>
      <c r="AP63" s="150"/>
      <c r="AQ63" s="150"/>
      <c r="AR63" s="150"/>
      <c r="AS63" s="150" t="s">
        <v>94</v>
      </c>
      <c r="AT63" s="150"/>
      <c r="AU63" s="150"/>
      <c r="AV63" s="150"/>
      <c r="AW63" s="150"/>
      <c r="AX63" s="150"/>
      <c r="AY63" s="150"/>
      <c r="AZ63" s="150"/>
      <c r="BA63" s="150"/>
      <c r="BB63" s="150" t="s">
        <v>164</v>
      </c>
      <c r="BE63" s="150">
        <v>9</v>
      </c>
      <c r="BF63" s="150" t="s">
        <v>40</v>
      </c>
      <c r="BJ63" s="18"/>
      <c r="BR63" s="99" t="s">
        <v>22</v>
      </c>
      <c r="BS63" s="108"/>
      <c r="BT63" s="108"/>
      <c r="BU63" s="108"/>
      <c r="BV63" s="108"/>
      <c r="BW63" s="108"/>
      <c r="BX63" s="108"/>
      <c r="BY63" s="108"/>
      <c r="BZ63" s="108"/>
      <c r="CA63" s="108"/>
      <c r="CB63" s="108"/>
      <c r="CC63" s="108"/>
      <c r="CD63" s="101"/>
    </row>
    <row r="64" spans="11:82" x14ac:dyDescent="0.2">
      <c r="AA64" s="150"/>
      <c r="AB64" s="150"/>
      <c r="AC64" s="150"/>
      <c r="AD64" s="150"/>
      <c r="AE64" s="150"/>
      <c r="AF64" s="150"/>
      <c r="AG64" s="150"/>
      <c r="AH64" s="150" t="s">
        <v>43</v>
      </c>
      <c r="AI64" s="150"/>
      <c r="AJ64" s="150"/>
      <c r="AK64" s="150"/>
      <c r="AL64" s="150"/>
      <c r="AN64" s="150" t="s">
        <v>93</v>
      </c>
      <c r="AO64" s="150"/>
      <c r="AP64" s="150"/>
      <c r="AQ64" s="150"/>
      <c r="AR64" s="150"/>
      <c r="AS64" s="150" t="s">
        <v>93</v>
      </c>
      <c r="AT64" s="150"/>
      <c r="AU64" s="150"/>
      <c r="AV64" s="150"/>
      <c r="AW64" s="150"/>
      <c r="AX64" s="150"/>
      <c r="AY64" s="150"/>
      <c r="AZ64" s="150"/>
      <c r="BA64" s="150"/>
      <c r="BB64" s="150"/>
      <c r="BC64" s="150"/>
      <c r="BD64" s="150"/>
      <c r="BE64" s="19"/>
      <c r="BJ64" s="18"/>
      <c r="BR64" s="99" t="s">
        <v>21</v>
      </c>
      <c r="BS64" s="108"/>
      <c r="BT64" s="108"/>
      <c r="BU64" s="108"/>
      <c r="BV64" s="108"/>
      <c r="BW64" s="108"/>
      <c r="BX64" s="108"/>
      <c r="BY64" s="108"/>
      <c r="BZ64" s="108"/>
      <c r="CA64" s="108"/>
      <c r="CB64" s="108"/>
      <c r="CC64" s="108"/>
      <c r="CD64" s="101"/>
    </row>
    <row r="65" spans="2:82" x14ac:dyDescent="0.2">
      <c r="AA65" s="150"/>
      <c r="AB65" s="150"/>
      <c r="AC65" s="150"/>
      <c r="AD65" s="150"/>
      <c r="AE65" s="150"/>
      <c r="AF65" s="150"/>
      <c r="AG65" s="150"/>
      <c r="AH65" s="150" t="s">
        <v>156</v>
      </c>
      <c r="AI65" s="150"/>
      <c r="AJ65" s="150"/>
      <c r="AK65" s="150"/>
      <c r="AL65" s="150"/>
      <c r="AM65" s="150"/>
      <c r="AN65" s="150" t="s">
        <v>42</v>
      </c>
      <c r="AO65" s="150"/>
      <c r="AP65" s="150"/>
      <c r="AQ65" s="150"/>
      <c r="AR65" s="150"/>
      <c r="AS65" s="150" t="s">
        <v>41</v>
      </c>
      <c r="AT65" s="150"/>
      <c r="AU65" s="150"/>
      <c r="AV65" s="150"/>
      <c r="AW65" s="150"/>
      <c r="AX65" s="150"/>
      <c r="AY65" s="150"/>
      <c r="AZ65" s="150"/>
      <c r="BA65" s="150"/>
      <c r="BB65" s="150"/>
      <c r="BC65" s="150"/>
      <c r="BD65" s="150"/>
      <c r="BE65" s="19"/>
      <c r="BJ65" s="18"/>
      <c r="BR65" s="99" t="s">
        <v>20</v>
      </c>
      <c r="BS65" s="108"/>
      <c r="BT65" s="108"/>
      <c r="BU65" s="108"/>
      <c r="BV65" s="108"/>
      <c r="BW65" s="108"/>
      <c r="BX65" s="108"/>
      <c r="BY65" s="108"/>
      <c r="BZ65" s="108"/>
      <c r="CA65" s="108"/>
      <c r="CB65" s="108"/>
      <c r="CC65" s="108"/>
      <c r="CD65" s="101"/>
    </row>
    <row r="66" spans="2:82" x14ac:dyDescent="0.2">
      <c r="F66" s="97" t="s">
        <v>166</v>
      </c>
      <c r="AA66" s="150"/>
      <c r="AB66" s="150"/>
      <c r="AC66" s="150"/>
      <c r="AD66" s="150"/>
      <c r="AE66" s="150"/>
      <c r="AF66" s="150"/>
      <c r="AG66" s="150"/>
      <c r="AH66" s="150" t="s">
        <v>155</v>
      </c>
      <c r="AI66" s="150"/>
      <c r="AJ66" s="150"/>
      <c r="AK66" s="150"/>
      <c r="AL66" s="150"/>
      <c r="AM66" s="151"/>
      <c r="AN66" s="150"/>
      <c r="AO66" s="150"/>
      <c r="AP66" s="150"/>
      <c r="AQ66" s="150"/>
      <c r="AR66" s="151"/>
      <c r="AS66" s="150"/>
      <c r="AT66" s="150"/>
      <c r="AU66" s="150"/>
      <c r="AV66" s="150"/>
      <c r="AW66" s="150"/>
      <c r="AX66" s="150"/>
      <c r="AY66" s="150"/>
      <c r="AZ66" s="150"/>
      <c r="BA66" s="150"/>
      <c r="BB66" s="150"/>
      <c r="BC66" s="150"/>
      <c r="BD66" s="150"/>
      <c r="BR66" s="111" t="s">
        <v>19</v>
      </c>
      <c r="BS66" s="112"/>
      <c r="BT66" s="112"/>
      <c r="BU66" s="112"/>
      <c r="BV66" s="112"/>
      <c r="BW66" s="112"/>
      <c r="BX66" s="112"/>
      <c r="BY66" s="112"/>
      <c r="BZ66" s="112"/>
      <c r="CA66" s="112"/>
      <c r="CB66" s="112"/>
      <c r="CC66" s="112"/>
      <c r="CD66" s="113"/>
    </row>
    <row r="67" spans="2:82" x14ac:dyDescent="0.2">
      <c r="AO67" s="11"/>
      <c r="BR67" s="102" t="s">
        <v>18</v>
      </c>
      <c r="BS67" s="103"/>
      <c r="BT67" s="103"/>
      <c r="BU67" s="103"/>
      <c r="BV67" s="103"/>
      <c r="BW67" s="103"/>
      <c r="BX67" s="103"/>
      <c r="BY67" s="103"/>
      <c r="BZ67" s="103"/>
      <c r="CA67" s="103"/>
      <c r="CB67" s="103"/>
      <c r="CC67" s="103"/>
      <c r="CD67" s="5"/>
    </row>
    <row r="68" spans="2:82" x14ac:dyDescent="0.2">
      <c r="B68" s="106"/>
      <c r="C68" s="106"/>
      <c r="BR68" s="105" t="s">
        <v>17</v>
      </c>
      <c r="BS68" s="106"/>
      <c r="BT68" s="106"/>
      <c r="BU68" s="106"/>
      <c r="BV68" s="106"/>
      <c r="BW68" s="106"/>
      <c r="BX68" s="106"/>
      <c r="BY68" s="106"/>
      <c r="BZ68" s="106"/>
      <c r="CA68" s="106"/>
      <c r="CB68" s="106"/>
      <c r="CC68" s="106"/>
      <c r="CD68" s="1"/>
    </row>
    <row r="69" spans="2:82" x14ac:dyDescent="0.2">
      <c r="B69" s="97" t="s">
        <v>16</v>
      </c>
      <c r="D69" s="103"/>
      <c r="E69" s="103"/>
      <c r="F69" s="103"/>
      <c r="G69" s="103"/>
      <c r="H69" s="103"/>
      <c r="I69" s="103"/>
      <c r="J69" s="5"/>
      <c r="K69" s="102"/>
      <c r="L69" s="103"/>
      <c r="M69" s="103"/>
      <c r="N69" s="103"/>
      <c r="O69" s="103"/>
      <c r="P69" s="103"/>
      <c r="Q69" s="103"/>
      <c r="R69" s="103"/>
      <c r="S69" s="103"/>
      <c r="T69" s="103"/>
      <c r="U69" s="103"/>
      <c r="V69" s="103"/>
      <c r="W69" s="5"/>
      <c r="X69" s="102"/>
      <c r="Y69" s="103" t="s">
        <v>15</v>
      </c>
      <c r="Z69" s="103"/>
      <c r="AA69" s="103"/>
      <c r="AB69" s="103"/>
      <c r="AC69" s="103"/>
      <c r="AD69" s="103"/>
      <c r="AE69" s="103"/>
      <c r="AF69" s="103"/>
      <c r="AG69" s="103"/>
      <c r="AH69" s="103"/>
      <c r="AI69" s="103"/>
      <c r="AJ69" s="103"/>
      <c r="AK69" s="103"/>
      <c r="AL69" s="103"/>
      <c r="AM69" s="103"/>
      <c r="AN69" s="103"/>
      <c r="AO69" s="103"/>
      <c r="AP69" s="103"/>
      <c r="AQ69" s="103"/>
      <c r="AR69" s="103"/>
      <c r="AS69" s="103"/>
      <c r="AT69" s="103"/>
      <c r="AU69" s="103"/>
      <c r="AV69" s="103"/>
      <c r="AW69" s="103"/>
      <c r="AX69" s="103"/>
      <c r="AY69" s="199" t="s">
        <v>14</v>
      </c>
      <c r="AZ69" s="199"/>
      <c r="BA69" s="200"/>
      <c r="BB69" s="102" t="str">
        <f>Param!B3</f>
        <v xml:space="preserve">Jones, Terry
</v>
      </c>
      <c r="BC69" s="103"/>
      <c r="BD69" s="103"/>
      <c r="BE69" s="103"/>
      <c r="BF69" s="103"/>
      <c r="BG69" s="103"/>
      <c r="BH69" s="103"/>
      <c r="BI69" s="103"/>
      <c r="BJ69" s="103"/>
      <c r="BK69" s="103"/>
      <c r="BL69" s="103"/>
      <c r="BM69" s="5"/>
      <c r="BN69" s="102" t="str">
        <f>_xlfn.CONCAT(BV47," ",BW7," - ",BV48," ",BW48)</f>
        <v>36 LG Mono X Plus - 2 SE5000H</v>
      </c>
      <c r="BO69" s="103"/>
      <c r="BP69" s="103"/>
      <c r="BQ69" s="103"/>
      <c r="BR69" s="103"/>
      <c r="BS69" s="103"/>
      <c r="BT69" s="103"/>
      <c r="BU69" s="103"/>
      <c r="BV69" s="103"/>
      <c r="BW69" s="103"/>
      <c r="BX69" s="103"/>
      <c r="CB69" s="203">
        <v>10</v>
      </c>
      <c r="CC69" s="203"/>
      <c r="CD69" s="204"/>
    </row>
    <row r="70" spans="2:82" x14ac:dyDescent="0.2">
      <c r="J70" s="8"/>
      <c r="K70" s="104"/>
      <c r="W70" s="8"/>
      <c r="X70" s="105"/>
      <c r="Y70" s="106" t="s">
        <v>5</v>
      </c>
      <c r="Z70" s="106"/>
      <c r="AA70" s="106"/>
      <c r="AB70" s="106"/>
      <c r="AC70" s="106"/>
      <c r="AD70" s="106"/>
      <c r="AE70" s="106"/>
      <c r="AF70" s="106"/>
      <c r="AG70" s="106"/>
      <c r="AH70" s="106"/>
      <c r="AI70" s="106"/>
      <c r="AJ70" s="106"/>
      <c r="AK70" s="106"/>
      <c r="AL70" s="106"/>
      <c r="AM70" s="106"/>
      <c r="AN70" s="106"/>
      <c r="AO70" s="106"/>
      <c r="AP70" s="106"/>
      <c r="AQ70" s="106"/>
      <c r="AR70" s="106"/>
      <c r="AS70" s="106"/>
      <c r="AT70" s="106"/>
      <c r="AU70" s="106"/>
      <c r="AV70" s="106"/>
      <c r="AW70" s="106"/>
      <c r="AX70" s="106"/>
      <c r="AY70" s="106"/>
      <c r="AZ70" s="106"/>
      <c r="BA70" s="1"/>
      <c r="BB70" s="105"/>
      <c r="BC70" s="106"/>
      <c r="BD70" s="106"/>
      <c r="BE70" s="106"/>
      <c r="BF70" s="106"/>
      <c r="BG70" s="106"/>
      <c r="BH70" s="106"/>
      <c r="BI70" s="106"/>
      <c r="BJ70" s="106"/>
      <c r="BK70" s="106"/>
      <c r="BL70" s="106"/>
      <c r="BM70" s="1"/>
      <c r="BN70" s="105" t="s">
        <v>13</v>
      </c>
      <c r="BO70" s="106"/>
      <c r="BP70" s="106"/>
      <c r="BQ70" s="106"/>
      <c r="BR70" s="106"/>
      <c r="BS70" s="106"/>
      <c r="BT70" s="106"/>
      <c r="BU70" s="106"/>
      <c r="BV70" s="106"/>
      <c r="BW70" s="106"/>
      <c r="BX70" s="106"/>
      <c r="BY70" s="106"/>
      <c r="BZ70" s="106"/>
      <c r="CA70" s="106"/>
      <c r="CB70" s="106"/>
      <c r="CC70" s="106"/>
      <c r="CD70" s="1"/>
    </row>
    <row r="71" spans="2:82" x14ac:dyDescent="0.2">
      <c r="J71" s="8"/>
      <c r="K71" s="104"/>
      <c r="W71" s="8"/>
      <c r="X71" s="102"/>
      <c r="Y71" s="103" t="s">
        <v>12</v>
      </c>
      <c r="Z71" s="103"/>
      <c r="AA71" s="103"/>
      <c r="AB71" s="103"/>
      <c r="AC71" s="103"/>
      <c r="AD71" s="103"/>
      <c r="AE71" s="103"/>
      <c r="AF71" s="103"/>
      <c r="AG71" s="103"/>
      <c r="AH71" s="103"/>
      <c r="AI71" s="103"/>
      <c r="AJ71" s="103"/>
      <c r="AK71" s="103"/>
      <c r="AL71" s="103"/>
      <c r="AM71" s="103"/>
      <c r="AN71" s="103"/>
      <c r="AO71" s="103"/>
      <c r="AP71" s="103"/>
      <c r="AQ71" s="103"/>
      <c r="AR71" s="103"/>
      <c r="AS71" s="103"/>
      <c r="AT71" s="103"/>
      <c r="AU71" s="103"/>
      <c r="AV71" s="103"/>
      <c r="AW71" s="103"/>
      <c r="AX71" s="103"/>
      <c r="AY71" s="199" t="s">
        <v>11</v>
      </c>
      <c r="AZ71" s="199"/>
      <c r="BA71" s="200"/>
      <c r="BB71" s="102" t="str">
        <f>Param!B4</f>
        <v>3 Allandale Street Kearsley</v>
      </c>
      <c r="BC71" s="103"/>
      <c r="BD71" s="103"/>
      <c r="BE71" s="103"/>
      <c r="BF71" s="103"/>
      <c r="BG71" s="103"/>
      <c r="BH71" s="103"/>
      <c r="BI71" s="103"/>
      <c r="BJ71" s="103"/>
      <c r="BK71" s="103"/>
      <c r="BL71" s="103"/>
      <c r="BM71" s="5"/>
      <c r="BN71" s="102" t="s">
        <v>10</v>
      </c>
      <c r="BO71" s="103"/>
      <c r="BP71" s="5"/>
      <c r="BQ71" s="102" t="s">
        <v>9</v>
      </c>
      <c r="BR71" s="103"/>
      <c r="BS71" s="5"/>
      <c r="BT71" s="102" t="s">
        <v>8</v>
      </c>
      <c r="BU71" s="103"/>
      <c r="BV71" s="103"/>
      <c r="BW71" s="5"/>
      <c r="BX71" s="102" t="s">
        <v>7</v>
      </c>
      <c r="BY71" s="103"/>
      <c r="BZ71" s="5"/>
      <c r="CA71" s="102" t="s">
        <v>6</v>
      </c>
      <c r="CB71" s="103"/>
      <c r="CC71" s="103"/>
      <c r="CD71" s="5"/>
    </row>
    <row r="72" spans="2:82" x14ac:dyDescent="0.2">
      <c r="J72" s="8"/>
      <c r="K72" s="104"/>
      <c r="W72" s="8"/>
      <c r="X72" s="105"/>
      <c r="Y72" s="106" t="s">
        <v>5</v>
      </c>
      <c r="Z72" s="106"/>
      <c r="AA72" s="106"/>
      <c r="AB72" s="106"/>
      <c r="AC72" s="106"/>
      <c r="AD72" s="106"/>
      <c r="AE72" s="106"/>
      <c r="AF72" s="106"/>
      <c r="AG72" s="106"/>
      <c r="AH72" s="106"/>
      <c r="AI72" s="106"/>
      <c r="AJ72" s="106"/>
      <c r="AK72" s="106"/>
      <c r="AL72" s="106"/>
      <c r="AM72" s="106"/>
      <c r="AN72" s="106"/>
      <c r="AO72" s="106"/>
      <c r="AP72" s="106"/>
      <c r="AQ72" s="106"/>
      <c r="AR72" s="106"/>
      <c r="AS72" s="106"/>
      <c r="AT72" s="106"/>
      <c r="AU72" s="106"/>
      <c r="AV72" s="106"/>
      <c r="AW72" s="106"/>
      <c r="AX72" s="106"/>
      <c r="AY72" s="106"/>
      <c r="AZ72" s="106"/>
      <c r="BA72" s="1"/>
      <c r="BB72" s="105"/>
      <c r="BC72" s="106"/>
      <c r="BD72" s="106"/>
      <c r="BE72" s="106"/>
      <c r="BF72" s="106"/>
      <c r="BG72" s="106"/>
      <c r="BH72" s="106"/>
      <c r="BI72" s="106"/>
      <c r="BJ72" s="106"/>
      <c r="BK72" s="106"/>
      <c r="BL72" s="106"/>
      <c r="BM72" s="1"/>
      <c r="BN72" s="205" t="s">
        <v>98</v>
      </c>
      <c r="BO72" s="206"/>
      <c r="BP72" s="207"/>
      <c r="BQ72" s="205" t="s">
        <v>4</v>
      </c>
      <c r="BR72" s="206"/>
      <c r="BS72" s="207"/>
      <c r="BT72" s="205" t="s">
        <v>4</v>
      </c>
      <c r="BU72" s="206"/>
      <c r="BV72" s="206"/>
      <c r="BW72" s="1"/>
      <c r="BX72" s="208">
        <f ca="1">TODAY()</f>
        <v>44228</v>
      </c>
      <c r="BY72" s="209"/>
      <c r="BZ72" s="210"/>
      <c r="CA72" s="10" t="s">
        <v>3</v>
      </c>
      <c r="CB72" s="106"/>
      <c r="CC72" s="106"/>
      <c r="CD72" s="1"/>
    </row>
    <row r="73" spans="2:82" x14ac:dyDescent="0.2">
      <c r="J73" s="8"/>
      <c r="K73" s="104"/>
      <c r="W73" s="8"/>
      <c r="X73" s="102"/>
      <c r="Y73" s="103"/>
      <c r="Z73" s="103"/>
      <c r="AA73" s="103"/>
      <c r="AB73" s="103"/>
      <c r="AC73" s="103"/>
      <c r="AD73" s="103"/>
      <c r="AE73" s="103"/>
      <c r="AF73" s="103"/>
      <c r="AG73" s="103"/>
      <c r="AH73" s="103"/>
      <c r="AI73" s="103"/>
      <c r="AJ73" s="103"/>
      <c r="AK73" s="103"/>
      <c r="AL73" s="103"/>
      <c r="AY73" s="199" t="s">
        <v>2</v>
      </c>
      <c r="AZ73" s="199"/>
      <c r="BA73" s="200"/>
      <c r="BB73" s="201">
        <f>Param!B2</f>
        <v>26394</v>
      </c>
      <c r="BC73" s="202"/>
      <c r="BD73" s="103"/>
      <c r="BE73" s="103"/>
      <c r="BF73" s="103"/>
      <c r="BG73" s="103"/>
      <c r="BH73" s="103"/>
      <c r="BI73" s="103"/>
      <c r="BJ73" s="103"/>
      <c r="BK73" s="103"/>
      <c r="BL73" s="103"/>
      <c r="BM73" s="5"/>
      <c r="BN73" s="102" t="s">
        <v>1</v>
      </c>
      <c r="BO73" s="103"/>
      <c r="BP73" s="103"/>
      <c r="BQ73" s="103">
        <v>1</v>
      </c>
      <c r="BR73" s="103"/>
      <c r="BS73" s="103"/>
      <c r="BT73" s="103"/>
      <c r="BU73" s="103"/>
      <c r="BV73" s="103"/>
      <c r="BW73" s="103"/>
      <c r="BX73" s="103"/>
      <c r="BY73" s="103"/>
      <c r="BZ73" s="103"/>
      <c r="CA73" s="103"/>
      <c r="CB73" s="103"/>
      <c r="CC73" s="103"/>
      <c r="CD73" s="5"/>
    </row>
    <row r="74" spans="2:82" x14ac:dyDescent="0.2">
      <c r="C74" s="106"/>
      <c r="D74" s="106"/>
      <c r="E74" s="106"/>
      <c r="F74" s="106"/>
      <c r="G74" s="106"/>
      <c r="H74" s="106"/>
      <c r="I74" s="106"/>
      <c r="J74" s="1"/>
      <c r="K74" s="105"/>
      <c r="L74" s="106"/>
      <c r="M74" s="106"/>
      <c r="N74" s="106"/>
      <c r="O74" s="106"/>
      <c r="P74" s="106"/>
      <c r="Q74" s="106"/>
      <c r="R74" s="106"/>
      <c r="S74" s="106"/>
      <c r="T74" s="106"/>
      <c r="U74" s="106"/>
      <c r="V74" s="106"/>
      <c r="W74" s="1"/>
      <c r="X74" s="105"/>
      <c r="Y74" s="106"/>
      <c r="Z74" s="106"/>
      <c r="AA74" s="106"/>
      <c r="AB74" s="106"/>
      <c r="AC74" s="106"/>
      <c r="AD74" s="106"/>
      <c r="AE74" s="106"/>
      <c r="AF74" s="106"/>
      <c r="AG74" s="106"/>
      <c r="AH74" s="106"/>
      <c r="AI74" s="106"/>
      <c r="AJ74" s="106"/>
      <c r="AK74" s="106"/>
      <c r="AL74" s="106"/>
      <c r="AZ74" s="106"/>
      <c r="BA74" s="1"/>
      <c r="BB74" s="105"/>
      <c r="BC74" s="106"/>
      <c r="BD74" s="106"/>
      <c r="BE74" s="106"/>
      <c r="BF74" s="106"/>
      <c r="BG74" s="106"/>
      <c r="BH74" s="106"/>
      <c r="BI74" s="106"/>
      <c r="BJ74" s="106"/>
      <c r="BK74" s="106"/>
      <c r="BL74" s="106"/>
      <c r="BM74" s="1"/>
      <c r="BN74" s="105" t="s">
        <v>0</v>
      </c>
      <c r="BO74" s="106"/>
      <c r="BP74" s="106"/>
      <c r="BQ74" s="3" t="s">
        <v>146</v>
      </c>
      <c r="BR74" s="106"/>
      <c r="BS74" s="106"/>
      <c r="BT74" s="106"/>
      <c r="BU74" s="106"/>
      <c r="BV74" s="106"/>
      <c r="BW74" s="106"/>
      <c r="BX74" s="106"/>
      <c r="BY74" s="106"/>
      <c r="BZ74" s="106"/>
      <c r="CA74" s="106"/>
      <c r="CB74" s="106"/>
      <c r="CC74" s="106"/>
      <c r="CD74" s="1"/>
    </row>
  </sheetData>
  <mergeCells count="92">
    <mergeCell ref="BW24:BX24"/>
    <mergeCell ref="CC23:CD23"/>
    <mergeCell ref="CC24:CD24"/>
    <mergeCell ref="CC25:CD25"/>
    <mergeCell ref="CC26:CD26"/>
    <mergeCell ref="BW23:BX23"/>
    <mergeCell ref="CA25:CB25"/>
    <mergeCell ref="BY26:BZ26"/>
    <mergeCell ref="BT31:BU31"/>
    <mergeCell ref="BV31:BW31"/>
    <mergeCell ref="BX31:BY31"/>
    <mergeCell ref="BZ31:CA31"/>
    <mergeCell ref="CB31:CC31"/>
    <mergeCell ref="BW25:BX25"/>
    <mergeCell ref="BW27:BX27"/>
    <mergeCell ref="BW26:BX26"/>
    <mergeCell ref="CC27:CD27"/>
    <mergeCell ref="BR36:BU36"/>
    <mergeCell ref="BR37:BU37"/>
    <mergeCell ref="BR39:BU39"/>
    <mergeCell ref="BZ32:CA32"/>
    <mergeCell ref="CB32:CC32"/>
    <mergeCell ref="BR33:CC33"/>
    <mergeCell ref="BT32:BU32"/>
    <mergeCell ref="BV32:BW32"/>
    <mergeCell ref="BX32:BY32"/>
    <mergeCell ref="BR38:BU38"/>
    <mergeCell ref="BV38:BY38"/>
    <mergeCell ref="BZ38:CC38"/>
    <mergeCell ref="BR34:BU34"/>
    <mergeCell ref="BV34:BY34"/>
    <mergeCell ref="BZ34:CC34"/>
    <mergeCell ref="BR35:BU35"/>
    <mergeCell ref="CA40:CB40"/>
    <mergeCell ref="BV36:BY36"/>
    <mergeCell ref="BZ36:CC36"/>
    <mergeCell ref="BV37:BY37"/>
    <mergeCell ref="BZ37:CC37"/>
    <mergeCell ref="BV39:BY39"/>
    <mergeCell ref="BZ39:CC39"/>
    <mergeCell ref="CA41:CB41"/>
    <mergeCell ref="BR42:BT42"/>
    <mergeCell ref="BU42:BV42"/>
    <mergeCell ref="BW42:BX42"/>
    <mergeCell ref="BY42:BZ42"/>
    <mergeCell ref="CA42:CB42"/>
    <mergeCell ref="BR40:BT40"/>
    <mergeCell ref="BU40:BV40"/>
    <mergeCell ref="BW40:BX40"/>
    <mergeCell ref="BY40:BZ40"/>
    <mergeCell ref="BW49:BY49"/>
    <mergeCell ref="BR41:BT41"/>
    <mergeCell ref="BU41:BV41"/>
    <mergeCell ref="BW41:BX41"/>
    <mergeCell ref="BY41:BZ41"/>
    <mergeCell ref="AZ59:BB59"/>
    <mergeCell ref="BC59:BD59"/>
    <mergeCell ref="BE59:BF59"/>
    <mergeCell ref="BG59:BH59"/>
    <mergeCell ref="BI59:BJ59"/>
    <mergeCell ref="AY73:BA73"/>
    <mergeCell ref="BB73:BC73"/>
    <mergeCell ref="AY69:BA69"/>
    <mergeCell ref="CB69:CD69"/>
    <mergeCell ref="AY71:BA71"/>
    <mergeCell ref="BN72:BP72"/>
    <mergeCell ref="BQ72:BS72"/>
    <mergeCell ref="BT72:BV72"/>
    <mergeCell ref="BX72:BZ72"/>
    <mergeCell ref="BV35:BY35"/>
    <mergeCell ref="BZ35:CC35"/>
    <mergeCell ref="BW8:BZ8"/>
    <mergeCell ref="CA11:CC11"/>
    <mergeCell ref="BY23:BZ23"/>
    <mergeCell ref="BY24:BZ24"/>
    <mergeCell ref="BV16:BZ16"/>
    <mergeCell ref="BV17:BZ17"/>
    <mergeCell ref="CA19:CB19"/>
    <mergeCell ref="BY27:BZ27"/>
    <mergeCell ref="BY25:BZ25"/>
    <mergeCell ref="BV18:BZ18"/>
    <mergeCell ref="BV19:BZ19"/>
    <mergeCell ref="BW9:BZ9"/>
    <mergeCell ref="BW10:BZ10"/>
    <mergeCell ref="BW11:BZ11"/>
    <mergeCell ref="BW12:BZ12"/>
    <mergeCell ref="BW6:BZ6"/>
    <mergeCell ref="BW7:BZ7"/>
    <mergeCell ref="CA23:CB23"/>
    <mergeCell ref="CA24:CB24"/>
    <mergeCell ref="CA26:CB26"/>
    <mergeCell ref="CA27:CB27"/>
  </mergeCells>
  <conditionalFormatting sqref="BH62:BI65">
    <cfRule type="cellIs" dxfId="6" priority="5" operator="greaterThan">
      <formula>600</formula>
    </cfRule>
  </conditionalFormatting>
  <conditionalFormatting sqref="BZ31:CA32">
    <cfRule type="cellIs" dxfId="5" priority="3" operator="greaterThan">
      <formula>600</formula>
    </cfRule>
  </conditionalFormatting>
  <conditionalFormatting sqref="BZ28:CA30">
    <cfRule type="cellIs" dxfId="4" priority="2" operator="greaterThan">
      <formula>600</formula>
    </cfRule>
  </conditionalFormatting>
  <pageMargins left="0" right="0" top="0" bottom="0" header="0" footer="0"/>
  <pageSetup paperSize="9" scale="48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1A8D0-7256-E34E-9DBD-CA19E1ABA3ED}">
  <sheetPr codeName="Feuil13">
    <pageSetUpPr fitToPage="1"/>
  </sheetPr>
  <dimension ref="B5:CD74"/>
  <sheetViews>
    <sheetView showGridLines="0" topLeftCell="A13" zoomScale="75" zoomScaleNormal="85" workbookViewId="0">
      <selection activeCell="BQ75" sqref="BQ75"/>
    </sheetView>
  </sheetViews>
  <sheetFormatPr baseColWidth="10" defaultRowHeight="16" x14ac:dyDescent="0.2"/>
  <cols>
    <col min="1" max="73" width="3.33203125" customWidth="1"/>
    <col min="74" max="74" width="4.1640625" bestFit="1" customWidth="1"/>
    <col min="75" max="75" width="3.33203125" customWidth="1"/>
    <col min="76" max="76" width="3.83203125" customWidth="1"/>
    <col min="77" max="83" width="3.33203125" customWidth="1"/>
  </cols>
  <sheetData>
    <row r="5" spans="4:81" x14ac:dyDescent="0.2">
      <c r="D5" s="87" t="s">
        <v>95</v>
      </c>
      <c r="BR5" s="47" t="s">
        <v>68</v>
      </c>
      <c r="BS5" s="46"/>
      <c r="BT5" s="46"/>
      <c r="BU5" s="46"/>
      <c r="BV5" s="46"/>
      <c r="BW5" s="46"/>
      <c r="BX5" s="46"/>
      <c r="BY5" s="46"/>
      <c r="BZ5" s="45"/>
    </row>
    <row r="6" spans="4:81" x14ac:dyDescent="0.2">
      <c r="AK6" s="87" t="str">
        <f>IF(Param!D2=1,"Block Diagram","")</f>
        <v/>
      </c>
      <c r="BJ6" s="52"/>
      <c r="BR6" s="44" t="s">
        <v>62</v>
      </c>
      <c r="BS6" s="38"/>
      <c r="BT6" s="38"/>
      <c r="BU6" s="38"/>
      <c r="BV6" s="239" t="str">
        <f>Param!B11</f>
        <v>LG Electronics</v>
      </c>
      <c r="BW6" s="239"/>
      <c r="BX6" s="239"/>
      <c r="BY6" s="239"/>
      <c r="BZ6" s="240"/>
    </row>
    <row r="7" spans="4:81" x14ac:dyDescent="0.2">
      <c r="BL7" s="51"/>
      <c r="BM7" s="51"/>
      <c r="BN7" s="51"/>
      <c r="BR7" s="44" t="s">
        <v>61</v>
      </c>
      <c r="BS7" s="38"/>
      <c r="BT7" s="38"/>
      <c r="BU7" s="38"/>
      <c r="BV7" s="189" t="str">
        <f>Param!B12</f>
        <v>LG Mono X Plus</v>
      </c>
      <c r="BW7" s="189"/>
      <c r="BX7" s="189"/>
      <c r="BY7" s="189"/>
      <c r="BZ7" s="190"/>
    </row>
    <row r="8" spans="4:81" x14ac:dyDescent="0.2">
      <c r="BL8" s="50"/>
      <c r="BM8" s="50"/>
      <c r="BN8" s="50"/>
      <c r="BR8" s="44" t="s">
        <v>127</v>
      </c>
      <c r="BW8" s="194">
        <f>Param!B13</f>
        <v>36</v>
      </c>
      <c r="BX8" s="194"/>
      <c r="BY8" s="194"/>
      <c r="BZ8" s="195"/>
    </row>
    <row r="9" spans="4:81" x14ac:dyDescent="0.2">
      <c r="BL9" s="49"/>
      <c r="BM9" s="49"/>
      <c r="BN9" s="49"/>
      <c r="BR9" s="44" t="s">
        <v>67</v>
      </c>
      <c r="BS9" s="38"/>
      <c r="BT9" s="38"/>
      <c r="BU9" s="38"/>
      <c r="BV9" s="38"/>
      <c r="BW9" s="38"/>
      <c r="BX9" s="179">
        <f>Param!B14</f>
        <v>370</v>
      </c>
      <c r="BY9" s="179"/>
      <c r="BZ9" s="180"/>
    </row>
    <row r="10" spans="4:81" x14ac:dyDescent="0.2">
      <c r="BR10" s="44" t="s">
        <v>66</v>
      </c>
      <c r="BS10" s="38"/>
      <c r="BT10" s="38"/>
      <c r="BU10" s="38"/>
      <c r="BV10" s="38"/>
      <c r="BW10" s="38"/>
      <c r="BX10" s="181">
        <f>Param!B15</f>
        <v>41.72</v>
      </c>
      <c r="BY10" s="181"/>
      <c r="BZ10" s="182"/>
    </row>
    <row r="11" spans="4:81" x14ac:dyDescent="0.2">
      <c r="BR11" s="44" t="s">
        <v>65</v>
      </c>
      <c r="BS11" s="138"/>
      <c r="BT11" s="138"/>
      <c r="BU11" s="138"/>
      <c r="BV11" s="138"/>
      <c r="BW11" s="138"/>
      <c r="BX11" s="183">
        <f>Param!B16</f>
        <v>11.32</v>
      </c>
      <c r="BY11" s="183"/>
      <c r="BZ11" s="184"/>
      <c r="CA11" s="196"/>
      <c r="CB11" s="196"/>
      <c r="CC11" s="196"/>
    </row>
    <row r="12" spans="4:81" x14ac:dyDescent="0.2">
      <c r="AM12" s="148" t="str">
        <f>IF(Param!D10&lt;&gt;"",_xlfn.CONCAT("Note: ",Param!D10),"")</f>
        <v/>
      </c>
      <c r="AW12" s="100"/>
      <c r="AX12" s="100"/>
      <c r="AY12" s="100"/>
      <c r="AZ12" s="100"/>
      <c r="BA12" s="100"/>
      <c r="BB12" s="100"/>
      <c r="BC12" s="100"/>
      <c r="BD12" s="241"/>
      <c r="BE12" s="241"/>
      <c r="BF12" s="241"/>
      <c r="BG12" s="241"/>
      <c r="BR12" s="48" t="s">
        <v>128</v>
      </c>
      <c r="BS12" s="40"/>
      <c r="BT12" s="40"/>
      <c r="BU12" s="40"/>
      <c r="BV12" s="258" t="str">
        <f>_xlfn.CONCAT(BW8*Param!B14/1000, " kWdc")</f>
        <v>13.32 kWdc</v>
      </c>
      <c r="BW12" s="258"/>
      <c r="BX12" s="258"/>
      <c r="BY12" s="258"/>
      <c r="BZ12" s="259"/>
      <c r="CC12" s="39"/>
    </row>
    <row r="13" spans="4:81" x14ac:dyDescent="0.2">
      <c r="AW13" s="100"/>
      <c r="AX13" s="100"/>
      <c r="AY13" s="100"/>
      <c r="AZ13" s="100"/>
      <c r="BA13" s="100"/>
      <c r="BB13" s="100"/>
      <c r="BC13" s="100"/>
      <c r="BD13" s="241"/>
      <c r="BE13" s="241"/>
      <c r="BF13" s="241"/>
      <c r="BG13" s="241"/>
      <c r="CC13" s="39"/>
    </row>
    <row r="14" spans="4:81" x14ac:dyDescent="0.2">
      <c r="AW14" s="100"/>
      <c r="AX14" s="100"/>
      <c r="AY14" s="100"/>
      <c r="AZ14" s="100"/>
      <c r="BA14" s="100"/>
      <c r="BB14" s="100"/>
      <c r="BC14" s="100"/>
      <c r="BD14" s="241"/>
      <c r="BE14" s="241"/>
      <c r="BF14" s="241"/>
      <c r="BG14" s="241"/>
      <c r="CC14" s="39"/>
    </row>
    <row r="15" spans="4:81" x14ac:dyDescent="0.2">
      <c r="AW15" s="100"/>
      <c r="AX15" s="100"/>
      <c r="AY15" s="100"/>
      <c r="AZ15" s="100"/>
      <c r="BA15" s="100"/>
      <c r="BB15" s="100"/>
      <c r="BC15" s="100"/>
      <c r="BD15" s="241"/>
      <c r="BE15" s="241"/>
      <c r="BF15" s="241"/>
      <c r="BG15" s="241"/>
      <c r="BK15" s="39"/>
      <c r="BL15" s="39"/>
      <c r="BM15" s="39"/>
      <c r="BR15" s="47" t="s">
        <v>64</v>
      </c>
      <c r="BS15" s="46"/>
      <c r="BT15" s="46"/>
      <c r="BU15" s="46"/>
      <c r="BV15" s="46"/>
      <c r="BW15" s="46"/>
      <c r="BX15" s="46"/>
      <c r="BY15" s="46"/>
      <c r="BZ15" s="45"/>
      <c r="CC15" s="39"/>
    </row>
    <row r="16" spans="4:81" x14ac:dyDescent="0.2">
      <c r="AW16" s="100"/>
      <c r="AX16" s="100"/>
      <c r="AY16" s="100"/>
      <c r="AZ16" s="100"/>
      <c r="BA16" s="100"/>
      <c r="BB16" s="100"/>
      <c r="BC16" s="100"/>
      <c r="BD16" s="241"/>
      <c r="BE16" s="241"/>
      <c r="BF16" s="241"/>
      <c r="BG16" s="241"/>
      <c r="BR16" s="44" t="s">
        <v>63</v>
      </c>
      <c r="BS16" s="38"/>
      <c r="BT16" s="38"/>
      <c r="BU16" s="38"/>
      <c r="BV16" s="187">
        <v>1</v>
      </c>
      <c r="BW16" s="187"/>
      <c r="BX16" s="187"/>
      <c r="BY16" s="187"/>
      <c r="BZ16" s="188"/>
      <c r="CC16" s="39"/>
    </row>
    <row r="17" spans="4:81" x14ac:dyDescent="0.2">
      <c r="BE17" s="16"/>
      <c r="BF17" s="16"/>
      <c r="BG17" s="16"/>
      <c r="BH17" s="16"/>
      <c r="BI17" s="16"/>
      <c r="BJ17" s="16"/>
      <c r="BK17" s="16"/>
      <c r="BL17" s="16"/>
      <c r="BM17" s="16"/>
      <c r="BN17" s="16"/>
      <c r="BO17" s="16"/>
      <c r="BR17" s="44" t="s">
        <v>62</v>
      </c>
      <c r="BS17" s="38"/>
      <c r="BT17" s="38"/>
      <c r="BU17" s="38"/>
      <c r="BV17" s="187" t="str">
        <f>Param!B19</f>
        <v>SolarEdge</v>
      </c>
      <c r="BW17" s="187"/>
      <c r="BX17" s="187"/>
      <c r="BY17" s="187"/>
      <c r="BZ17" s="188"/>
      <c r="CA17" s="39"/>
      <c r="CB17" s="39"/>
      <c r="CC17" s="39"/>
    </row>
    <row r="18" spans="4:81" ht="16" customHeight="1" x14ac:dyDescent="0.2">
      <c r="BE18" s="16"/>
      <c r="BF18" s="16"/>
      <c r="BG18" s="16"/>
      <c r="BH18" s="16"/>
      <c r="BI18" s="16"/>
      <c r="BJ18" s="16"/>
      <c r="BK18" s="16"/>
      <c r="BL18" s="16"/>
      <c r="BM18" s="16"/>
      <c r="BN18" s="16"/>
      <c r="BO18" s="16"/>
      <c r="BR18" s="43" t="s">
        <v>61</v>
      </c>
      <c r="BS18" s="42"/>
      <c r="BT18" s="38"/>
      <c r="BU18" s="38"/>
      <c r="BV18" s="187" t="str">
        <f>Param!B20</f>
        <v>SE5000H</v>
      </c>
      <c r="BW18" s="187"/>
      <c r="BX18" s="187"/>
      <c r="BY18" s="187"/>
      <c r="BZ18" s="188"/>
      <c r="CA18" s="38"/>
      <c r="CB18" s="38"/>
      <c r="CC18" s="38"/>
    </row>
    <row r="19" spans="4:81" ht="16" customHeight="1" x14ac:dyDescent="0.2">
      <c r="BE19" s="16"/>
      <c r="BF19" s="16"/>
      <c r="BG19" s="16"/>
      <c r="BH19" s="16"/>
      <c r="BI19" s="16"/>
      <c r="BJ19" s="16"/>
      <c r="BK19" s="16"/>
      <c r="BL19" s="16"/>
      <c r="BM19" s="16"/>
      <c r="BN19" s="16"/>
      <c r="BO19" s="16"/>
      <c r="BR19" s="41" t="s">
        <v>60</v>
      </c>
      <c r="BS19" s="40"/>
      <c r="BT19" s="40"/>
      <c r="BU19" s="40"/>
      <c r="BV19" s="197">
        <f>Param!B23</f>
        <v>4.9850000000000003</v>
      </c>
      <c r="BW19" s="197"/>
      <c r="BX19" s="197"/>
      <c r="BY19" s="197"/>
      <c r="BZ19" s="198"/>
      <c r="CC19" s="38"/>
    </row>
    <row r="20" spans="4:81" x14ac:dyDescent="0.2">
      <c r="Y20" s="16"/>
      <c r="BE20" s="16"/>
      <c r="BF20" s="16"/>
      <c r="BG20" s="16"/>
      <c r="BH20" s="16"/>
      <c r="BI20" s="16"/>
      <c r="BJ20" s="16"/>
      <c r="BK20" s="16"/>
      <c r="BL20" s="16"/>
      <c r="BM20" s="16"/>
      <c r="BN20" s="16"/>
      <c r="BO20" s="16"/>
      <c r="CC20" s="38"/>
    </row>
    <row r="21" spans="4:81" x14ac:dyDescent="0.2">
      <c r="BE21" s="16"/>
      <c r="BF21" s="16"/>
      <c r="BG21" s="16"/>
      <c r="BH21" s="16"/>
      <c r="BI21" s="16"/>
      <c r="BJ21" s="16"/>
      <c r="BK21" s="16"/>
      <c r="BL21" s="16"/>
      <c r="BM21" s="16"/>
      <c r="BN21" s="16"/>
      <c r="BO21" s="16"/>
      <c r="CC21" s="37"/>
    </row>
    <row r="22" spans="4:81" x14ac:dyDescent="0.2">
      <c r="BR22" s="137"/>
      <c r="BS22" s="137"/>
      <c r="BT22" s="137"/>
      <c r="BU22" s="137"/>
      <c r="BV22" s="137"/>
      <c r="BW22" s="137"/>
      <c r="BX22" s="137"/>
      <c r="BY22" s="137"/>
      <c r="BZ22" s="137"/>
      <c r="CA22" s="137"/>
      <c r="CB22" s="137"/>
      <c r="CC22" s="36"/>
    </row>
    <row r="23" spans="4:81" x14ac:dyDescent="0.2">
      <c r="AJ23" s="11"/>
      <c r="BR23" s="137"/>
      <c r="BS23" s="137"/>
      <c r="BT23" s="137"/>
      <c r="BU23" s="137"/>
      <c r="BV23" s="137"/>
      <c r="BW23" s="137"/>
      <c r="BX23" s="137"/>
      <c r="BY23" s="137"/>
      <c r="BZ23" s="137"/>
      <c r="CA23" s="137"/>
      <c r="CB23" s="137"/>
      <c r="CC23" s="35"/>
    </row>
    <row r="24" spans="4:81" x14ac:dyDescent="0.2">
      <c r="BR24" s="20"/>
      <c r="BS24" s="20"/>
      <c r="BT24" s="133"/>
      <c r="BU24" s="133"/>
      <c r="BV24" s="19"/>
      <c r="BW24" s="19"/>
      <c r="BX24" s="137"/>
      <c r="BY24" s="137"/>
      <c r="BZ24" s="137"/>
      <c r="CA24" s="137"/>
      <c r="CB24" s="34"/>
      <c r="CC24" s="34"/>
    </row>
    <row r="25" spans="4:81" x14ac:dyDescent="0.2">
      <c r="BR25" s="262" t="s">
        <v>59</v>
      </c>
      <c r="BS25" s="256"/>
      <c r="BT25" s="256"/>
      <c r="BU25" s="256" t="s">
        <v>58</v>
      </c>
      <c r="BV25" s="256"/>
      <c r="BW25" s="256" t="s">
        <v>57</v>
      </c>
      <c r="BX25" s="256"/>
      <c r="BY25" s="256" t="s">
        <v>56</v>
      </c>
      <c r="BZ25" s="256"/>
      <c r="CA25" s="256" t="s">
        <v>55</v>
      </c>
      <c r="CB25" s="257"/>
      <c r="CC25" s="34"/>
    </row>
    <row r="26" spans="4:81" x14ac:dyDescent="0.2">
      <c r="BR26" s="230" t="s">
        <v>54</v>
      </c>
      <c r="BS26" s="231"/>
      <c r="BT26" s="232"/>
      <c r="BU26" s="230" t="s">
        <v>53</v>
      </c>
      <c r="BV26" s="232"/>
      <c r="BW26" s="226">
        <f>Param!B24</f>
        <v>10</v>
      </c>
      <c r="BX26" s="221"/>
      <c r="BY26" s="221">
        <f>IF(Param!B19="SolarEdge",380,Param!B24*Param!B15)</f>
        <v>380</v>
      </c>
      <c r="BZ26" s="221"/>
      <c r="CA26" s="254">
        <f>IF(Param!B19="SolarEdge",(BW26*Param!B14)/BY26,Param!B16)</f>
        <v>9.7368421052631575</v>
      </c>
      <c r="CB26" s="255"/>
      <c r="CC26" s="34"/>
    </row>
    <row r="27" spans="4:81" x14ac:dyDescent="0.2">
      <c r="BR27" s="244"/>
      <c r="BS27" s="245"/>
      <c r="BT27" s="246"/>
      <c r="BU27" s="247"/>
      <c r="BV27" s="249"/>
      <c r="BW27" s="248">
        <f>Param!B25</f>
        <v>11</v>
      </c>
      <c r="BX27" s="248"/>
      <c r="BY27" s="248">
        <f>IF(Param!B19="SolarEdge",380,Param!B25*Param!B15)</f>
        <v>380</v>
      </c>
      <c r="BZ27" s="248"/>
      <c r="CA27" s="252">
        <f>IF(Param!B20="SolarEdge",(BW27*Param!B14)/BY27,Param!B16)</f>
        <v>11.32</v>
      </c>
      <c r="CB27" s="253"/>
      <c r="CC27" s="135"/>
    </row>
    <row r="28" spans="4:81" x14ac:dyDescent="0.2">
      <c r="BE28" s="16"/>
      <c r="BF28" s="16"/>
      <c r="BG28" s="16"/>
      <c r="BH28" s="16"/>
      <c r="BI28" s="16"/>
      <c r="BJ28" s="16"/>
      <c r="BK28" s="16"/>
      <c r="BL28" s="16"/>
      <c r="BM28" s="16"/>
      <c r="BN28" s="16"/>
      <c r="BO28" s="16"/>
      <c r="BP28" s="16"/>
      <c r="BQ28" s="16"/>
      <c r="BR28" s="244"/>
      <c r="BS28" s="245"/>
      <c r="BT28" s="246"/>
      <c r="BU28" s="230" t="s">
        <v>50</v>
      </c>
      <c r="BV28" s="232"/>
      <c r="BW28" s="245">
        <f>Param!B26</f>
        <v>0</v>
      </c>
      <c r="BX28" s="245"/>
      <c r="BY28" s="245">
        <f>IF(Param!B19="SolarEdge",380,Param!B26*Param!B15)</f>
        <v>380</v>
      </c>
      <c r="BZ28" s="245"/>
      <c r="CA28" s="250">
        <f>IF(Param!B19="SolarEdge",(BW28*BX9)/BY28,Param!B16)</f>
        <v>0</v>
      </c>
      <c r="CB28" s="251"/>
      <c r="CC28" s="135"/>
    </row>
    <row r="29" spans="4:81" x14ac:dyDescent="0.2">
      <c r="L29" s="33"/>
      <c r="M29" s="32"/>
      <c r="BE29" s="16"/>
      <c r="BF29" s="16"/>
      <c r="BG29" s="16"/>
      <c r="BH29" s="16"/>
      <c r="BI29" s="16"/>
      <c r="BK29" s="16"/>
      <c r="BL29" s="16"/>
      <c r="BM29" s="16"/>
      <c r="BN29" s="16"/>
      <c r="BO29" s="16"/>
      <c r="BP29" s="16"/>
      <c r="BQ29" s="16"/>
      <c r="BR29" s="247"/>
      <c r="BS29" s="248"/>
      <c r="BT29" s="249"/>
      <c r="BU29" s="247"/>
      <c r="BV29" s="249"/>
      <c r="BW29" s="248"/>
      <c r="BX29" s="248"/>
      <c r="BY29" s="248"/>
      <c r="BZ29" s="248"/>
      <c r="CA29" s="252"/>
      <c r="CB29" s="253"/>
      <c r="CC29" s="135"/>
    </row>
    <row r="30" spans="4:81" x14ac:dyDescent="0.2">
      <c r="D30" s="129" t="str">
        <f>IF(Param!B39&lt;&gt;"","Main switch","")</f>
        <v/>
      </c>
      <c r="J30" t="s">
        <v>89</v>
      </c>
      <c r="BE30" s="16"/>
      <c r="BF30" s="16"/>
      <c r="BG30" s="16"/>
      <c r="BH30" s="16"/>
      <c r="BI30" s="16"/>
      <c r="BK30" s="16"/>
      <c r="BL30" s="16"/>
      <c r="BM30" s="16"/>
      <c r="BN30" s="16"/>
      <c r="BO30" s="16"/>
      <c r="BP30" s="16"/>
      <c r="BQ30" s="16"/>
      <c r="BR30" s="136"/>
      <c r="BS30" s="136"/>
      <c r="BT30" s="133"/>
      <c r="BU30" s="133"/>
      <c r="BV30" s="134"/>
      <c r="BW30" s="134"/>
      <c r="BX30" s="132"/>
      <c r="BY30" s="132"/>
      <c r="BZ30" s="132"/>
      <c r="CA30" s="132"/>
      <c r="CB30" s="135"/>
      <c r="CC30" s="135"/>
    </row>
    <row r="31" spans="4:81" x14ac:dyDescent="0.2">
      <c r="D31" s="129" t="str">
        <f>IF(Param!B39&lt;&gt;"","Inverter supply","")</f>
        <v/>
      </c>
      <c r="J31" t="s">
        <v>90</v>
      </c>
      <c r="BC31">
        <f>IF(Param!B25&lt;&gt;"",Param!B25,"")</f>
        <v>11</v>
      </c>
      <c r="BD31" t="str">
        <f>IF(Param!B25&lt;&gt;"","Panels","")</f>
        <v>Panels</v>
      </c>
      <c r="BE31" s="16"/>
      <c r="BF31" s="16"/>
      <c r="BG31" s="16"/>
      <c r="BH31" s="16"/>
      <c r="BI31" s="16"/>
      <c r="BK31" s="16"/>
      <c r="BL31" s="16"/>
      <c r="BM31" s="16"/>
      <c r="BN31" s="16"/>
      <c r="BO31" s="16"/>
      <c r="BP31" s="16"/>
      <c r="BQ31" s="16"/>
      <c r="BR31" s="20"/>
      <c r="BS31" s="20"/>
      <c r="BT31" s="227"/>
      <c r="BU31" s="227"/>
      <c r="BV31" s="228"/>
      <c r="BW31" s="228"/>
      <c r="BX31" s="211"/>
      <c r="BY31" s="211"/>
      <c r="BZ31" s="211"/>
      <c r="CA31" s="211"/>
      <c r="CB31" s="225"/>
      <c r="CC31" s="225"/>
    </row>
    <row r="32" spans="4:81" x14ac:dyDescent="0.2">
      <c r="BE32" s="16"/>
      <c r="BF32" s="16"/>
      <c r="BG32" s="16"/>
      <c r="BH32" s="16"/>
      <c r="BI32" s="31"/>
      <c r="BJ32" s="31"/>
      <c r="BK32" s="31"/>
      <c r="BL32" s="31"/>
      <c r="BM32" s="16"/>
      <c r="BN32" s="16"/>
      <c r="BO32" s="16"/>
      <c r="BP32" s="16"/>
      <c r="BQ32" s="16"/>
      <c r="BR32" s="20"/>
      <c r="BS32" s="20"/>
      <c r="BT32" s="227"/>
      <c r="BU32" s="227"/>
      <c r="BV32" s="228"/>
      <c r="BW32" s="228"/>
      <c r="BX32" s="211"/>
      <c r="BY32" s="211"/>
      <c r="BZ32" s="211"/>
      <c r="CA32" s="211"/>
      <c r="CB32" s="225"/>
      <c r="CC32" s="225"/>
    </row>
    <row r="33" spans="17:82" x14ac:dyDescent="0.2">
      <c r="S33" t="s">
        <v>96</v>
      </c>
      <c r="BE33" s="16"/>
      <c r="BF33" s="16"/>
      <c r="BG33" s="16"/>
      <c r="BH33" s="16"/>
      <c r="BI33" s="16"/>
      <c r="BK33" s="16"/>
      <c r="BL33" s="16"/>
      <c r="BM33" s="16"/>
      <c r="BN33" s="16"/>
      <c r="BO33" s="16"/>
      <c r="BP33" s="16"/>
      <c r="BQ33" s="16"/>
      <c r="BR33" s="226" t="s">
        <v>129</v>
      </c>
      <c r="BS33" s="221"/>
      <c r="BT33" s="221"/>
      <c r="BU33" s="221"/>
      <c r="BV33" s="221"/>
      <c r="BW33" s="221"/>
      <c r="BX33" s="221"/>
      <c r="BY33" s="221"/>
      <c r="BZ33" s="221"/>
      <c r="CA33" s="221"/>
      <c r="CB33" s="221"/>
      <c r="CC33" s="222"/>
    </row>
    <row r="34" spans="17:82" x14ac:dyDescent="0.2">
      <c r="S34" t="s">
        <v>87</v>
      </c>
      <c r="BE34" s="16"/>
      <c r="BF34" s="16"/>
      <c r="BG34" s="16"/>
      <c r="BH34" s="16"/>
      <c r="BI34" s="16"/>
      <c r="BK34" s="16"/>
      <c r="BL34" s="16"/>
      <c r="BM34" s="16"/>
      <c r="BN34" s="16"/>
      <c r="BO34" s="16"/>
      <c r="BP34" s="16"/>
      <c r="BQ34" s="16"/>
      <c r="BR34" s="230" t="s">
        <v>120</v>
      </c>
      <c r="BS34" s="231"/>
      <c r="BT34" s="231"/>
      <c r="BU34" s="232"/>
      <c r="BV34" s="233" t="s">
        <v>121</v>
      </c>
      <c r="BW34" s="234"/>
      <c r="BX34" s="234"/>
      <c r="BY34" s="235"/>
      <c r="BZ34" s="236" t="s">
        <v>130</v>
      </c>
      <c r="CA34" s="237"/>
      <c r="CB34" s="237"/>
      <c r="CC34" s="238"/>
    </row>
    <row r="35" spans="17:82" x14ac:dyDescent="0.2">
      <c r="BE35" s="16"/>
      <c r="BF35" s="16"/>
      <c r="BG35" s="16"/>
      <c r="BH35" s="16"/>
      <c r="BI35" s="16"/>
      <c r="BK35" s="16"/>
      <c r="BL35" s="16"/>
      <c r="BM35" s="16"/>
      <c r="BN35" s="16"/>
      <c r="BO35" s="16"/>
      <c r="BP35" s="16"/>
      <c r="BQ35" s="16"/>
      <c r="BR35" s="191">
        <f>Vrise!C32</f>
        <v>1</v>
      </c>
      <c r="BS35" s="192"/>
      <c r="BT35" s="192"/>
      <c r="BU35" s="193"/>
      <c r="BV35" s="191">
        <f>Vrise!E32</f>
        <v>1</v>
      </c>
      <c r="BW35" s="192"/>
      <c r="BX35" s="192"/>
      <c r="BY35" s="192"/>
      <c r="BZ35" s="191">
        <f>Vrise!G32</f>
        <v>1</v>
      </c>
      <c r="CA35" s="192"/>
      <c r="CB35" s="192"/>
      <c r="CC35" s="193"/>
    </row>
    <row r="36" spans="17:82" x14ac:dyDescent="0.2">
      <c r="AL36" t="s">
        <v>53</v>
      </c>
      <c r="BE36" s="16"/>
      <c r="BF36" s="16"/>
      <c r="BG36" s="16"/>
      <c r="BH36" s="16"/>
      <c r="BI36" s="16"/>
      <c r="BK36" s="16"/>
      <c r="BL36" s="16"/>
      <c r="BM36" s="16"/>
      <c r="BN36" s="16"/>
      <c r="BO36" s="16"/>
      <c r="BP36" s="16"/>
      <c r="BQ36" s="16"/>
      <c r="BR36" s="214">
        <f>Vrise!C34</f>
        <v>16</v>
      </c>
      <c r="BS36" s="215"/>
      <c r="BT36" s="215"/>
      <c r="BU36" s="216"/>
      <c r="BV36" s="214">
        <f>Vrise!E34</f>
        <v>16</v>
      </c>
      <c r="BW36" s="215"/>
      <c r="BX36" s="215"/>
      <c r="BY36" s="216"/>
      <c r="BZ36" s="214">
        <f>Vrise!G34</f>
        <v>4</v>
      </c>
      <c r="CA36" s="215"/>
      <c r="CB36" s="215"/>
      <c r="CC36" s="216"/>
    </row>
    <row r="37" spans="17:82" x14ac:dyDescent="0.2">
      <c r="BE37" s="16"/>
      <c r="BF37" s="16"/>
      <c r="BG37" s="16"/>
      <c r="BH37" s="16"/>
      <c r="BI37" s="16"/>
      <c r="BK37" s="16"/>
      <c r="BL37" s="16"/>
      <c r="BM37" s="16"/>
      <c r="BN37" s="16"/>
      <c r="BO37" s="16"/>
      <c r="BP37" s="16"/>
      <c r="BQ37" s="16"/>
      <c r="BR37" s="217" t="str">
        <f>_xlfn.CONCAT(Vrise!C36," A")</f>
        <v>21.7 A</v>
      </c>
      <c r="BS37" s="218"/>
      <c r="BT37" s="218"/>
      <c r="BU37" s="219"/>
      <c r="BV37" s="217" t="str">
        <f>_xlfn.CONCAT(Vrise!E36," A")</f>
        <v>21.7 A</v>
      </c>
      <c r="BW37" s="218"/>
      <c r="BX37" s="218"/>
      <c r="BY37" s="219"/>
      <c r="BZ37" s="218" t="str">
        <f>_xlfn.CONCAT(Vrise!G36," A")</f>
        <v>21.7 A</v>
      </c>
      <c r="CA37" s="218"/>
      <c r="CB37" s="218"/>
      <c r="CC37" s="219"/>
    </row>
    <row r="38" spans="17:82" x14ac:dyDescent="0.2">
      <c r="BQ38" s="8"/>
      <c r="BR38" s="260" t="str">
        <f>_xlfn.CONCAT(Vrise!C35," m")</f>
        <v>25 m</v>
      </c>
      <c r="BS38" s="206"/>
      <c r="BT38" s="206"/>
      <c r="BU38" s="207"/>
      <c r="BV38" s="261" t="str">
        <f>_xlfn.CONCAT(Vrise!E35," m")</f>
        <v>16 m</v>
      </c>
      <c r="BW38" s="206"/>
      <c r="BX38" s="206"/>
      <c r="BY38" s="207"/>
      <c r="BZ38" s="261" t="str">
        <f>_xlfn.CONCAT(Vrise!G35," m")</f>
        <v>6 m</v>
      </c>
      <c r="CA38" s="206"/>
      <c r="CB38" s="206"/>
      <c r="CC38" s="207"/>
    </row>
    <row r="39" spans="17:82" x14ac:dyDescent="0.2">
      <c r="AM39" t="s">
        <v>94</v>
      </c>
      <c r="AR39" s="114" t="s">
        <v>94</v>
      </c>
      <c r="BR39" s="220">
        <f>Vrise!C38</f>
        <v>6.6320293398533002E-3</v>
      </c>
      <c r="BS39" s="223"/>
      <c r="BT39" s="223"/>
      <c r="BU39" s="224"/>
      <c r="BV39" s="220">
        <f>Vrise!E38</f>
        <v>4.2444987775061118E-3</v>
      </c>
      <c r="BW39" s="221"/>
      <c r="BX39" s="221"/>
      <c r="BY39" s="222"/>
      <c r="BZ39" s="220">
        <f>Vrise!G38</f>
        <v>6.3512195121951213E-3</v>
      </c>
      <c r="CA39" s="223"/>
      <c r="CB39" s="223"/>
      <c r="CC39" s="224"/>
    </row>
    <row r="40" spans="17:82" x14ac:dyDescent="0.2">
      <c r="AM40" t="s">
        <v>93</v>
      </c>
      <c r="AR40" s="114" t="s">
        <v>93</v>
      </c>
      <c r="BC40" s="120">
        <f>Param!B24</f>
        <v>10</v>
      </c>
      <c r="BD40" s="120" t="s">
        <v>40</v>
      </c>
      <c r="BR40" s="211"/>
      <c r="BS40" s="211"/>
      <c r="BT40" s="211"/>
      <c r="BU40" s="211"/>
      <c r="BV40" s="211"/>
      <c r="BW40" s="211"/>
      <c r="BX40" s="211"/>
      <c r="BY40" s="211"/>
      <c r="BZ40" s="211"/>
      <c r="CA40" s="211"/>
      <c r="CB40" s="211"/>
    </row>
    <row r="41" spans="17:82" x14ac:dyDescent="0.2">
      <c r="AM41" t="s">
        <v>52</v>
      </c>
      <c r="AR41" s="114" t="s">
        <v>51</v>
      </c>
      <c r="BR41" s="211"/>
      <c r="BS41" s="211"/>
      <c r="BT41" s="211"/>
      <c r="BU41" s="211"/>
      <c r="BV41" s="211"/>
      <c r="BW41" s="211"/>
      <c r="BX41" s="211"/>
      <c r="BY41" s="211"/>
      <c r="BZ41" s="211"/>
      <c r="CA41" s="211"/>
      <c r="CB41" s="211"/>
    </row>
    <row r="42" spans="17:82" x14ac:dyDescent="0.2">
      <c r="Q42" s="131" t="str">
        <f>IF(Param!B21=3,_xlfn.CONCAT(Param!B33,"mm 4C+E"),_xlfn.CONCAT(Param!B33,"mm 2C+E"))</f>
        <v>4mm 2C+E</v>
      </c>
      <c r="BR42" s="211"/>
      <c r="BS42" s="211"/>
      <c r="BT42" s="211"/>
      <c r="BU42" s="211"/>
      <c r="BV42" s="211"/>
      <c r="BW42" s="211"/>
      <c r="BX42" s="211"/>
      <c r="BY42" s="211"/>
      <c r="BZ42" s="211"/>
      <c r="CA42" s="211"/>
      <c r="CB42" s="211"/>
    </row>
    <row r="43" spans="17:82" x14ac:dyDescent="0.2">
      <c r="AA43" t="s">
        <v>92</v>
      </c>
    </row>
    <row r="44" spans="17:82" x14ac:dyDescent="0.2">
      <c r="AA44" t="s">
        <v>97</v>
      </c>
      <c r="BT44" s="2"/>
      <c r="BU44" s="2"/>
      <c r="BV44" s="2"/>
      <c r="BW44" s="2"/>
      <c r="BX44" s="2"/>
      <c r="BY44" s="2"/>
      <c r="BZ44" s="2"/>
      <c r="CA44" s="2"/>
      <c r="CB44" s="2"/>
    </row>
    <row r="45" spans="17:82" x14ac:dyDescent="0.2">
      <c r="AA45" t="s">
        <v>34</v>
      </c>
      <c r="AL45" t="s">
        <v>50</v>
      </c>
      <c r="BR45" s="30" t="s">
        <v>49</v>
      </c>
      <c r="BS45" s="29"/>
      <c r="BT45" s="29"/>
      <c r="BU45" s="29"/>
      <c r="BV45" s="29"/>
      <c r="BW45" s="29"/>
      <c r="BX45" s="29"/>
      <c r="BY45" s="29"/>
      <c r="BZ45" s="29"/>
      <c r="CA45" s="29"/>
      <c r="CB45" s="29"/>
      <c r="CC45" s="29"/>
      <c r="CD45" s="28"/>
    </row>
    <row r="46" spans="17:82" x14ac:dyDescent="0.2">
      <c r="BR46" s="26" t="s">
        <v>48</v>
      </c>
      <c r="BS46" s="22"/>
      <c r="BT46" s="22"/>
      <c r="BU46" s="21"/>
      <c r="BV46" s="27" t="s">
        <v>47</v>
      </c>
      <c r="BW46" s="26" t="s">
        <v>46</v>
      </c>
      <c r="BX46" s="22"/>
      <c r="BY46" s="22"/>
      <c r="BZ46" s="22"/>
      <c r="CA46" s="22"/>
      <c r="CB46" s="22"/>
      <c r="CC46" s="22"/>
      <c r="CD46" s="21"/>
    </row>
    <row r="47" spans="17:82" x14ac:dyDescent="0.2">
      <c r="BR47" s="17" t="s">
        <v>45</v>
      </c>
      <c r="BS47" s="16"/>
      <c r="BT47" s="16"/>
      <c r="BU47" s="15"/>
      <c r="BV47" s="25">
        <f>SUM(BW26:BX29)</f>
        <v>21</v>
      </c>
      <c r="BW47" s="17" t="str">
        <f>_xlfn.CONCAT(BV7," ",BX9,"W")</f>
        <v>LG Mono X Plus 370W</v>
      </c>
      <c r="BX47" s="16"/>
      <c r="BY47" s="16"/>
      <c r="BZ47" s="16"/>
      <c r="CA47" s="16"/>
      <c r="CB47" s="16"/>
      <c r="CC47" s="16"/>
      <c r="CD47" s="15"/>
    </row>
    <row r="48" spans="17:82" x14ac:dyDescent="0.2">
      <c r="AM48" s="114" t="s">
        <v>94</v>
      </c>
      <c r="AR48" s="114" t="s">
        <v>94</v>
      </c>
      <c r="BR48" s="17" t="s">
        <v>44</v>
      </c>
      <c r="BS48" s="16"/>
      <c r="BT48" s="16"/>
      <c r="BU48" s="15"/>
      <c r="BV48" s="25">
        <v>1</v>
      </c>
      <c r="BW48" s="17" t="str">
        <f>BV18</f>
        <v>SE5000H</v>
      </c>
      <c r="BX48" s="16"/>
      <c r="BY48" s="16"/>
      <c r="BZ48" s="16"/>
      <c r="CA48" s="16"/>
      <c r="CB48" s="16"/>
      <c r="CC48" s="16"/>
      <c r="CD48" s="15"/>
    </row>
    <row r="49" spans="11:82" x14ac:dyDescent="0.2">
      <c r="AH49" t="s">
        <v>43</v>
      </c>
      <c r="AM49" s="114" t="s">
        <v>93</v>
      </c>
      <c r="AR49" s="114" t="s">
        <v>93</v>
      </c>
      <c r="BC49">
        <f>Param!B26</f>
        <v>0</v>
      </c>
      <c r="BD49" t="s">
        <v>40</v>
      </c>
      <c r="BR49" s="17" t="s">
        <v>39</v>
      </c>
      <c r="BS49" s="16"/>
      <c r="BT49" s="16"/>
      <c r="BU49" s="15"/>
      <c r="BV49" s="25"/>
      <c r="BW49" s="212">
        <f>BV19</f>
        <v>4.9850000000000003</v>
      </c>
      <c r="BX49" s="213"/>
      <c r="BY49" s="213"/>
      <c r="BZ49" s="16"/>
      <c r="CA49" s="16"/>
      <c r="CB49" s="16"/>
      <c r="CC49" s="16"/>
      <c r="CD49" s="15"/>
    </row>
    <row r="50" spans="11:82" x14ac:dyDescent="0.2">
      <c r="AH50" t="s">
        <v>38</v>
      </c>
      <c r="AM50" s="114" t="s">
        <v>42</v>
      </c>
      <c r="AR50" s="114" t="s">
        <v>41</v>
      </c>
      <c r="BR50" s="17" t="s">
        <v>34</v>
      </c>
      <c r="BS50" s="16"/>
      <c r="BT50" s="16"/>
      <c r="BU50" s="15"/>
      <c r="BV50" s="25">
        <v>1</v>
      </c>
      <c r="BW50" s="17" t="s">
        <v>88</v>
      </c>
      <c r="BX50" s="16"/>
      <c r="BY50" s="16"/>
      <c r="BZ50" s="16"/>
      <c r="CA50" s="16"/>
      <c r="CB50" s="16"/>
      <c r="CC50" s="16"/>
      <c r="CD50" s="15"/>
    </row>
    <row r="51" spans="11:82" x14ac:dyDescent="0.2">
      <c r="AH51" t="s">
        <v>35</v>
      </c>
      <c r="BR51" s="17" t="s">
        <v>33</v>
      </c>
      <c r="BS51" s="16"/>
      <c r="BT51" s="16"/>
      <c r="BU51" s="15"/>
      <c r="BV51" s="25">
        <v>4</v>
      </c>
      <c r="BW51" s="17" t="s">
        <v>32</v>
      </c>
      <c r="BX51" s="16"/>
      <c r="BY51" s="16"/>
      <c r="BZ51" s="16"/>
      <c r="CA51" s="16"/>
      <c r="CB51" s="16"/>
      <c r="CC51" s="16"/>
      <c r="CD51" s="15"/>
    </row>
    <row r="52" spans="11:82" x14ac:dyDescent="0.2">
      <c r="BR52" s="14" t="s">
        <v>31</v>
      </c>
      <c r="BS52" s="13"/>
      <c r="BT52" s="13"/>
      <c r="BU52" s="12"/>
      <c r="BV52" s="24">
        <v>1</v>
      </c>
      <c r="BW52" s="116" t="s">
        <v>30</v>
      </c>
      <c r="BX52" s="117"/>
      <c r="BY52" s="117"/>
      <c r="BZ52" s="13"/>
      <c r="CA52" s="13"/>
      <c r="CB52" s="13"/>
      <c r="CC52" s="13"/>
      <c r="CD52" s="12"/>
    </row>
    <row r="54" spans="11:82" x14ac:dyDescent="0.2">
      <c r="K54" s="87" t="str">
        <f>IF(Param!B39&lt;&gt;"","Existing Array","")</f>
        <v/>
      </c>
      <c r="BV54" s="88"/>
      <c r="BW54" s="88"/>
      <c r="BX54" s="88"/>
    </row>
    <row r="55" spans="11:82" x14ac:dyDescent="0.2">
      <c r="K55" t="str">
        <f>IF(Param!B39&lt;&gt;"",_xlfn.CONCAT(Param!B39," kWac"),"")</f>
        <v/>
      </c>
      <c r="BX55" s="2"/>
    </row>
    <row r="56" spans="11:82" x14ac:dyDescent="0.2">
      <c r="BR56" s="23" t="s">
        <v>29</v>
      </c>
      <c r="BS56" s="22"/>
      <c r="BT56" s="22"/>
      <c r="BU56" s="22"/>
      <c r="BV56" s="22"/>
      <c r="BW56" s="22"/>
      <c r="BX56" s="22"/>
      <c r="BY56" s="22"/>
      <c r="BZ56" s="22"/>
      <c r="CA56" s="22"/>
      <c r="CB56" s="22"/>
      <c r="CC56" s="22"/>
      <c r="CD56" s="21"/>
    </row>
    <row r="57" spans="11:82" x14ac:dyDescent="0.2">
      <c r="BR57" s="17" t="s">
        <v>28</v>
      </c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5"/>
    </row>
    <row r="58" spans="11:82" x14ac:dyDescent="0.2">
      <c r="BR58" s="17" t="s">
        <v>27</v>
      </c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5"/>
    </row>
    <row r="59" spans="11:82" x14ac:dyDescent="0.2">
      <c r="AZ59" s="211"/>
      <c r="BA59" s="211"/>
      <c r="BB59" s="211"/>
      <c r="BC59" s="211"/>
      <c r="BD59" s="211"/>
      <c r="BE59" s="211"/>
      <c r="BF59" s="211"/>
      <c r="BG59" s="211"/>
      <c r="BH59" s="211"/>
      <c r="BI59" s="211"/>
      <c r="BJ59" s="211"/>
      <c r="BR59" s="17" t="s">
        <v>26</v>
      </c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5"/>
    </row>
    <row r="60" spans="11:82" x14ac:dyDescent="0.2">
      <c r="O60" s="129" t="str">
        <f>IF(Param!B39&lt;&gt;"","Inverter","")</f>
        <v/>
      </c>
      <c r="BR60" s="17" t="s">
        <v>25</v>
      </c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5"/>
    </row>
    <row r="61" spans="11:82" x14ac:dyDescent="0.2">
      <c r="O61" s="129" t="str">
        <f>IF(Param!B39&lt;&gt;"","A.C. Isolator","")</f>
        <v/>
      </c>
      <c r="BR61" s="17" t="s">
        <v>24</v>
      </c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5"/>
    </row>
    <row r="62" spans="11:82" x14ac:dyDescent="0.2">
      <c r="R62" s="130" t="str">
        <f>IF(Param!B39&lt;&gt;"","Grid connect inverter","")</f>
        <v/>
      </c>
      <c r="AZ62" s="20"/>
      <c r="BA62" s="20"/>
      <c r="BD62" s="19"/>
      <c r="BE62" s="19"/>
      <c r="BJ62" s="18"/>
      <c r="BR62" s="17" t="s">
        <v>23</v>
      </c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5"/>
    </row>
    <row r="63" spans="11:82" x14ac:dyDescent="0.2">
      <c r="AZ63" s="20"/>
      <c r="BA63" s="20"/>
      <c r="BD63" s="19"/>
      <c r="BE63" s="19"/>
      <c r="BJ63" s="18"/>
      <c r="BR63" s="17" t="s">
        <v>22</v>
      </c>
      <c r="BS63" s="16"/>
      <c r="BT63" s="16"/>
      <c r="BU63" s="16"/>
      <c r="BV63" s="16"/>
      <c r="BW63" s="16"/>
      <c r="BX63" s="16"/>
      <c r="BY63" s="16"/>
      <c r="BZ63" s="16"/>
      <c r="CA63" s="16"/>
      <c r="CB63" s="16"/>
      <c r="CC63" s="16"/>
      <c r="CD63" s="15"/>
    </row>
    <row r="64" spans="11:82" x14ac:dyDescent="0.2">
      <c r="AZ64" s="20"/>
      <c r="BA64" s="20"/>
      <c r="BD64" s="19"/>
      <c r="BE64" s="19"/>
      <c r="BJ64" s="18"/>
      <c r="BR64" s="17" t="s">
        <v>21</v>
      </c>
      <c r="BS64" s="16"/>
      <c r="BT64" s="16"/>
      <c r="BU64" s="16"/>
      <c r="BV64" s="16"/>
      <c r="BW64" s="16"/>
      <c r="BX64" s="16"/>
      <c r="BY64" s="16"/>
      <c r="BZ64" s="16"/>
      <c r="CA64" s="16"/>
      <c r="CB64" s="16"/>
      <c r="CC64" s="16"/>
      <c r="CD64" s="15"/>
    </row>
    <row r="65" spans="2:82" x14ac:dyDescent="0.2">
      <c r="AZ65" s="20"/>
      <c r="BA65" s="20"/>
      <c r="BD65" s="19"/>
      <c r="BE65" s="19"/>
      <c r="BJ65" s="18"/>
      <c r="BR65" s="17" t="s">
        <v>20</v>
      </c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5"/>
    </row>
    <row r="66" spans="2:82" x14ac:dyDescent="0.2">
      <c r="J66" s="141" t="str">
        <f>IF(Param!B40&lt;&gt;"",_xlfn.CONCAT("Note: ",Param!B40),"")</f>
        <v/>
      </c>
      <c r="AO66" s="11"/>
      <c r="BR66" s="14" t="s">
        <v>19</v>
      </c>
      <c r="BS66" s="13"/>
      <c r="BT66" s="13"/>
      <c r="BU66" s="13"/>
      <c r="BV66" s="13"/>
      <c r="BW66" s="13"/>
      <c r="BX66" s="13"/>
      <c r="BY66" s="13"/>
      <c r="BZ66" s="13"/>
      <c r="CA66" s="13"/>
      <c r="CB66" s="13"/>
      <c r="CC66" s="13"/>
      <c r="CD66" s="12"/>
    </row>
    <row r="67" spans="2:82" x14ac:dyDescent="0.2">
      <c r="AO67" s="11"/>
      <c r="BR67" s="7" t="s">
        <v>18</v>
      </c>
      <c r="BS67" s="6"/>
      <c r="BT67" s="6"/>
      <c r="BU67" s="6"/>
      <c r="BV67" s="6"/>
      <c r="BW67" s="6"/>
      <c r="BX67" s="6"/>
      <c r="BY67" s="6"/>
      <c r="BZ67" s="6"/>
      <c r="CA67" s="6"/>
      <c r="CB67" s="6"/>
      <c r="CC67" s="6"/>
      <c r="CD67" s="5"/>
    </row>
    <row r="68" spans="2:82" x14ac:dyDescent="0.2">
      <c r="B68" s="2"/>
      <c r="C68" s="2"/>
      <c r="BR68" s="4" t="s">
        <v>17</v>
      </c>
      <c r="BS68" s="2"/>
      <c r="BT68" s="2"/>
      <c r="BU68" s="2"/>
      <c r="BV68" s="2"/>
      <c r="BW68" s="2"/>
      <c r="BX68" s="2"/>
      <c r="BY68" s="2"/>
      <c r="BZ68" s="2"/>
      <c r="CA68" s="2"/>
      <c r="CB68" s="2"/>
      <c r="CC68" s="2"/>
      <c r="CD68" s="1"/>
    </row>
    <row r="69" spans="2:82" x14ac:dyDescent="0.2">
      <c r="B69" t="s">
        <v>16</v>
      </c>
      <c r="D69" s="6"/>
      <c r="E69" s="6"/>
      <c r="F69" s="6"/>
      <c r="G69" s="6"/>
      <c r="H69" s="6"/>
      <c r="I69" s="6"/>
      <c r="J69" s="5"/>
      <c r="K69" s="7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5"/>
      <c r="X69" s="7"/>
      <c r="Y69" s="6" t="s">
        <v>15</v>
      </c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199" t="s">
        <v>14</v>
      </c>
      <c r="AZ69" s="199"/>
      <c r="BA69" s="200"/>
      <c r="BB69" s="7" t="str">
        <f>Param!B3</f>
        <v xml:space="preserve">Jones, Terry
</v>
      </c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5"/>
      <c r="BN69" s="7" t="str">
        <f>_xlfn.CONCAT(BV47," ",BV7," - ",BV48," ",BW48)</f>
        <v>21 LG Mono X Plus - 1 SE5000H</v>
      </c>
      <c r="BO69" s="6"/>
      <c r="BP69" s="6"/>
      <c r="BQ69" s="6"/>
      <c r="BR69" s="6"/>
      <c r="BS69" s="6"/>
      <c r="BT69" s="6"/>
      <c r="BU69" s="6"/>
      <c r="BV69" s="6"/>
      <c r="BW69" s="6"/>
      <c r="BX69" s="6"/>
      <c r="CB69" s="203">
        <f>BW49</f>
        <v>4.9850000000000003</v>
      </c>
      <c r="CC69" s="203"/>
      <c r="CD69" s="204"/>
    </row>
    <row r="70" spans="2:82" x14ac:dyDescent="0.2">
      <c r="J70" s="8"/>
      <c r="K70" s="9"/>
      <c r="W70" s="8"/>
      <c r="X70" s="4"/>
      <c r="Y70" s="2" t="s">
        <v>5</v>
      </c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1"/>
      <c r="BB70" s="4"/>
      <c r="BC70" s="2"/>
      <c r="BD70" s="2"/>
      <c r="BE70" s="2"/>
      <c r="BF70" s="2"/>
      <c r="BG70" s="2"/>
      <c r="BH70" s="2"/>
      <c r="BI70" s="2"/>
      <c r="BJ70" s="2"/>
      <c r="BK70" s="2"/>
      <c r="BL70" s="2"/>
      <c r="BM70" s="1"/>
      <c r="BN70" s="4" t="s">
        <v>13</v>
      </c>
      <c r="BO70" s="2"/>
      <c r="BP70" s="2"/>
      <c r="BQ70" s="2"/>
      <c r="BR70" s="2"/>
      <c r="BS70" s="2"/>
      <c r="BT70" s="2"/>
      <c r="BU70" s="2"/>
      <c r="BV70" s="2"/>
      <c r="BW70" s="2"/>
      <c r="BX70" s="2"/>
      <c r="BY70" s="2"/>
      <c r="BZ70" s="2"/>
      <c r="CA70" s="2"/>
      <c r="CB70" s="2"/>
      <c r="CC70" s="2"/>
      <c r="CD70" s="1"/>
    </row>
    <row r="71" spans="2:82" x14ac:dyDescent="0.2">
      <c r="J71" s="8"/>
      <c r="K71" s="9"/>
      <c r="W71" s="8"/>
      <c r="X71" s="7"/>
      <c r="Y71" s="6" t="s">
        <v>12</v>
      </c>
      <c r="Z71" s="6"/>
      <c r="AA71" s="6"/>
      <c r="AB71" s="6"/>
      <c r="AC71" s="6"/>
      <c r="AD71" s="6"/>
      <c r="AE71" s="6"/>
      <c r="AF71" s="6"/>
      <c r="AG71" s="6"/>
      <c r="AH71" s="6"/>
      <c r="AI71" s="6"/>
      <c r="AJ71" s="6"/>
      <c r="AK71" s="6"/>
      <c r="AL71" s="6"/>
      <c r="AM71" s="6"/>
      <c r="AN71" s="6"/>
      <c r="AO71" s="6"/>
      <c r="AP71" s="6"/>
      <c r="AQ71" s="6"/>
      <c r="AR71" s="6"/>
      <c r="AS71" s="6"/>
      <c r="AT71" s="6"/>
      <c r="AU71" s="6"/>
      <c r="AV71" s="6"/>
      <c r="AW71" s="6"/>
      <c r="AX71" s="6"/>
      <c r="AY71" s="199" t="s">
        <v>11</v>
      </c>
      <c r="AZ71" s="199"/>
      <c r="BA71" s="200"/>
      <c r="BB71" s="7" t="str">
        <f>Param!B4</f>
        <v>3 Allandale Street Kearsley</v>
      </c>
      <c r="BC71" s="6"/>
      <c r="BD71" s="6"/>
      <c r="BE71" s="6"/>
      <c r="BF71" s="6"/>
      <c r="BG71" s="6"/>
      <c r="BH71" s="6"/>
      <c r="BI71" s="6"/>
      <c r="BJ71" s="6"/>
      <c r="BK71" s="6"/>
      <c r="BL71" s="6"/>
      <c r="BM71" s="5"/>
      <c r="BN71" s="7" t="s">
        <v>10</v>
      </c>
      <c r="BO71" s="6"/>
      <c r="BP71" s="5"/>
      <c r="BQ71" s="7" t="s">
        <v>9</v>
      </c>
      <c r="BR71" s="6"/>
      <c r="BS71" s="5"/>
      <c r="BT71" s="7" t="s">
        <v>8</v>
      </c>
      <c r="BU71" s="6"/>
      <c r="BV71" s="6"/>
      <c r="BW71" s="5"/>
      <c r="BX71" s="7" t="s">
        <v>7</v>
      </c>
      <c r="BY71" s="6"/>
      <c r="BZ71" s="5"/>
      <c r="CA71" s="7" t="s">
        <v>6</v>
      </c>
      <c r="CB71" s="6"/>
      <c r="CC71" s="6"/>
      <c r="CD71" s="5"/>
    </row>
    <row r="72" spans="2:82" x14ac:dyDescent="0.2">
      <c r="J72" s="8"/>
      <c r="K72" s="9"/>
      <c r="W72" s="8"/>
      <c r="X72" s="4"/>
      <c r="Y72" s="2" t="s">
        <v>5</v>
      </c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1"/>
      <c r="BB72" s="4"/>
      <c r="BC72" s="2"/>
      <c r="BD72" s="2"/>
      <c r="BE72" s="2"/>
      <c r="BF72" s="2"/>
      <c r="BG72" s="2"/>
      <c r="BH72" s="2"/>
      <c r="BI72" s="2"/>
      <c r="BJ72" s="2"/>
      <c r="BK72" s="2"/>
      <c r="BL72" s="2"/>
      <c r="BM72" s="1"/>
      <c r="BN72" s="205" t="s">
        <v>98</v>
      </c>
      <c r="BO72" s="206"/>
      <c r="BP72" s="207"/>
      <c r="BQ72" s="205" t="s">
        <v>4</v>
      </c>
      <c r="BR72" s="206"/>
      <c r="BS72" s="207"/>
      <c r="BT72" s="205" t="s">
        <v>4</v>
      </c>
      <c r="BU72" s="206"/>
      <c r="BV72" s="206"/>
      <c r="BW72" s="1"/>
      <c r="BX72" s="208">
        <f ca="1">TODAY()</f>
        <v>44228</v>
      </c>
      <c r="BY72" s="209"/>
      <c r="BZ72" s="210"/>
      <c r="CA72" s="10" t="s">
        <v>3</v>
      </c>
      <c r="CB72" s="2"/>
      <c r="CC72" s="2"/>
      <c r="CD72" s="1"/>
    </row>
    <row r="73" spans="2:82" x14ac:dyDescent="0.2">
      <c r="J73" s="8"/>
      <c r="K73" s="9"/>
      <c r="W73" s="8"/>
      <c r="X73" s="7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6"/>
      <c r="AJ73" s="6"/>
      <c r="AK73" s="6"/>
      <c r="AL73" s="6"/>
      <c r="AY73" s="199" t="s">
        <v>2</v>
      </c>
      <c r="AZ73" s="199"/>
      <c r="BA73" s="200"/>
      <c r="BB73" s="242">
        <f>Param!B2</f>
        <v>26394</v>
      </c>
      <c r="BC73" s="243"/>
      <c r="BD73" s="6"/>
      <c r="BE73" s="6"/>
      <c r="BF73" s="6"/>
      <c r="BG73" s="6"/>
      <c r="BH73" s="6"/>
      <c r="BI73" s="6"/>
      <c r="BJ73" s="6"/>
      <c r="BK73" s="6"/>
      <c r="BL73" s="6"/>
      <c r="BM73" s="5"/>
      <c r="BN73" s="7" t="s">
        <v>1</v>
      </c>
      <c r="BO73" s="6"/>
      <c r="BP73" s="6"/>
      <c r="BQ73" s="6">
        <v>1</v>
      </c>
      <c r="BR73" s="6"/>
      <c r="BS73" s="6"/>
      <c r="BT73" s="6"/>
      <c r="BU73" s="6"/>
      <c r="BV73" s="6"/>
      <c r="BW73" s="6"/>
      <c r="BX73" s="6"/>
      <c r="BY73" s="6"/>
      <c r="BZ73" s="6"/>
      <c r="CA73" s="6"/>
      <c r="CB73" s="6"/>
      <c r="CC73" s="6"/>
      <c r="CD73" s="5"/>
    </row>
    <row r="74" spans="2:82" x14ac:dyDescent="0.2">
      <c r="C74" s="2"/>
      <c r="D74" s="2"/>
      <c r="E74" s="2"/>
      <c r="F74" s="2"/>
      <c r="G74" s="2"/>
      <c r="H74" s="2"/>
      <c r="I74" s="2"/>
      <c r="J74" s="1"/>
      <c r="K74" s="4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1"/>
      <c r="X74" s="4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106"/>
      <c r="AN74" s="106"/>
      <c r="AO74" s="106"/>
      <c r="AP74" s="106"/>
      <c r="AQ74" s="106"/>
      <c r="AR74" s="106"/>
      <c r="AS74" s="106"/>
      <c r="AT74" s="106"/>
      <c r="AU74" s="106"/>
      <c r="AV74" s="106"/>
      <c r="AW74" s="106"/>
      <c r="AX74" s="106"/>
      <c r="AY74" s="106"/>
      <c r="AZ74" s="2"/>
      <c r="BA74" s="1"/>
      <c r="BB74" s="4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1"/>
      <c r="BN74" s="4" t="s">
        <v>0</v>
      </c>
      <c r="BO74" s="2"/>
      <c r="BP74" s="2"/>
      <c r="BQ74" s="3" t="s">
        <v>146</v>
      </c>
      <c r="BR74" s="2"/>
      <c r="BS74" s="2"/>
      <c r="BT74" s="2"/>
      <c r="BU74" s="2"/>
      <c r="BV74" s="2"/>
      <c r="BW74" s="2"/>
      <c r="BX74" s="2"/>
      <c r="BY74" s="2"/>
      <c r="BZ74" s="2"/>
      <c r="CA74" s="2"/>
      <c r="CB74" s="2"/>
      <c r="CC74" s="2"/>
      <c r="CD74" s="1"/>
    </row>
  </sheetData>
  <mergeCells count="98">
    <mergeCell ref="BR38:BU38"/>
    <mergeCell ref="BV38:BY38"/>
    <mergeCell ref="BZ38:CC38"/>
    <mergeCell ref="BU25:BV25"/>
    <mergeCell ref="BR25:BT25"/>
    <mergeCell ref="BT32:BU32"/>
    <mergeCell ref="BV32:BW32"/>
    <mergeCell ref="BX32:BY32"/>
    <mergeCell ref="BZ32:CA32"/>
    <mergeCell ref="CB32:CC32"/>
    <mergeCell ref="BT31:BU31"/>
    <mergeCell ref="BV31:BW31"/>
    <mergeCell ref="BX31:BY31"/>
    <mergeCell ref="BZ31:CA31"/>
    <mergeCell ref="CB31:CC31"/>
    <mergeCell ref="BV12:BZ12"/>
    <mergeCell ref="BV19:BZ19"/>
    <mergeCell ref="BV17:BZ17"/>
    <mergeCell ref="BV18:BZ18"/>
    <mergeCell ref="BV16:BZ16"/>
    <mergeCell ref="CA11:CC11"/>
    <mergeCell ref="BR26:BT29"/>
    <mergeCell ref="BU26:BV27"/>
    <mergeCell ref="BU28:BV29"/>
    <mergeCell ref="BW28:BX29"/>
    <mergeCell ref="BY28:BZ29"/>
    <mergeCell ref="CA28:CB29"/>
    <mergeCell ref="BW26:BX26"/>
    <mergeCell ref="BW27:BX27"/>
    <mergeCell ref="BY26:BZ26"/>
    <mergeCell ref="BY27:BZ27"/>
    <mergeCell ref="CA26:CB26"/>
    <mergeCell ref="CA27:CB27"/>
    <mergeCell ref="CA25:CB25"/>
    <mergeCell ref="BY25:BZ25"/>
    <mergeCell ref="BW25:BX25"/>
    <mergeCell ref="BR41:BT41"/>
    <mergeCell ref="BU41:BV41"/>
    <mergeCell ref="BW41:BX41"/>
    <mergeCell ref="BY41:BZ41"/>
    <mergeCell ref="CA41:CB41"/>
    <mergeCell ref="BR40:BT40"/>
    <mergeCell ref="BU40:BV40"/>
    <mergeCell ref="BW40:BX40"/>
    <mergeCell ref="BY40:BZ40"/>
    <mergeCell ref="CA40:CB40"/>
    <mergeCell ref="BW49:BY49"/>
    <mergeCell ref="AZ59:BB59"/>
    <mergeCell ref="BC59:BD59"/>
    <mergeCell ref="BE59:BF59"/>
    <mergeCell ref="BG59:BH59"/>
    <mergeCell ref="BI59:BJ59"/>
    <mergeCell ref="BR42:BT42"/>
    <mergeCell ref="BU42:BV42"/>
    <mergeCell ref="BW42:BX42"/>
    <mergeCell ref="BY42:BZ42"/>
    <mergeCell ref="CA42:CB42"/>
    <mergeCell ref="CB69:CD69"/>
    <mergeCell ref="AY71:BA71"/>
    <mergeCell ref="BN72:BP72"/>
    <mergeCell ref="BQ72:BS72"/>
    <mergeCell ref="BT72:BV72"/>
    <mergeCell ref="BX72:BZ72"/>
    <mergeCell ref="BD15:BE15"/>
    <mergeCell ref="BF15:BG15"/>
    <mergeCell ref="BD16:BE16"/>
    <mergeCell ref="BF16:BG16"/>
    <mergeCell ref="AY73:BA73"/>
    <mergeCell ref="BB73:BC73"/>
    <mergeCell ref="AY69:BA69"/>
    <mergeCell ref="BD12:BE12"/>
    <mergeCell ref="BF12:BG12"/>
    <mergeCell ref="BD13:BE13"/>
    <mergeCell ref="BF13:BG13"/>
    <mergeCell ref="BD14:BE14"/>
    <mergeCell ref="BF14:BG14"/>
    <mergeCell ref="BV6:BZ6"/>
    <mergeCell ref="BV7:BZ7"/>
    <mergeCell ref="BW8:BZ8"/>
    <mergeCell ref="BX11:BZ11"/>
    <mergeCell ref="BX9:BZ9"/>
    <mergeCell ref="BX10:BZ10"/>
    <mergeCell ref="BR39:BU39"/>
    <mergeCell ref="BV39:BY39"/>
    <mergeCell ref="BZ39:CC39"/>
    <mergeCell ref="BR33:CC33"/>
    <mergeCell ref="BV34:BY34"/>
    <mergeCell ref="BZ34:CC34"/>
    <mergeCell ref="BR35:BU35"/>
    <mergeCell ref="BV35:BY35"/>
    <mergeCell ref="BZ35:CC35"/>
    <mergeCell ref="BR36:BU36"/>
    <mergeCell ref="BV36:BY36"/>
    <mergeCell ref="BZ36:CC36"/>
    <mergeCell ref="BR37:BU37"/>
    <mergeCell ref="BV37:BY37"/>
    <mergeCell ref="BZ37:CC37"/>
    <mergeCell ref="BR34:BU34"/>
  </mergeCells>
  <conditionalFormatting sqref="BH62:BI65">
    <cfRule type="cellIs" dxfId="3" priority="5" operator="greaterThan">
      <formula>600</formula>
    </cfRule>
  </conditionalFormatting>
  <conditionalFormatting sqref="BZ24:CA24">
    <cfRule type="cellIs" dxfId="2" priority="1" operator="greaterThan">
      <formula>600</formula>
    </cfRule>
  </conditionalFormatting>
  <conditionalFormatting sqref="BZ31:CA32">
    <cfRule type="cellIs" dxfId="1" priority="3" operator="greaterThan">
      <formula>600</formula>
    </cfRule>
  </conditionalFormatting>
  <conditionalFormatting sqref="BZ30:CA30">
    <cfRule type="cellIs" dxfId="0" priority="2" operator="greaterThan">
      <formula>600</formula>
    </cfRule>
  </conditionalFormatting>
  <pageMargins left="0.5" right="0.5" top="0.5" bottom="0.5" header="0" footer="0"/>
  <pageSetup paperSize="9" scale="46" orientation="landscape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Button1_Click">
                <anchor moveWithCells="1" sizeWithCells="1">
                  <from>
                    <xdr:col>25</xdr:col>
                    <xdr:colOff>215900</xdr:colOff>
                    <xdr:row>7</xdr:row>
                    <xdr:rowOff>177800</xdr:rowOff>
                  </from>
                  <to>
                    <xdr:col>31</xdr:col>
                    <xdr:colOff>215900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Param</vt:lpstr>
      <vt:lpstr>Vrise</vt:lpstr>
      <vt:lpstr>1MPPT-string</vt:lpstr>
      <vt:lpstr>2MPPT-string</vt:lpstr>
      <vt:lpstr>'1MPPT-string'!Print_Area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2021-01-31T23:03:52Z</cp:lastPrinted>
  <dcterms:created xsi:type="dcterms:W3CDTF">2020-10-29T22:28:43Z</dcterms:created>
  <dcterms:modified xsi:type="dcterms:W3CDTF">2021-01-31T23:04:43Z</dcterms:modified>
</cp:coreProperties>
</file>