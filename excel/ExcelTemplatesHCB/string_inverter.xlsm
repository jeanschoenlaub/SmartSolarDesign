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/"/>
    </mc:Choice>
  </mc:AlternateContent>
  <xr:revisionPtr revIDLastSave="0" documentId="13_ncr:1_{8C538833-4C23-0E4C-8030-758FA0E884A7}" xr6:coauthVersionLast="46" xr6:coauthVersionMax="46" xr10:uidLastSave="{00000000-0000-0000-0000-000000000000}"/>
  <bookViews>
    <workbookView xWindow="1120" yWindow="500" windowWidth="28920" windowHeight="17340" activeTab="2" xr2:uid="{5C310A73-3E33-5C44-B32F-CABC6D95981F}"/>
  </bookViews>
  <sheets>
    <sheet name="Param" sheetId="3" r:id="rId1"/>
    <sheet name="Vrise" sheetId="1" r:id="rId2"/>
    <sheet name="1MPPT-string" sheetId="14" r:id="rId3"/>
    <sheet name="2MPPT-string" sheetId="2" r:id="rId4"/>
  </sheets>
  <functionGroups builtInGroupCount="19"/>
  <externalReferences>
    <externalReference r:id="rId5"/>
  </externalReferences>
  <definedNames>
    <definedName name="_xlnm.Print_Area" localSheetId="2">'1MPPT-string'!$A$1:$CE$75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V47" i="14" l="1"/>
  <c r="CC27" i="14"/>
  <c r="BC28" i="14"/>
  <c r="E35" i="1"/>
  <c r="G35" i="1"/>
  <c r="G34" i="1"/>
  <c r="CC26" i="14"/>
  <c r="CC25" i="14"/>
  <c r="CA25" i="14"/>
  <c r="CC24" i="14"/>
  <c r="BD28" i="14"/>
  <c r="BY24" i="14"/>
  <c r="BW10" i="14"/>
  <c r="BY26" i="14"/>
  <c r="CA24" i="14"/>
  <c r="CA26" i="14"/>
  <c r="BY27" i="2"/>
  <c r="BY26" i="2"/>
  <c r="BY28" i="2"/>
  <c r="CA28" i="2"/>
  <c r="CA26" i="2"/>
  <c r="BV18" i="14"/>
  <c r="BW48" i="14"/>
  <c r="BW7" i="14"/>
  <c r="BN69" i="14"/>
  <c r="BV19" i="14"/>
  <c r="BW49" i="14"/>
  <c r="BW9" i="14"/>
  <c r="BW47" i="14"/>
  <c r="F31" i="1"/>
  <c r="D31" i="1"/>
  <c r="B31" i="1"/>
  <c r="AM12" i="2"/>
  <c r="AM12" i="14"/>
  <c r="AK6" i="2"/>
  <c r="AK5" i="14"/>
  <c r="J66" i="14"/>
  <c r="J66" i="2"/>
  <c r="BW8" i="2"/>
  <c r="BV12" i="2"/>
  <c r="BW8" i="14"/>
  <c r="BW12" i="14"/>
  <c r="C40" i="1"/>
  <c r="BC31" i="2"/>
  <c r="BC40" i="2"/>
  <c r="BW26" i="2"/>
  <c r="BC36" i="14"/>
  <c r="BW27" i="2"/>
  <c r="BZ38" i="14"/>
  <c r="BV38" i="14"/>
  <c r="C35" i="1"/>
  <c r="BR38" i="14"/>
  <c r="BZ38" i="2"/>
  <c r="BV38" i="2"/>
  <c r="BR38" i="2"/>
  <c r="G36" i="1"/>
  <c r="G38" i="1" a="1"/>
  <c r="G38" i="1"/>
  <c r="BZ39" i="14"/>
  <c r="E32" i="1"/>
  <c r="E36" i="1"/>
  <c r="E38" i="1" a="1"/>
  <c r="E38" i="1"/>
  <c r="BV39" i="14"/>
  <c r="C32" i="1"/>
  <c r="C36" i="1"/>
  <c r="C38" i="1" a="1"/>
  <c r="C38" i="1"/>
  <c r="BR39" i="14"/>
  <c r="BZ37" i="14"/>
  <c r="BV37" i="14"/>
  <c r="BR37" i="14"/>
  <c r="BZ36" i="14"/>
  <c r="BV36" i="14"/>
  <c r="BR36" i="14"/>
  <c r="G32" i="1"/>
  <c r="BZ35" i="14"/>
  <c r="BV35" i="14"/>
  <c r="BR35" i="14"/>
  <c r="BZ37" i="2"/>
  <c r="BV37" i="2"/>
  <c r="BR37" i="2"/>
  <c r="BZ39" i="2"/>
  <c r="BV39" i="2"/>
  <c r="BR39" i="2"/>
  <c r="BZ36" i="2"/>
  <c r="BV36" i="2"/>
  <c r="BR36" i="2"/>
  <c r="BZ35" i="2"/>
  <c r="BV35" i="2"/>
  <c r="BR35" i="2"/>
  <c r="CB69" i="14"/>
  <c r="BY25" i="14"/>
  <c r="BW11" i="14"/>
  <c r="CA27" i="14"/>
  <c r="BY27" i="14"/>
  <c r="BV17" i="14"/>
  <c r="BW6" i="14"/>
  <c r="Q42" i="2"/>
  <c r="R62" i="2"/>
  <c r="R42" i="14"/>
  <c r="K55" i="14"/>
  <c r="K54" i="14"/>
  <c r="D31" i="2"/>
  <c r="D30" i="2"/>
  <c r="O61" i="2"/>
  <c r="O60" i="2"/>
  <c r="K54" i="2"/>
  <c r="O60" i="14"/>
  <c r="O61" i="14"/>
  <c r="D31" i="14"/>
  <c r="D30" i="14"/>
  <c r="K55" i="2"/>
  <c r="BD36" i="14"/>
  <c r="BB73" i="2"/>
  <c r="BB71" i="2"/>
  <c r="BB69" i="2"/>
  <c r="BW28" i="2"/>
  <c r="BV47" i="2"/>
  <c r="BD31" i="2"/>
  <c r="BC49" i="2"/>
  <c r="BV19" i="2"/>
  <c r="BV18" i="2"/>
  <c r="BV17" i="2"/>
  <c r="BX11" i="2"/>
  <c r="BX10" i="2"/>
  <c r="BX9" i="2"/>
  <c r="BV7" i="2"/>
  <c r="BV6" i="2"/>
  <c r="BC45" i="14"/>
  <c r="BB73" i="14"/>
  <c r="BB71" i="14"/>
  <c r="BB69" i="14"/>
  <c r="E30" i="1"/>
  <c r="C30" i="1"/>
  <c r="BX72" i="14"/>
  <c r="Q42" i="14"/>
  <c r="BW49" i="2"/>
  <c r="CB69" i="2"/>
  <c r="BW48" i="2"/>
  <c r="BX72" i="2"/>
  <c r="G37" i="1" a="1"/>
  <c r="C37" i="1" a="1"/>
  <c r="BW47" i="2"/>
  <c r="BN69" i="2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<sst xmlns="http://schemas.openxmlformats.org/spreadsheetml/2006/main" count="276" uniqueCount="158">
  <si>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</si>
  <si>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</si>
  <si>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</si>
  <si>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</si>
  <si>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</si>
  <si>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</si>
  <si>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</si>
  <si>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</si>
  <si>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</si>
  <si>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</si>
  <si>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</si>
  <si>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</si>
  <si>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</si>
  <si>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</si>
  <si>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</si>
  <si>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</si>
  <si>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</si>
  <si>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</si>
  <si>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</si>
  <si>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</si>
  <si>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</si>
  <si>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</si>
  <si>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</si>
  <si>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</si>
  <si>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</si>
  <si>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</si>
  <si>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</si>
  <si>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</si>
  <si>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</si>
  <si>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</si>
  <si>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</si>
  <si>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</si>
  <si>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DC Isolator, 1000V DC, 32A</t>
  </si>
  <si>
    <t>IS</t>
  </si>
  <si>
    <t>AC 01</t>
  </si>
  <si>
    <t>INV 01</t>
  </si>
  <si>
    <t>Solar System AC Main Switch</t>
  </si>
  <si>
    <t>CB 01</t>
  </si>
  <si>
    <t>Inverter No. 1</t>
  </si>
  <si>
    <t>SYSTEM SIZE</t>
  </si>
  <si>
    <t>Panels</t>
  </si>
  <si>
    <t>IS 04</t>
  </si>
  <si>
    <t>IS 03</t>
  </si>
  <si>
    <t>Grid Connect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</si>
  <si>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</si>
  <si>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</si>
  <si>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</si>
  <si>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</si>
  <si>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</si>
  <si>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</si>
  <si>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</si>
  <si>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</si>
  <si>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</si>
  <si>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</si>
  <si>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</si>
  <si>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</si>
  <si>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</si>
  <si>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</si>
  <si>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</si>
  <si>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</si>
  <si>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</si>
  <si>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</si>
  <si>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</si>
  <si>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</si>
  <si>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</si>
  <si>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</si>
  <si>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</si>
  <si>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</si>
  <si>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</si>
  <si>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</si>
  <si>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</si>
  <si>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</si>
  <si>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</si>
  <si>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</si>
  <si>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</si>
  <si>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</si>
  <si>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</si>
  <si>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</si>
  <si>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</si>
  <si>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</si>
  <si>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</si>
  <si>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Array No. 1 Parameters</t>
  </si>
  <si>
    <t>String 1</t>
  </si>
  <si>
    <t>String 2</t>
  </si>
  <si>
    <t>No. of Panels</t>
  </si>
  <si>
    <t>String Power</t>
  </si>
  <si>
    <t>String Voltage</t>
  </si>
  <si>
    <t>String Short Circuit Current</t>
  </si>
  <si>
    <t>Loads</t>
  </si>
  <si>
    <t>240V AC (if required)</t>
  </si>
  <si>
    <t>Main Switch</t>
  </si>
  <si>
    <t>Inverter Supply</t>
  </si>
  <si>
    <t>A.C Isolator</t>
  </si>
  <si>
    <t>Inverter</t>
  </si>
  <si>
    <t>D.C. Isolator</t>
  </si>
  <si>
    <t>P.V. Array</t>
  </si>
  <si>
    <t>MSB</t>
  </si>
  <si>
    <t xml:space="preserve">House </t>
  </si>
  <si>
    <t>A.C. Isolator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</si>
  <si>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</si>
  <si>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</si>
  <si>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</si>
  <si>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</si>
  <si>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</si>
  <si>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</si>
  <si>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</si>
  <si>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</si>
  <si>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</si>
  <si>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</si>
  <si>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</si>
  <si>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</si>
  <si>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</si>
  <si>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</si>
  <si>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</si>
  <si>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</si>
  <si>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</si>
  <si>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</si>
  <si>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Inverter Phases</t>
  </si>
  <si>
    <t>Iout Max</t>
  </si>
  <si>
    <t>SMA</t>
  </si>
  <si>
    <t>SB4.0-1AV-40</t>
  </si>
  <si>
    <t>MpptA1</t>
  </si>
  <si>
    <t>MpptA2</t>
  </si>
  <si>
    <t>MpptB1</t>
  </si>
  <si>
    <t>MpptB2</t>
  </si>
  <si>
    <t>Vrise Info</t>
  </si>
  <si>
    <t>Service Main</t>
  </si>
  <si>
    <t>Consumer Main</t>
  </si>
  <si>
    <t xml:space="preserve">MSB </t>
  </si>
  <si>
    <t>Chosen Cable size</t>
  </si>
  <si>
    <t>Monitoring</t>
  </si>
  <si>
    <t>Extra</t>
  </si>
  <si>
    <t>Existing Array (kWac)</t>
  </si>
  <si>
    <t>No. Of Panels</t>
  </si>
  <si>
    <t>Total kWdc</t>
  </si>
  <si>
    <t>Voltage Rise Summary</t>
  </si>
  <si>
    <t>MSB to Inv</t>
  </si>
  <si>
    <t>SLD Notes</t>
  </si>
  <si>
    <t>Vrise Notes</t>
  </si>
  <si>
    <t>Block diagram</t>
  </si>
  <si>
    <t>Block 1</t>
  </si>
  <si>
    <t>line 1 up</t>
  </si>
  <si>
    <t>line 1 down</t>
  </si>
  <si>
    <t>Block 2</t>
  </si>
  <si>
    <t>line 2 up</t>
  </si>
  <si>
    <t>line 2 down</t>
  </si>
  <si>
    <t>Block 3</t>
  </si>
  <si>
    <t>1/""</t>
  </si>
  <si>
    <t>Note</t>
  </si>
  <si>
    <t>Column 1 Name</t>
  </si>
  <si>
    <t xml:space="preserve">Column 2 Name </t>
  </si>
  <si>
    <t>Column 3 Name</t>
  </si>
  <si>
    <t>18 Jan 2021</t>
  </si>
  <si>
    <t>String 3</t>
  </si>
  <si>
    <t>MpptA3</t>
  </si>
  <si>
    <t>MpptA4</t>
  </si>
  <si>
    <t>MpptB3</t>
  </si>
  <si>
    <t>MpptB4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</si>
</sst>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61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6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166" fontId="0" fillId="2" borderId="0" xfId="0" quotePrefix="1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/>
    <xf numFmtId="170" fontId="0" fillId="0" borderId="0" xfId="0" applyNumberFormat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Border="1"/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0" borderId="0" xfId="0" applyFont="1"/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3" fillId="0" borderId="5" xfId="0" applyFont="1" applyBorder="1"/>
    <xf numFmtId="0" fontId="3" fillId="0" borderId="8" xfId="0" applyFont="1" applyBorder="1"/>
    <xf numFmtId="0" fontId="3" fillId="0" borderId="0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2" xfId="0" applyFont="1" applyBorder="1"/>
    <xf numFmtId="0" fontId="3" fillId="0" borderId="1" xfId="0" applyFont="1" applyBorder="1"/>
    <xf numFmtId="0" fontId="1" fillId="0" borderId="0" xfId="0" applyFont="1"/>
    <xf numFmtId="0" fontId="0" fillId="0" borderId="0" xfId="0"/>
    <xf numFmtId="0" fontId="3" fillId="0" borderId="3" xfId="0" applyFont="1" applyBorder="1"/>
    <xf numFmtId="0" fontId="3" fillId="0" borderId="2" xfId="0" applyFont="1" applyBorder="1"/>
    <xf numFmtId="0" fontId="10" fillId="0" borderId="0" xfId="0" applyFont="1"/>
    <xf numFmtId="0" fontId="0" fillId="0" borderId="0" xfId="0" applyBorder="1" applyAlignment="1"/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9" fillId="0" borderId="0" xfId="0" applyFont="1" applyBorder="1" applyAlignment="1"/>
    <xf numFmtId="0" fontId="9" fillId="0" borderId="0" xfId="0" applyFont="1" applyFill="1" applyBorder="1" applyAlignment="1"/>
    <xf numFmtId="0" fontId="0" fillId="0" borderId="46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0" xfId="0" applyFill="1" applyBorder="1"/>
    <xf numFmtId="0" fontId="0" fillId="0" borderId="0" xfId="0" applyBorder="1" applyAlignment="1">
      <alignment horizontal="center"/>
    </xf>
    <xf numFmtId="0" fontId="3" fillId="0" borderId="36" xfId="1" applyNumberFormat="1" applyBorder="1" applyAlignment="1" applyProtection="1">
      <alignment horizontal="left"/>
      <protection locked="0"/>
    </xf>
    <xf numFmtId="0" fontId="0" fillId="0" borderId="0" xfId="0"/>
    <xf numFmtId="0" fontId="9" fillId="0" borderId="46" xfId="0" applyFont="1" applyFill="1" applyBorder="1" applyAlignme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46" xfId="0" applyFont="1" applyFill="1" applyBorder="1" applyAlignment="1">
      <alignment horizontal="center"/>
    </xf>
    <xf numFmtId="0" fontId="0" fillId="0" borderId="46" xfId="0" applyFont="1" applyBorder="1" applyAlignment="1">
      <alignment horizontal="center"/>
    </xf>
    <xf numFmtId="0" fontId="0" fillId="0" borderId="0" xfId="0"/>
    <xf numFmtId="165" fontId="3" fillId="0" borderId="8" xfId="0" applyNumberFormat="1" applyFont="1" applyBorder="1"/>
    <xf numFmtId="0" fontId="0" fillId="3" borderId="5" xfId="0" applyFill="1" applyBorder="1" applyAlignment="1">
      <alignment horizontal="center"/>
    </xf>
    <xf numFmtId="0" fontId="0" fillId="0" borderId="0" xfId="0"/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46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Border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4" fontId="0" fillId="2" borderId="2" xfId="0" quotePrefix="1" applyNumberFormat="1" applyFill="1" applyBorder="1" applyAlignment="1">
      <alignment horizontal="center"/>
    </xf>
    <xf numFmtId="174" fontId="0" fillId="2" borderId="1" xfId="0" quotePrefix="1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/>
    <xf numFmtId="165" fontId="0" fillId="2" borderId="2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0" xfId="0" applyAlignment="1">
      <alignment horizont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4" xfId="0" applyBorder="1" applyAlignment="1">
      <alignment horizontal="center" vertic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3" fillId="0" borderId="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174" fontId="0" fillId="2" borderId="2" xfId="0" quotePrefix="1" applyNumberFormat="1" applyFill="1" applyBorder="1" applyAlignment="1">
      <alignment horizontal="left" indent="5"/>
    </xf>
    <xf numFmtId="174" fontId="0" fillId="2" borderId="1" xfId="0" quotePrefix="1" applyNumberFormat="1" applyFill="1" applyBorder="1" applyAlignment="1">
      <alignment horizontal="left" indent="5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14" xfId="0" applyBorder="1" applyAlignment="1">
      <alignment horizont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6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82</xdr:col>
      <xdr:colOff>9202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8478" y="225471"/>
          <a:ext cx="20287789" cy="15097355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6867</xdr:colOff>
      <xdr:row>25</xdr:row>
      <xdr:rowOff>169334</xdr:rowOff>
    </xdr:from>
    <xdr:to>
      <xdr:col>13</xdr:col>
      <xdr:colOff>6867</xdr:colOff>
      <xdr:row>29</xdr:row>
      <xdr:rowOff>84667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308867" y="5249334"/>
          <a:ext cx="0" cy="72813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237067</xdr:colOff>
      <xdr:row>25</xdr:row>
      <xdr:rowOff>153648</xdr:rowOff>
    </xdr:from>
    <xdr:to>
      <xdr:col>17</xdr:col>
      <xdr:colOff>38101</xdr:colOff>
      <xdr:row>25</xdr:row>
      <xdr:rowOff>153648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507067" y="5233648"/>
          <a:ext cx="2849034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3262573" y="5812704"/>
          <a:ext cx="269224" cy="626461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3036347" y="466231"/>
          <a:ext cx="603322" cy="3715445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2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2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2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2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2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2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2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2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2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2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075429" y="466231"/>
          <a:ext cx="603322" cy="3715444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2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162221</xdr:rowOff>
    </xdr:from>
    <xdr:to>
      <xdr:col>20</xdr:col>
      <xdr:colOff>93750</xdr:colOff>
      <xdr:row>34</xdr:row>
      <xdr:rowOff>67733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497840" y="771821"/>
          <a:ext cx="4675910" cy="620471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36</xdr:row>
      <xdr:rowOff>182035</xdr:rowOff>
    </xdr:from>
    <xdr:to>
      <xdr:col>36</xdr:col>
      <xdr:colOff>152400</xdr:colOff>
      <xdr:row>44</xdr:row>
      <xdr:rowOff>169335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8301532" y="7294035"/>
          <a:ext cx="994868" cy="1567744"/>
          <a:chOff x="5588000" y="4800600"/>
          <a:chExt cx="762000" cy="1270001"/>
        </a:xfrm>
      </xdr:grpSpPr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61" name="Shape 5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2" name="Shape 6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3" name="Shape 7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4" name="Shape 8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39</xdr:row>
      <xdr:rowOff>29198</xdr:rowOff>
    </xdr:from>
    <xdr:to>
      <xdr:col>40</xdr:col>
      <xdr:colOff>98677</xdr:colOff>
      <xdr:row>43</xdr:row>
      <xdr:rowOff>59180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pSpPr/>
      </xdr:nvGrpSpPr>
      <xdr:grpSpPr>
        <a:xfrm>
          <a:off x="9744601" y="7733865"/>
          <a:ext cx="514076" cy="820204"/>
          <a:chOff x="8312729" y="2242252"/>
          <a:chExt cx="516507" cy="808182"/>
        </a:xfrm>
      </xdr:grpSpPr>
      <xdr:grpSp>
        <xdr:nvGrpSpPr>
          <xdr:cNvPr id="66" name="Group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68" name="Shape 9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9" name="Shape 38">
              <a:extLst>
                <a:ext uri="{FF2B5EF4-FFF2-40B4-BE49-F238E27FC236}">
                  <a16:creationId xmlns:a16="http://schemas.microsoft.com/office/drawing/2014/main" id="{00000000-0008-0000-0200-00004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" name="Shape 3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1" name="Shape 13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2" name="Shape 37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3" name="Shape 9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4" name="Shape 9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5" name="Shape 9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38</xdr:row>
      <xdr:rowOff>170620</xdr:rowOff>
    </xdr:from>
    <xdr:to>
      <xdr:col>59</xdr:col>
      <xdr:colOff>30282</xdr:colOff>
      <xdr:row>45</xdr:row>
      <xdr:rowOff>13580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/>
      </xdr:nvGrpSpPr>
      <xdr:grpSpPr>
        <a:xfrm>
          <a:off x="11067598" y="7677731"/>
          <a:ext cx="3948684" cy="1225849"/>
          <a:chOff x="6463027" y="3629024"/>
          <a:chExt cx="3950973" cy="1216296"/>
        </a:xfrm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92" name="Group 91">
                <a:extLst>
                  <a:ext uri="{FF2B5EF4-FFF2-40B4-BE49-F238E27FC236}">
                    <a16:creationId xmlns:a16="http://schemas.microsoft.com/office/drawing/2014/main" id="{00000000-0008-0000-0200-00005C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94" name="Group 93">
                  <a:extLst>
                    <a:ext uri="{FF2B5EF4-FFF2-40B4-BE49-F238E27FC236}">
                      <a16:creationId xmlns:a16="http://schemas.microsoft.com/office/drawing/2014/main" id="{00000000-0008-0000-0200-00005E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03" name="Shape 46">
                    <a:extLst>
                      <a:ext uri="{FF2B5EF4-FFF2-40B4-BE49-F238E27FC236}">
                        <a16:creationId xmlns:a16="http://schemas.microsoft.com/office/drawing/2014/main" id="{00000000-0008-0000-0200-000067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4" name="Rectangle 103">
                    <a:extLst>
                      <a:ext uri="{FF2B5EF4-FFF2-40B4-BE49-F238E27FC236}">
                        <a16:creationId xmlns:a16="http://schemas.microsoft.com/office/drawing/2014/main" id="{00000000-0008-0000-0200-000068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5" name="Shape 46">
                    <a:extLst>
                      <a:ext uri="{FF2B5EF4-FFF2-40B4-BE49-F238E27FC236}">
                        <a16:creationId xmlns:a16="http://schemas.microsoft.com/office/drawing/2014/main" id="{00000000-0008-0000-0200-000069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95" name="Group 94">
                  <a:extLst>
                    <a:ext uri="{FF2B5EF4-FFF2-40B4-BE49-F238E27FC236}">
                      <a16:creationId xmlns:a16="http://schemas.microsoft.com/office/drawing/2014/main" id="{00000000-0008-0000-0200-00005F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00" name="Shape 46">
                    <a:extLst>
                      <a:ext uri="{FF2B5EF4-FFF2-40B4-BE49-F238E27FC236}">
                        <a16:creationId xmlns:a16="http://schemas.microsoft.com/office/drawing/2014/main" id="{00000000-0008-0000-0200-000064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1" name="Rectangle 100">
                    <a:extLst>
                      <a:ext uri="{FF2B5EF4-FFF2-40B4-BE49-F238E27FC236}">
                        <a16:creationId xmlns:a16="http://schemas.microsoft.com/office/drawing/2014/main" id="{00000000-0008-0000-0200-000065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2" name="Shape 46">
                    <a:extLst>
                      <a:ext uri="{FF2B5EF4-FFF2-40B4-BE49-F238E27FC236}">
                        <a16:creationId xmlns:a16="http://schemas.microsoft.com/office/drawing/2014/main" id="{00000000-0008-0000-0200-000066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96" name="Shape 27">
                  <a:extLst>
                    <a:ext uri="{FF2B5EF4-FFF2-40B4-BE49-F238E27FC236}">
                      <a16:creationId xmlns:a16="http://schemas.microsoft.com/office/drawing/2014/main" id="{00000000-0008-0000-0200-000060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7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3" name="Elbow Connector 92">
                <a:extLst>
                  <a:ext uri="{FF2B5EF4-FFF2-40B4-BE49-F238E27FC236}">
                    <a16:creationId xmlns:a16="http://schemas.microsoft.com/office/drawing/2014/main" id="{00000000-0008-0000-0200-00005D000000}"/>
                  </a:ext>
                </a:extLst>
              </xdr:cNvPr>
              <xdr:cNvCxnSpPr>
                <a:stCxn id="101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0" name="Elbow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>
              <a:stCxn id="104" idx="1"/>
              <a:endCxn id="86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79" name="Group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81" name="Shape 9">
                <a:extLst>
                  <a:ext uri="{FF2B5EF4-FFF2-40B4-BE49-F238E27FC236}">
                    <a16:creationId xmlns:a16="http://schemas.microsoft.com/office/drawing/2014/main" id="{00000000-0008-0000-0200-000051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2" name="Shape 38">
                <a:extLs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3" name="Shape 39">
                <a:extLst>
                  <a:ext uri="{FF2B5EF4-FFF2-40B4-BE49-F238E27FC236}">
                    <a16:creationId xmlns:a16="http://schemas.microsoft.com/office/drawing/2014/main" id="{00000000-0008-0000-0200-000053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4" name="Shape 1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5" name="Shape 3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6" name="Shape 9">
                <a:extLst>
                  <a:ext uri="{FF2B5EF4-FFF2-40B4-BE49-F238E27FC236}">
                    <a16:creationId xmlns:a16="http://schemas.microsoft.com/office/drawing/2014/main" id="{00000000-0008-0000-0200-000056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7" name="Shape 9">
                <a:extLst>
                  <a:ext uri="{FF2B5EF4-FFF2-40B4-BE49-F238E27FC236}">
                    <a16:creationId xmlns:a16="http://schemas.microsoft.com/office/drawing/2014/main" id="{00000000-0008-0000-0200-000057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8" name="Shape 9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/>
      </xdr:nvGrpSpPr>
      <xdr:grpSpPr>
        <a:xfrm>
          <a:off x="6438900" y="7726057"/>
          <a:ext cx="1017983" cy="553246"/>
          <a:chOff x="6858969" y="6917765"/>
          <a:chExt cx="1015030" cy="545353"/>
        </a:xfrm>
      </xdr:grpSpPr>
      <xdr:sp macro="" textlink="">
        <xdr:nvSpPr>
          <xdr:cNvPr id="107" name="Shape 27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8" name="Shape 2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9" name="Shape 26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10" name="Straight Connector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49</xdr:col>
      <xdr:colOff>2774</xdr:colOff>
      <xdr:row>30</xdr:row>
      <xdr:rowOff>22729</xdr:rowOff>
    </xdr:from>
    <xdr:to>
      <xdr:col>59</xdr:col>
      <xdr:colOff>30215</xdr:colOff>
      <xdr:row>42</xdr:row>
      <xdr:rowOff>17146</xdr:rowOff>
    </xdr:to>
    <xdr:grpSp>
      <xdr:nvGrpSpPr>
        <xdr:cNvPr id="113" name="Parra.A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pSpPr/>
      </xdr:nvGrpSpPr>
      <xdr:grpSpPr>
        <a:xfrm>
          <a:off x="12448774" y="5949396"/>
          <a:ext cx="2567441" cy="2365083"/>
          <a:chOff x="12303718" y="1681200"/>
          <a:chExt cx="2567441" cy="2504534"/>
        </a:xfrm>
      </xdr:grpSpPr>
      <xdr:grpSp>
        <xdr:nvGrpSpPr>
          <xdr:cNvPr id="114" name="Group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116" name="Group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121" name="Group 120">
                <a:extLst>
                  <a:ext uri="{FF2B5EF4-FFF2-40B4-BE49-F238E27FC236}">
                    <a16:creationId xmlns:a16="http://schemas.microsoft.com/office/drawing/2014/main" id="{00000000-0008-0000-0200-000079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123" name="Group 122">
                  <a:extLst>
                    <a:ext uri="{FF2B5EF4-FFF2-40B4-BE49-F238E27FC236}">
                      <a16:creationId xmlns:a16="http://schemas.microsoft.com/office/drawing/2014/main" id="{00000000-0008-0000-0200-00007B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125" name="Group 124">
                    <a:extLst>
                      <a:ext uri="{FF2B5EF4-FFF2-40B4-BE49-F238E27FC236}">
                        <a16:creationId xmlns:a16="http://schemas.microsoft.com/office/drawing/2014/main" id="{00000000-0008-0000-0200-00007D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134" name="Shape 46">
                      <a:extLst>
                        <a:ext uri="{FF2B5EF4-FFF2-40B4-BE49-F238E27FC236}">
                          <a16:creationId xmlns:a16="http://schemas.microsoft.com/office/drawing/2014/main" id="{00000000-0008-0000-0200-000086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5" name="Rectangle 134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6" name="Shape 46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126" name="Group 125">
                    <a:extLst>
                      <a:ext uri="{FF2B5EF4-FFF2-40B4-BE49-F238E27FC236}">
                        <a16:creationId xmlns:a16="http://schemas.microsoft.com/office/drawing/2014/main" id="{00000000-0008-0000-0200-00007E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131" name="Shape 46">
                      <a:extLst>
                        <a:ext uri="{FF2B5EF4-FFF2-40B4-BE49-F238E27FC236}">
                          <a16:creationId xmlns:a16="http://schemas.microsoft.com/office/drawing/2014/main" id="{00000000-0008-0000-0200-000083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2" name="Rectangle 131">
                      <a:extLst>
                        <a:ext uri="{FF2B5EF4-FFF2-40B4-BE49-F238E27FC236}">
                          <a16:creationId xmlns:a16="http://schemas.microsoft.com/office/drawing/2014/main" id="{00000000-0008-0000-0200-000084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3" name="Shape 46">
                      <a:extLst>
                        <a:ext uri="{FF2B5EF4-FFF2-40B4-BE49-F238E27FC236}">
                          <a16:creationId xmlns:a16="http://schemas.microsoft.com/office/drawing/2014/main" id="{00000000-0008-0000-0200-000085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127" name="Shape 27">
                    <a:extLst>
                      <a:ext uri="{FF2B5EF4-FFF2-40B4-BE49-F238E27FC236}">
                        <a16:creationId xmlns:a16="http://schemas.microsoft.com/office/drawing/2014/main" id="{00000000-0008-0000-0200-00007F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8" name="Shape 27">
                    <a:extLst>
                      <a:ext uri="{FF2B5EF4-FFF2-40B4-BE49-F238E27FC236}">
                        <a16:creationId xmlns:a16="http://schemas.microsoft.com/office/drawing/2014/main" id="{00000000-0008-0000-0200-000080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9" name="Shape 27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0" name="Shape 27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4" name="Elbow Connector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CxnSpPr>
                  <a:stCxn id="13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22" name="Straight Connector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CxnSpPr>
                <a:stCxn id="135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Connector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9" name="Shape 27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15" name="Straight Connector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11444</xdr:colOff>
      <xdr:row>41</xdr:row>
      <xdr:rowOff>690</xdr:rowOff>
    </xdr:from>
    <xdr:to>
      <xdr:col>44</xdr:col>
      <xdr:colOff>8943</xdr:colOff>
      <xdr:row>41</xdr:row>
      <xdr:rowOff>690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H="1">
          <a:off x="10075595" y="7333143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H="1">
          <a:off x="10075953" y="7555068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H="1">
          <a:off x="9195107" y="7537538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41</xdr:row>
      <xdr:rowOff>1764</xdr:rowOff>
    </xdr:from>
    <xdr:to>
      <xdr:col>38</xdr:col>
      <xdr:colOff>197119</xdr:colOff>
      <xdr:row>41</xdr:row>
      <xdr:rowOff>1764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H="1">
          <a:off x="9186521" y="7334217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7459368" y="8326883"/>
          <a:ext cx="8385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H="1">
          <a:off x="3302000" y="8317286"/>
          <a:ext cx="3153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87004</xdr:rowOff>
    </xdr:from>
    <xdr:to>
      <xdr:col>13</xdr:col>
      <xdr:colOff>5396</xdr:colOff>
      <xdr:row>40</xdr:row>
      <xdr:rowOff>165652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>
          <a:off x="3235613" y="6713091"/>
          <a:ext cx="0" cy="173517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143458</xdr:colOff>
      <xdr:row>35</xdr:row>
      <xdr:rowOff>24137</xdr:rowOff>
    </xdr:from>
    <xdr:to>
      <xdr:col>13</xdr:col>
      <xdr:colOff>140053</xdr:colOff>
      <xdr:row>36</xdr:row>
      <xdr:rowOff>4293</xdr:rowOff>
    </xdr:to>
    <xdr:cxnSp macro="">
      <xdr:nvCxnSpPr>
        <xdr:cNvPr id="190" name="1P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H="1">
          <a:off x="3148528" y="722378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155947</xdr:colOff>
      <xdr:row>19</xdr:row>
      <xdr:rowOff>98777</xdr:rowOff>
    </xdr:from>
    <xdr:to>
      <xdr:col>61</xdr:col>
      <xdr:colOff>129716</xdr:colOff>
      <xdr:row>47</xdr:row>
      <xdr:rowOff>5644</xdr:rowOff>
    </xdr:to>
    <xdr:sp macro="" textlink="">
      <xdr:nvSpPr>
        <xdr:cNvPr id="191" name="Dash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10823947" y="3852333"/>
          <a:ext cx="4799769" cy="543842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133237</xdr:colOff>
      <xdr:row>46</xdr:row>
      <xdr:rowOff>182044</xdr:rowOff>
    </xdr:from>
    <xdr:to>
      <xdr:col>62</xdr:col>
      <xdr:colOff>133236</xdr:colOff>
      <xdr:row>48</xdr:row>
      <xdr:rowOff>175001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373237" y="9269600"/>
          <a:ext cx="507999" cy="388068"/>
          <a:chOff x="10160000" y="2820276"/>
          <a:chExt cx="508000" cy="401148"/>
        </a:xfrm>
      </xdr:grpSpPr>
      <xdr:grpSp>
        <xdr:nvGrpSpPr>
          <xdr:cNvPr id="193" name="Group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199" name="3PL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GrpSpPr/>
      </xdr:nvGrpSpPr>
      <xdr:grpSpPr>
        <a:xfrm>
          <a:off x="2034559" y="497679"/>
          <a:ext cx="603322" cy="3715444"/>
          <a:chOff x="10975311" y="1118934"/>
          <a:chExt cx="590576" cy="4001288"/>
        </a:xfrm>
      </xdr:grpSpPr>
      <xdr:grpSp>
        <xdr:nvGrpSpPr>
          <xdr:cNvPr id="200" name="Group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08" name="Oval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09" name="Shape 27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0" name="Shape 22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11" name="Shape 27">
              <a:extLst>
                <a:ext uri="{FF2B5EF4-FFF2-40B4-BE49-F238E27FC236}">
                  <a16:creationId xmlns:a16="http://schemas.microsoft.com/office/drawing/2014/main" id="{00000000-0008-0000-0200-0000D3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2" name="Shape 27">
              <a:extLst>
                <a:ext uri="{FF2B5EF4-FFF2-40B4-BE49-F238E27FC236}">
                  <a16:creationId xmlns:a16="http://schemas.microsoft.com/office/drawing/2014/main" id="{00000000-0008-0000-0200-0000D4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3" name="Shape 26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02" name="Shape 18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03" name="Shape 18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04" name="Straight Connector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CxnSpPr>
              <a:endCxn id="203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7" name="Rectangle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228600</xdr:colOff>
      <xdr:row>17</xdr:row>
      <xdr:rowOff>152400</xdr:rowOff>
    </xdr:from>
    <xdr:to>
      <xdr:col>18</xdr:col>
      <xdr:colOff>60969</xdr:colOff>
      <xdr:row>18</xdr:row>
      <xdr:rowOff>166136</xdr:rowOff>
    </xdr:to>
    <xdr:grpSp>
      <xdr:nvGrpSpPr>
        <xdr:cNvPr id="223" name="CONS3P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pSpPr/>
      </xdr:nvGrpSpPr>
      <xdr:grpSpPr>
        <a:xfrm>
          <a:off x="2006600" y="3510844"/>
          <a:ext cx="2626369" cy="211292"/>
          <a:chOff x="2006600" y="3606800"/>
          <a:chExt cx="2626369" cy="216936"/>
        </a:xfrm>
      </xdr:grpSpPr>
      <xdr:sp macro="" textlink="">
        <xdr:nvSpPr>
          <xdr:cNvPr id="224" name="bo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5" name="boxdash1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26" name="Straight Connector 225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185" name="1P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H="1">
          <a:off x="3140538" y="470453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152401</xdr:colOff>
      <xdr:row>35</xdr:row>
      <xdr:rowOff>136667</xdr:rowOff>
    </xdr:from>
    <xdr:to>
      <xdr:col>13</xdr:col>
      <xdr:colOff>148996</xdr:colOff>
      <xdr:row>37</xdr:row>
      <xdr:rowOff>12725</xdr:rowOff>
    </xdr:to>
    <xdr:grpSp>
      <xdr:nvGrpSpPr>
        <xdr:cNvPr id="8" name="3PInv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3200401" y="7051111"/>
          <a:ext cx="250595" cy="271170"/>
          <a:chOff x="3200401" y="7248667"/>
          <a:chExt cx="250595" cy="282458"/>
        </a:xfrm>
      </xdr:grpSpPr>
      <xdr:cxnSp macro="">
        <xdr:nvCxnSpPr>
          <xdr:cNvPr id="188" name="2P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3P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150346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200401" y="4609868"/>
          <a:ext cx="250595" cy="281811"/>
          <a:chOff x="3200401" y="4739690"/>
          <a:chExt cx="250595" cy="287456"/>
        </a:xfrm>
      </xdr:grpSpPr>
      <xdr:cxnSp macro="">
        <xdr:nvCxnSpPr>
          <xdr:cNvPr id="198" name="2P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3P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208826</xdr:colOff>
      <xdr:row>25</xdr:row>
      <xdr:rowOff>169333</xdr:rowOff>
    </xdr:from>
    <xdr:to>
      <xdr:col>16</xdr:col>
      <xdr:colOff>208826</xdr:colOff>
      <xdr:row>29</xdr:row>
      <xdr:rowOff>143829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4272826" y="5249333"/>
          <a:ext cx="0" cy="78729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160868</xdr:colOff>
      <xdr:row>29</xdr:row>
      <xdr:rowOff>135537</xdr:rowOff>
    </xdr:from>
    <xdr:to>
      <xdr:col>17</xdr:col>
      <xdr:colOff>176092</xdr:colOff>
      <xdr:row>32</xdr:row>
      <xdr:rowOff>183186</xdr:rowOff>
    </xdr:to>
    <xdr:grpSp>
      <xdr:nvGrpSpPr>
        <xdr:cNvPr id="229" name="Group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GrpSpPr/>
      </xdr:nvGrpSpPr>
      <xdr:grpSpPr>
        <a:xfrm>
          <a:off x="4224868" y="5864648"/>
          <a:ext cx="269224" cy="640316"/>
          <a:chOff x="3291679" y="5440218"/>
          <a:chExt cx="275787" cy="639287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32" name="Shape 27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3" name="Shape 27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4" name="Shape 26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1" name="Straight Connector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205097</xdr:colOff>
      <xdr:row>32</xdr:row>
      <xdr:rowOff>183167</xdr:rowOff>
    </xdr:from>
    <xdr:to>
      <xdr:col>16</xdr:col>
      <xdr:colOff>205097</xdr:colOff>
      <xdr:row>33</xdr:row>
      <xdr:rowOff>189568</xdr:rowOff>
    </xdr:to>
    <xdr:sp macro="" textlink="">
      <xdr:nvSpPr>
        <xdr:cNvPr id="235" name="Shape 18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 flipH="1">
          <a:off x="4269097" y="6685567"/>
          <a:ext cx="0" cy="20960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91118</xdr:colOff>
      <xdr:row>17</xdr:row>
      <xdr:rowOff>27608</xdr:rowOff>
    </xdr:from>
    <xdr:to>
      <xdr:col>32</xdr:col>
      <xdr:colOff>227844</xdr:colOff>
      <xdr:row>38</xdr:row>
      <xdr:rowOff>76202</xdr:rowOff>
    </xdr:to>
    <xdr:grpSp>
      <xdr:nvGrpSpPr>
        <xdr:cNvPr id="9" name="CONS1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3139118" y="3386052"/>
          <a:ext cx="5216726" cy="4197261"/>
          <a:chOff x="3072857" y="3547717"/>
          <a:chExt cx="5106291" cy="4396963"/>
        </a:xfrm>
      </xdr:grpSpPr>
      <xdr:grpSp>
        <xdr:nvGrpSpPr>
          <xdr:cNvPr id="214" name="no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GrpSpPr/>
        </xdr:nvGrpSpPr>
        <xdr:grpSpPr>
          <a:xfrm>
            <a:off x="3072857" y="3679971"/>
            <a:ext cx="5106291" cy="4264709"/>
            <a:chOff x="2552350" y="13583257"/>
            <a:chExt cx="5344419" cy="4168415"/>
          </a:xfrm>
        </xdr:grpSpPr>
        <xdr:sp macro="" textlink="">
          <xdr:nvSpPr>
            <xdr:cNvPr id="215" name="boxdash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16" name="Straight Connector 215">
              <a:extLst>
                <a:ext uri="{FF2B5EF4-FFF2-40B4-BE49-F238E27FC236}">
                  <a16:creationId xmlns:a16="http://schemas.microsoft.com/office/drawing/2014/main" id="{00000000-0008-0000-0200-0000D8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200-0000D9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" name="Straight Connector 217">
              <a:extLst>
                <a:ext uri="{FF2B5EF4-FFF2-40B4-BE49-F238E27FC236}">
                  <a16:creationId xmlns:a16="http://schemas.microsoft.com/office/drawing/2014/main" id="{00000000-0008-0000-0200-0000DA000000}"/>
                </a:ext>
              </a:extLst>
            </xdr:cNvPr>
            <xdr:cNvCxnSpPr/>
          </xdr:nvCxnSpPr>
          <xdr:spPr>
            <a:xfrm>
              <a:off x="6685850" y="17670918"/>
              <a:ext cx="1137676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9" name="Straight Connector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200-0000DE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 txBox="1"/>
        </xdr:nvSpPr>
        <xdr:spPr>
          <a:xfrm>
            <a:off x="5093804" y="3547717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220133</xdr:colOff>
      <xdr:row>25</xdr:row>
      <xdr:rowOff>170582</xdr:rowOff>
    </xdr:from>
    <xdr:to>
      <xdr:col>23</xdr:col>
      <xdr:colOff>107089</xdr:colOff>
      <xdr:row>62</xdr:row>
      <xdr:rowOff>104259</xdr:rowOff>
    </xdr:to>
    <xdr:grpSp>
      <xdr:nvGrpSpPr>
        <xdr:cNvPr id="237" name="ExtraArray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GrpSpPr/>
      </xdr:nvGrpSpPr>
      <xdr:grpSpPr>
        <a:xfrm>
          <a:off x="1998133" y="5109471"/>
          <a:ext cx="3950956" cy="7243232"/>
          <a:chOff x="1933376" y="5207000"/>
          <a:chExt cx="3950956" cy="7452077"/>
        </a:xfrm>
      </xdr:grpSpPr>
      <xdr:grpSp>
        <xdr:nvGrpSpPr>
          <xdr:cNvPr id="238" name="Group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47" name="Group 246">
              <a:extLst>
                <a:ext uri="{FF2B5EF4-FFF2-40B4-BE49-F238E27FC236}">
                  <a16:creationId xmlns:a16="http://schemas.microsoft.com/office/drawing/2014/main" id="{00000000-0008-0000-0200-0000F7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255" name="Group 254">
                <a:extLst>
                  <a:ext uri="{FF2B5EF4-FFF2-40B4-BE49-F238E27FC236}">
                    <a16:creationId xmlns:a16="http://schemas.microsoft.com/office/drawing/2014/main" id="{00000000-0008-0000-0200-0000FF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257" name="Shape 5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8" name="Shape 6">
                  <a:extLst>
                    <a:ext uri="{FF2B5EF4-FFF2-40B4-BE49-F238E27FC236}">
                      <a16:creationId xmlns:a16="http://schemas.microsoft.com/office/drawing/2014/main" id="{00000000-0008-0000-0200-00000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9" name="Shape 7">
                  <a:extLst>
                    <a:ext uri="{FF2B5EF4-FFF2-40B4-BE49-F238E27FC236}">
                      <a16:creationId xmlns:a16="http://schemas.microsoft.com/office/drawing/2014/main" id="{00000000-0008-0000-0200-00000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60" name="Shape 8">
                  <a:extLst>
                    <a:ext uri="{FF2B5EF4-FFF2-40B4-BE49-F238E27FC236}">
                      <a16:creationId xmlns:a16="http://schemas.microsoft.com/office/drawing/2014/main" id="{00000000-0008-0000-0200-00000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256" name="Rectangle 255">
                <a:extLst>
                  <a:ext uri="{FF2B5EF4-FFF2-40B4-BE49-F238E27FC236}">
                    <a16:creationId xmlns:a16="http://schemas.microsoft.com/office/drawing/2014/main" id="{00000000-0008-0000-0200-00000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48" name="Group 247">
              <a:extLst>
                <a:ext uri="{FF2B5EF4-FFF2-40B4-BE49-F238E27FC236}">
                  <a16:creationId xmlns:a16="http://schemas.microsoft.com/office/drawing/2014/main" id="{00000000-0008-0000-0200-0000F800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49" name="Shape 27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0" name="Shape 27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1" name="Shape 26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252" name="Straight Connector 251">
                <a:extLst>
                  <a:ext uri="{FF2B5EF4-FFF2-40B4-BE49-F238E27FC236}">
                    <a16:creationId xmlns:a16="http://schemas.microsoft.com/office/drawing/2014/main" id="{00000000-0008-0000-0200-0000FC00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3" name="Straight Connector 252">
                <a:extLst>
                  <a:ext uri="{FF2B5EF4-FFF2-40B4-BE49-F238E27FC236}">
                    <a16:creationId xmlns:a16="http://schemas.microsoft.com/office/drawing/2014/main" id="{00000000-0008-0000-0200-0000FD00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4" name="Rectangle 253">
                <a:extLst>
                  <a:ext uri="{FF2B5EF4-FFF2-40B4-BE49-F238E27FC236}">
                    <a16:creationId xmlns:a16="http://schemas.microsoft.com/office/drawing/2014/main" id="{00000000-0008-0000-0200-0000FE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239" name="Group 238">
            <a:extLst>
              <a:ext uri="{FF2B5EF4-FFF2-40B4-BE49-F238E27FC236}">
                <a16:creationId xmlns:a16="http://schemas.microsoft.com/office/drawing/2014/main" id="{00000000-0008-0000-0200-0000EF00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242" name="Group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244" name="Shape 27">
                <a:extLst>
                  <a:ext uri="{FF2B5EF4-FFF2-40B4-BE49-F238E27FC236}">
                    <a16:creationId xmlns:a16="http://schemas.microsoft.com/office/drawing/2014/main" id="{00000000-0008-0000-0200-0000F400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5" name="Shape 27">
                <a:extLst>
                  <a:ext uri="{FF2B5EF4-FFF2-40B4-BE49-F238E27FC236}">
                    <a16:creationId xmlns:a16="http://schemas.microsoft.com/office/drawing/2014/main" id="{00000000-0008-0000-0200-0000F500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6" name="Shape 26">
                <a:extLst>
                  <a:ext uri="{FF2B5EF4-FFF2-40B4-BE49-F238E27FC236}">
                    <a16:creationId xmlns:a16="http://schemas.microsoft.com/office/drawing/2014/main" id="{00000000-0008-0000-0200-0000F600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243" name="Straight Connector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40" name="Straight Connector 239">
            <a:extLst>
              <a:ext uri="{FF2B5EF4-FFF2-40B4-BE49-F238E27FC236}">
                <a16:creationId xmlns:a16="http://schemas.microsoft.com/office/drawing/2014/main" id="{00000000-0008-0000-0200-0000F000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1" name="Dash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84667</xdr:colOff>
      <xdr:row>27</xdr:row>
      <xdr:rowOff>15290</xdr:rowOff>
    </xdr:from>
    <xdr:to>
      <xdr:col>17</xdr:col>
      <xdr:colOff>81262</xdr:colOff>
      <xdr:row>28</xdr:row>
      <xdr:rowOff>99546</xdr:rowOff>
    </xdr:to>
    <xdr:grpSp>
      <xdr:nvGrpSpPr>
        <xdr:cNvPr id="261" name="3PLoads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4148667" y="5349290"/>
          <a:ext cx="250595" cy="281812"/>
          <a:chOff x="3200401" y="4739690"/>
          <a:chExt cx="250595" cy="287456"/>
        </a:xfrm>
      </xdr:grpSpPr>
      <xdr:cxnSp macro="">
        <xdr:nvCxnSpPr>
          <xdr:cNvPr id="262" name="2P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3" name="3P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77260</xdr:colOff>
      <xdr:row>26</xdr:row>
      <xdr:rowOff>121123</xdr:rowOff>
    </xdr:from>
    <xdr:to>
      <xdr:col>17</xdr:col>
      <xdr:colOff>73854</xdr:colOff>
      <xdr:row>27</xdr:row>
      <xdr:rowOff>107005</xdr:rowOff>
    </xdr:to>
    <xdr:cxnSp macro="">
      <xdr:nvCxnSpPr>
        <xdr:cNvPr id="264" name="watat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H="1">
          <a:off x="4169482" y="5395151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215618</xdr:colOff>
      <xdr:row>3</xdr:row>
      <xdr:rowOff>126742</xdr:rowOff>
    </xdr:from>
    <xdr:to>
      <xdr:col>62</xdr:col>
      <xdr:colOff>130735</xdr:colOff>
      <xdr:row>12</xdr:row>
      <xdr:rowOff>0</xdr:rowOff>
    </xdr:to>
    <xdr:grpSp>
      <xdr:nvGrpSpPr>
        <xdr:cNvPr id="14336" name="BD">
          <a:extLst>
            <a:ext uri="{FF2B5EF4-FFF2-40B4-BE49-F238E27FC236}">
              <a16:creationId xmlns:a16="http://schemas.microsoft.com/office/drawing/2014/main" id="{00000000-0008-0000-0200-000000380000}"/>
            </a:ext>
          </a:extLst>
        </xdr:cNvPr>
        <xdr:cNvGrpSpPr/>
      </xdr:nvGrpSpPr>
      <xdr:grpSpPr>
        <a:xfrm>
          <a:off x="9105618" y="719409"/>
          <a:ext cx="6773117" cy="1651258"/>
          <a:chOff x="9040250" y="743066"/>
          <a:chExt cx="6722691" cy="1722228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>
          <a:xfrm>
            <a:off x="9040250" y="743066"/>
            <a:ext cx="6722691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6" name="Rectangle 265">
            <a:extLst>
              <a:ext uri="{FF2B5EF4-FFF2-40B4-BE49-F238E27FC236}">
                <a16:creationId xmlns:a16="http://schemas.microsoft.com/office/drawing/2014/main" id="{00000000-0008-0000-0200-00000A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7" name="Rectangle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69" name="Straight Connector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164106</xdr:colOff>
      <xdr:row>7</xdr:row>
      <xdr:rowOff>71401</xdr:rowOff>
    </xdr:from>
    <xdr:to>
      <xdr:col>41</xdr:col>
      <xdr:colOff>79646</xdr:colOff>
      <xdr:row>9</xdr:row>
      <xdr:rowOff>56348</xdr:rowOff>
    </xdr:to>
    <xdr:sp macro="" textlink="">
      <xdr:nvSpPr>
        <xdr:cNvPr id="271" name="Tb-b1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9594221" y="1501976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199725</xdr:colOff>
      <xdr:row>7</xdr:row>
      <xdr:rowOff>63227</xdr:rowOff>
    </xdr:from>
    <xdr:to>
      <xdr:col>50</xdr:col>
      <xdr:colOff>115265</xdr:colOff>
      <xdr:row>9</xdr:row>
      <xdr:rowOff>48174</xdr:rowOff>
    </xdr:to>
    <xdr:sp macro="" textlink="">
      <xdr:nvSpPr>
        <xdr:cNvPr id="272" name="Tb-b2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11863288" y="1493802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57</xdr:col>
      <xdr:colOff>16378</xdr:colOff>
      <xdr:row>7</xdr:row>
      <xdr:rowOff>69650</xdr:rowOff>
    </xdr:from>
    <xdr:to>
      <xdr:col>59</xdr:col>
      <xdr:colOff>180079</xdr:colOff>
      <xdr:row>9</xdr:row>
      <xdr:rowOff>54597</xdr:rowOff>
    </xdr:to>
    <xdr:sp macro="" textlink="">
      <xdr:nvSpPr>
        <xdr:cNvPr id="273" name="Tb-b3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14161550" y="1500225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112138</xdr:colOff>
      <xdr:row>6</xdr:row>
      <xdr:rowOff>150812</xdr:rowOff>
    </xdr:from>
    <xdr:to>
      <xdr:col>46</xdr:col>
      <xdr:colOff>27679</xdr:colOff>
      <xdr:row>8</xdr:row>
      <xdr:rowOff>135758</xdr:rowOff>
    </xdr:to>
    <xdr:sp macro="" textlink="">
      <xdr:nvSpPr>
        <xdr:cNvPr id="274" name="Tb-l1a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10783058" y="1377019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118561</xdr:colOff>
      <xdr:row>7</xdr:row>
      <xdr:rowOff>201028</xdr:rowOff>
    </xdr:from>
    <xdr:to>
      <xdr:col>46</xdr:col>
      <xdr:colOff>34102</xdr:colOff>
      <xdr:row>9</xdr:row>
      <xdr:rowOff>185975</xdr:rowOff>
    </xdr:to>
    <xdr:sp macro="" textlink="">
      <xdr:nvSpPr>
        <xdr:cNvPr id="275" name="Tb-l1b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10789481" y="163160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66593</xdr:colOff>
      <xdr:row>8</xdr:row>
      <xdr:rowOff>17681</xdr:rowOff>
    </xdr:from>
    <xdr:to>
      <xdr:col>54</xdr:col>
      <xdr:colOff>230294</xdr:colOff>
      <xdr:row>10</xdr:row>
      <xdr:rowOff>2628</xdr:rowOff>
    </xdr:to>
    <xdr:sp macro="" textlink="">
      <xdr:nvSpPr>
        <xdr:cNvPr id="276" name="Tb-l2b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12970961" y="1652624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73016</xdr:colOff>
      <xdr:row>6</xdr:row>
      <xdr:rowOff>140886</xdr:rowOff>
    </xdr:from>
    <xdr:to>
      <xdr:col>54</xdr:col>
      <xdr:colOff>236717</xdr:colOff>
      <xdr:row>8</xdr:row>
      <xdr:rowOff>125832</xdr:rowOff>
    </xdr:to>
    <xdr:sp macro="" textlink="">
      <xdr:nvSpPr>
        <xdr:cNvPr id="277" name="Tb-l2a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12977384" y="136709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46</xdr:col>
      <xdr:colOff>181424</xdr:colOff>
      <xdr:row>21</xdr:row>
      <xdr:rowOff>175126</xdr:rowOff>
    </xdr:from>
    <xdr:to>
      <xdr:col>58</xdr:col>
      <xdr:colOff>239310</xdr:colOff>
      <xdr:row>42</xdr:row>
      <xdr:rowOff>22131</xdr:rowOff>
    </xdr:to>
    <xdr:grpSp>
      <xdr:nvGrpSpPr>
        <xdr:cNvPr id="278" name="Parra.A2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GrpSpPr/>
      </xdr:nvGrpSpPr>
      <xdr:grpSpPr>
        <a:xfrm>
          <a:off x="11865424" y="4323793"/>
          <a:ext cx="3105886" cy="3995671"/>
          <a:chOff x="11764916" y="1681198"/>
          <a:chExt cx="3106244" cy="4236144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200-000017010000}"/>
              </a:ext>
            </a:extLst>
          </xdr:cNvPr>
          <xdr:cNvGrpSpPr/>
        </xdr:nvGrpSpPr>
        <xdr:grpSpPr>
          <a:xfrm>
            <a:off x="11764916" y="1681198"/>
            <a:ext cx="3104115" cy="4236144"/>
            <a:chOff x="7816995" y="6041149"/>
            <a:chExt cx="3104129" cy="3953116"/>
          </a:xfrm>
        </xdr:grpSpPr>
        <xdr:grpSp>
          <xdr:nvGrpSpPr>
            <xdr:cNvPr id="281" name="Group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GrpSpPr/>
          </xdr:nvGrpSpPr>
          <xdr:grpSpPr>
            <a:xfrm>
              <a:off x="7851537" y="6041149"/>
              <a:ext cx="3069587" cy="1214493"/>
              <a:chOff x="7344413" y="3624645"/>
              <a:chExt cx="3069587" cy="1214493"/>
            </a:xfrm>
          </xdr:grpSpPr>
          <xdr:grpSp>
            <xdr:nvGrpSpPr>
              <xdr:cNvPr id="286" name="Group 285">
                <a:extLst>
                  <a:ext uri="{FF2B5EF4-FFF2-40B4-BE49-F238E27FC236}">
                    <a16:creationId xmlns:a16="http://schemas.microsoft.com/office/drawing/2014/main" id="{00000000-0008-0000-0200-00001E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88" name="Group 287">
                  <a:extLst>
                    <a:ext uri="{FF2B5EF4-FFF2-40B4-BE49-F238E27FC236}">
                      <a16:creationId xmlns:a16="http://schemas.microsoft.com/office/drawing/2014/main" id="{00000000-0008-0000-0200-000020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90" name="Group 289">
                    <a:extLst>
                      <a:ext uri="{FF2B5EF4-FFF2-40B4-BE49-F238E27FC236}">
                        <a16:creationId xmlns:a16="http://schemas.microsoft.com/office/drawing/2014/main" id="{00000000-0008-0000-0200-000022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99" name="Shape 46">
                      <a:extLst>
                        <a:ext uri="{FF2B5EF4-FFF2-40B4-BE49-F238E27FC236}">
                          <a16:creationId xmlns:a16="http://schemas.microsoft.com/office/drawing/2014/main" id="{00000000-0008-0000-0200-00002B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00" name="Rectangle 299">
                      <a:extLst>
                        <a:ext uri="{FF2B5EF4-FFF2-40B4-BE49-F238E27FC236}">
                          <a16:creationId xmlns:a16="http://schemas.microsoft.com/office/drawing/2014/main" id="{00000000-0008-0000-0200-00002C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01" name="Shape 46">
                      <a:extLst>
                        <a:ext uri="{FF2B5EF4-FFF2-40B4-BE49-F238E27FC236}">
                          <a16:creationId xmlns:a16="http://schemas.microsoft.com/office/drawing/2014/main" id="{00000000-0008-0000-0200-00002D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91" name="Group 290">
                    <a:extLst>
                      <a:ext uri="{FF2B5EF4-FFF2-40B4-BE49-F238E27FC236}">
                        <a16:creationId xmlns:a16="http://schemas.microsoft.com/office/drawing/2014/main" id="{00000000-0008-0000-0200-000023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96" name="Shape 46">
                      <a:extLst>
                        <a:ext uri="{FF2B5EF4-FFF2-40B4-BE49-F238E27FC236}">
                          <a16:creationId xmlns:a16="http://schemas.microsoft.com/office/drawing/2014/main" id="{00000000-0008-0000-0200-000028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97" name="Rectangle 296">
                      <a:extLst>
                        <a:ext uri="{FF2B5EF4-FFF2-40B4-BE49-F238E27FC236}">
                          <a16:creationId xmlns:a16="http://schemas.microsoft.com/office/drawing/2014/main" id="{00000000-0008-0000-0200-000029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98" name="Shape 46">
                      <a:extLst>
                        <a:ext uri="{FF2B5EF4-FFF2-40B4-BE49-F238E27FC236}">
                          <a16:creationId xmlns:a16="http://schemas.microsoft.com/office/drawing/2014/main" id="{00000000-0008-0000-0200-00002A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92" name="Shape 27">
                    <a:extLst>
                      <a:ext uri="{FF2B5EF4-FFF2-40B4-BE49-F238E27FC236}">
                        <a16:creationId xmlns:a16="http://schemas.microsoft.com/office/drawing/2014/main" id="{00000000-0008-0000-0200-000024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3" name="Shape 27">
                    <a:extLst>
                      <a:ext uri="{FF2B5EF4-FFF2-40B4-BE49-F238E27FC236}">
                        <a16:creationId xmlns:a16="http://schemas.microsoft.com/office/drawing/2014/main" id="{00000000-0008-0000-0200-000025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4" name="Shape 27">
                    <a:extLst>
                      <a:ext uri="{FF2B5EF4-FFF2-40B4-BE49-F238E27FC236}">
                        <a16:creationId xmlns:a16="http://schemas.microsoft.com/office/drawing/2014/main" id="{00000000-0008-0000-0200-000026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5" name="Shape 27">
                    <a:extLst>
                      <a:ext uri="{FF2B5EF4-FFF2-40B4-BE49-F238E27FC236}">
                        <a16:creationId xmlns:a16="http://schemas.microsoft.com/office/drawing/2014/main" id="{00000000-0008-0000-0200-000027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89" name="Elbow Connector 288">
                  <a:extLst>
                    <a:ext uri="{FF2B5EF4-FFF2-40B4-BE49-F238E27FC236}">
                      <a16:creationId xmlns:a16="http://schemas.microsoft.com/office/drawing/2014/main" id="{00000000-0008-0000-0200-000021010000}"/>
                    </a:ext>
                  </a:extLst>
                </xdr:cNvPr>
                <xdr:cNvCxnSpPr>
                  <a:stCxn id="297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87" name="Straight Connector 286">
                <a:extLst>
                  <a:ext uri="{FF2B5EF4-FFF2-40B4-BE49-F238E27FC236}">
                    <a16:creationId xmlns:a16="http://schemas.microsoft.com/office/drawing/2014/main" id="{00000000-0008-0000-0200-00001F010000}"/>
                  </a:ext>
                </a:extLst>
              </xdr:cNvPr>
              <xdr:cNvCxnSpPr>
                <a:stCxn id="300" idx="1"/>
              </xdr:cNvCxnSpPr>
            </xdr:nvCxnSpPr>
            <xdr:spPr>
              <a:xfrm flipH="1">
                <a:off x="7344413" y="4027589"/>
                <a:ext cx="1293176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82" name="Straight Connector 281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CxnSpPr/>
          </xdr:nvCxnSpPr>
          <xdr:spPr>
            <a:xfrm>
              <a:off x="8133572" y="7259130"/>
              <a:ext cx="0" cy="270312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" name="Straight Connector 282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CxnSpPr/>
          </xdr:nvCxnSpPr>
          <xdr:spPr>
            <a:xfrm>
              <a:off x="7843922" y="6441788"/>
              <a:ext cx="0" cy="331440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84" name="Shape 27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7816995" y="9727012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5" name="Shape 27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/>
          </xdr:nvSpPr>
          <xdr:spPr>
            <a:xfrm>
              <a:off x="8103131" y="9928533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80" name="Straight Connector 279">
            <a:extLst>
              <a:ext uri="{FF2B5EF4-FFF2-40B4-BE49-F238E27FC236}">
                <a16:creationId xmlns:a16="http://schemas.microsoft.com/office/drawing/2014/main" id="{00000000-0008-0000-0200-000018010000}"/>
              </a:ext>
            </a:extLst>
          </xdr:cNvPr>
          <xdr:cNvCxnSpPr/>
        </xdr:nvCxnSpPr>
        <xdr:spPr>
          <a:xfrm flipH="1">
            <a:off x="12088038" y="2978366"/>
            <a:ext cx="278312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5500" y="221606"/>
          <a:ext cx="6629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183279</xdr:colOff>
      <xdr:row>69</xdr:row>
      <xdr:rowOff>102595</xdr:rowOff>
    </xdr:from>
    <xdr:to>
      <xdr:col>22</xdr:col>
      <xdr:colOff>77689</xdr:colOff>
      <xdr:row>72</xdr:row>
      <xdr:rowOff>74743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3279" y="14123395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6855</xdr:colOff>
      <xdr:row>21</xdr:row>
      <xdr:rowOff>92029</xdr:rowOff>
    </xdr:from>
    <xdr:to>
      <xdr:col>13</xdr:col>
      <xdr:colOff>8587</xdr:colOff>
      <xdr:row>23</xdr:row>
      <xdr:rowOff>78605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3308855" y="4359229"/>
          <a:ext cx="1732" cy="39297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6865</xdr:colOff>
      <xdr:row>23</xdr:row>
      <xdr:rowOff>67733</xdr:rowOff>
    </xdr:from>
    <xdr:to>
      <xdr:col>13</xdr:col>
      <xdr:colOff>6865</xdr:colOff>
      <xdr:row>25</xdr:row>
      <xdr:rowOff>118533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3308865" y="4741333"/>
          <a:ext cx="0" cy="45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54042</xdr:colOff>
      <xdr:row>25</xdr:row>
      <xdr:rowOff>136714</xdr:rowOff>
    </xdr:from>
    <xdr:to>
      <xdr:col>17</xdr:col>
      <xdr:colOff>152678</xdr:colOff>
      <xdr:row>25</xdr:row>
      <xdr:rowOff>136714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594255" y="5203203"/>
          <a:ext cx="292235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262573" y="5976393"/>
          <a:ext cx="269224" cy="643394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3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3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3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3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3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3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3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3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3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3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3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20</xdr:col>
      <xdr:colOff>93750</xdr:colOff>
      <xdr:row>34</xdr:row>
      <xdr:rowOff>103908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497840" y="771820"/>
          <a:ext cx="4675910" cy="6240888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103987</xdr:rowOff>
    </xdr:from>
    <xdr:to>
      <xdr:col>8</xdr:col>
      <xdr:colOff>87756</xdr:colOff>
      <xdr:row>8</xdr:row>
      <xdr:rowOff>54749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544956" y="1350896"/>
          <a:ext cx="1574800" cy="366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133386</xdr:rowOff>
    </xdr:from>
    <xdr:to>
      <xdr:col>8</xdr:col>
      <xdr:colOff>79289</xdr:colOff>
      <xdr:row>15</xdr:row>
      <xdr:rowOff>171935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536489" y="2211568"/>
          <a:ext cx="1574800" cy="107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38523</xdr:rowOff>
    </xdr:from>
    <xdr:to>
      <xdr:col>8</xdr:col>
      <xdr:colOff>45421</xdr:colOff>
      <xdr:row>19</xdr:row>
      <xdr:rowOff>113881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502621" y="3155796"/>
          <a:ext cx="1574800" cy="906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2154</xdr:rowOff>
    </xdr:from>
    <xdr:to>
      <xdr:col>8</xdr:col>
      <xdr:colOff>79288</xdr:colOff>
      <xdr:row>23</xdr:row>
      <xdr:rowOff>79166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536488" y="4158518"/>
          <a:ext cx="1574800" cy="700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34</xdr:row>
      <xdr:rowOff>12700</xdr:rowOff>
    </xdr:from>
    <xdr:to>
      <xdr:col>36</xdr:col>
      <xdr:colOff>139700</xdr:colOff>
      <xdr:row>47</xdr:row>
      <xdr:rowOff>135299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pSpPr/>
      </xdr:nvGrpSpPr>
      <xdr:grpSpPr>
        <a:xfrm>
          <a:off x="8301532" y="6921500"/>
          <a:ext cx="982168" cy="2764199"/>
          <a:chOff x="5588000" y="4800600"/>
          <a:chExt cx="762000" cy="1270001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77" name="Shape 5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6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7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0" name="Shape 8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34</xdr:row>
      <xdr:rowOff>29198</xdr:rowOff>
    </xdr:from>
    <xdr:to>
      <xdr:col>40</xdr:col>
      <xdr:colOff>98677</xdr:colOff>
      <xdr:row>38</xdr:row>
      <xdr:rowOff>59180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GrpSpPr/>
      </xdr:nvGrpSpPr>
      <xdr:grpSpPr>
        <a:xfrm>
          <a:off x="9744601" y="6937998"/>
          <a:ext cx="514076" cy="842782"/>
          <a:chOff x="8312729" y="2242252"/>
          <a:chExt cx="516507" cy="808182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84" name="Shape 9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5" name="Shape 38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6" name="Shape 39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7" name="Shape 13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8" name="Shape 3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9" name="Shape 9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0" name="Shape 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1" name="Shape 9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33</xdr:row>
      <xdr:rowOff>170620</xdr:rowOff>
    </xdr:from>
    <xdr:to>
      <xdr:col>59</xdr:col>
      <xdr:colOff>30282</xdr:colOff>
      <xdr:row>40</xdr:row>
      <xdr:rowOff>13580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11067598" y="6876220"/>
          <a:ext cx="3948684" cy="1265360"/>
          <a:chOff x="6463027" y="3629024"/>
          <a:chExt cx="3950973" cy="1216296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127" name="Group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30" name="Group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2" name="Group 131">
                  <a:extLst>
                    <a:ext uri="{FF2B5EF4-FFF2-40B4-BE49-F238E27FC236}">
                      <a16:creationId xmlns:a16="http://schemas.microsoft.com/office/drawing/2014/main" id="{00000000-0008-0000-0300-000084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41" name="Shape 46">
                    <a:extLst>
                      <a:ext uri="{FF2B5EF4-FFF2-40B4-BE49-F238E27FC236}">
                        <a16:creationId xmlns:a16="http://schemas.microsoft.com/office/drawing/2014/main" id="{00000000-0008-0000-0300-00008D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42" name="Rectangle 141">
                    <a:extLst>
                      <a:ext uri="{FF2B5EF4-FFF2-40B4-BE49-F238E27FC236}">
                        <a16:creationId xmlns:a16="http://schemas.microsoft.com/office/drawing/2014/main" id="{00000000-0008-0000-0300-00008E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3" name="Shape 46">
                    <a:extLst>
                      <a:ext uri="{FF2B5EF4-FFF2-40B4-BE49-F238E27FC236}">
                        <a16:creationId xmlns:a16="http://schemas.microsoft.com/office/drawing/2014/main" id="{00000000-0008-0000-0300-00008F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33" name="Group 132">
                  <a:extLst>
                    <a:ext uri="{FF2B5EF4-FFF2-40B4-BE49-F238E27FC236}">
                      <a16:creationId xmlns:a16="http://schemas.microsoft.com/office/drawing/2014/main" id="{00000000-0008-0000-0300-000085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38" name="Shape 46">
                    <a:extLst>
                      <a:ext uri="{FF2B5EF4-FFF2-40B4-BE49-F238E27FC236}">
                        <a16:creationId xmlns:a16="http://schemas.microsoft.com/office/drawing/2014/main" id="{00000000-0008-0000-0300-00008A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9" name="Rectangle 138">
                    <a:extLst>
                      <a:ext uri="{FF2B5EF4-FFF2-40B4-BE49-F238E27FC236}">
                        <a16:creationId xmlns:a16="http://schemas.microsoft.com/office/drawing/2014/main" id="{00000000-0008-0000-0300-00008B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0" name="Shape 46">
                    <a:extLst>
                      <a:ext uri="{FF2B5EF4-FFF2-40B4-BE49-F238E27FC236}">
                        <a16:creationId xmlns:a16="http://schemas.microsoft.com/office/drawing/2014/main" id="{00000000-0008-0000-0300-00008C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34" name="Shape 27">
                  <a:extLst>
                    <a:ext uri="{FF2B5EF4-FFF2-40B4-BE49-F238E27FC236}">
                      <a16:creationId xmlns:a16="http://schemas.microsoft.com/office/drawing/2014/main" id="{00000000-0008-0000-0300-000086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5" name="Shape 27">
                  <a:extLst>
                    <a:ext uri="{FF2B5EF4-FFF2-40B4-BE49-F238E27FC236}">
                      <a16:creationId xmlns:a16="http://schemas.microsoft.com/office/drawing/2014/main" id="{00000000-0008-0000-0300-000087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6" name="Shape 27">
                  <a:extLst>
                    <a:ext uri="{FF2B5EF4-FFF2-40B4-BE49-F238E27FC236}">
                      <a16:creationId xmlns:a16="http://schemas.microsoft.com/office/drawing/2014/main" id="{00000000-0008-0000-0300-000088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7" name="Shape 27">
                  <a:extLst>
                    <a:ext uri="{FF2B5EF4-FFF2-40B4-BE49-F238E27FC236}">
                      <a16:creationId xmlns:a16="http://schemas.microsoft.com/office/drawing/2014/main" id="{00000000-0008-0000-0300-000089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31" name="Elbow Connector 130">
                <a:extLst>
                  <a:ext uri="{FF2B5EF4-FFF2-40B4-BE49-F238E27FC236}">
                    <a16:creationId xmlns:a16="http://schemas.microsoft.com/office/drawing/2014/main" id="{00000000-0008-0000-0300-000083000000}"/>
                  </a:ext>
                </a:extLst>
              </xdr:cNvPr>
              <xdr:cNvCxnSpPr>
                <a:stCxn id="13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28" name="Elbow Connector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CxnSpPr>
              <a:stCxn id="142" idx="1"/>
              <a:endCxn id="12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117" name="Group 116">
              <a:extLst>
                <a:ext uri="{FF2B5EF4-FFF2-40B4-BE49-F238E27FC236}">
                  <a16:creationId xmlns:a16="http://schemas.microsoft.com/office/drawing/2014/main" id="{00000000-0008-0000-0300-000075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119" name="Shape 9">
                <a:extLst>
                  <a:ext uri="{FF2B5EF4-FFF2-40B4-BE49-F238E27FC236}">
                    <a16:creationId xmlns:a16="http://schemas.microsoft.com/office/drawing/2014/main" id="{00000000-0008-0000-0300-000077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0" name="Shape 38">
                <a:extLst>
                  <a:ext uri="{FF2B5EF4-FFF2-40B4-BE49-F238E27FC236}">
                    <a16:creationId xmlns:a16="http://schemas.microsoft.com/office/drawing/2014/main" id="{00000000-0008-0000-0300-000078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1" name="Shape 39">
                <a:extLst>
                  <a:ext uri="{FF2B5EF4-FFF2-40B4-BE49-F238E27FC236}">
                    <a16:creationId xmlns:a16="http://schemas.microsoft.com/office/drawing/2014/main" id="{00000000-0008-0000-0300-000079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2" name="Shape 13">
                <a:extLst>
                  <a:ext uri="{FF2B5EF4-FFF2-40B4-BE49-F238E27FC236}">
                    <a16:creationId xmlns:a16="http://schemas.microsoft.com/office/drawing/2014/main" id="{00000000-0008-0000-0300-00007A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3" name="Shape 37">
                <a:extLst>
                  <a:ext uri="{FF2B5EF4-FFF2-40B4-BE49-F238E27FC236}">
                    <a16:creationId xmlns:a16="http://schemas.microsoft.com/office/drawing/2014/main" id="{00000000-0008-0000-0300-00007B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4" name="Shape 9">
                <a:extLst>
                  <a:ext uri="{FF2B5EF4-FFF2-40B4-BE49-F238E27FC236}">
                    <a16:creationId xmlns:a16="http://schemas.microsoft.com/office/drawing/2014/main" id="{00000000-0008-0000-0300-00007C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5" name="Shape 9">
                <a:extLst>
                  <a:ext uri="{FF2B5EF4-FFF2-40B4-BE49-F238E27FC236}">
                    <a16:creationId xmlns:a16="http://schemas.microsoft.com/office/drawing/2014/main" id="{00000000-0008-0000-0300-00007D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6" name="Shape 9">
                <a:extLst>
                  <a:ext uri="{FF2B5EF4-FFF2-40B4-BE49-F238E27FC236}">
                    <a16:creationId xmlns:a16="http://schemas.microsoft.com/office/drawing/2014/main" id="{00000000-0008-0000-0300-00007E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18" name="Rectangle 117">
              <a:extLst>
                <a:ext uri="{FF2B5EF4-FFF2-40B4-BE49-F238E27FC236}">
                  <a16:creationId xmlns:a16="http://schemas.microsoft.com/office/drawing/2014/main" id="{00000000-0008-0000-0300-000076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GrpSpPr/>
      </xdr:nvGrpSpPr>
      <xdr:grpSpPr>
        <a:xfrm>
          <a:off x="6438900" y="7946190"/>
          <a:ext cx="1017983" cy="564535"/>
          <a:chOff x="6858969" y="6917765"/>
          <a:chExt cx="1015030" cy="545353"/>
        </a:xfrm>
      </xdr:grpSpPr>
      <xdr:sp macro="" textlink="">
        <xdr:nvSpPr>
          <xdr:cNvPr id="145" name="Shape 27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6" name="Shape 27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7" name="Shape 2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11444</xdr:colOff>
      <xdr:row>36</xdr:row>
      <xdr:rowOff>690</xdr:rowOff>
    </xdr:from>
    <xdr:to>
      <xdr:col>44</xdr:col>
      <xdr:colOff>8943</xdr:colOff>
      <xdr:row>36</xdr:row>
      <xdr:rowOff>690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33031444" y="7315890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37</xdr:row>
      <xdr:rowOff>18936</xdr:rowOff>
    </xdr:from>
    <xdr:to>
      <xdr:col>44</xdr:col>
      <xdr:colOff>9301</xdr:colOff>
      <xdr:row>37</xdr:row>
      <xdr:rowOff>18936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CxnSpPr/>
      </xdr:nvCxnSpPr>
      <xdr:spPr>
        <a:xfrm flipH="1">
          <a:off x="33031802" y="7537336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37</xdr:row>
      <xdr:rowOff>1406</xdr:rowOff>
    </xdr:from>
    <xdr:to>
      <xdr:col>38</xdr:col>
      <xdr:colOff>205705</xdr:colOff>
      <xdr:row>37</xdr:row>
      <xdr:rowOff>1406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CxnSpPr/>
      </xdr:nvCxnSpPr>
      <xdr:spPr>
        <a:xfrm flipH="1">
          <a:off x="29855371" y="7519806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36</xdr:row>
      <xdr:rowOff>1764</xdr:rowOff>
    </xdr:from>
    <xdr:to>
      <xdr:col>38</xdr:col>
      <xdr:colOff>197119</xdr:colOff>
      <xdr:row>36</xdr:row>
      <xdr:rowOff>1764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29846785" y="7316964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CxnSpPr/>
      </xdr:nvCxnSpPr>
      <xdr:spPr>
        <a:xfrm flipH="1">
          <a:off x="24032868" y="8326883"/>
          <a:ext cx="25530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110846</xdr:colOff>
      <xdr:row>43</xdr:row>
      <xdr:rowOff>16499</xdr:rowOff>
    </xdr:from>
    <xdr:to>
      <xdr:col>40</xdr:col>
      <xdr:colOff>116922</xdr:colOff>
      <xdr:row>47</xdr:row>
      <xdr:rowOff>43976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9762846" y="8754099"/>
          <a:ext cx="514076" cy="840277"/>
          <a:chOff x="8312729" y="2242252"/>
          <a:chExt cx="516507" cy="808182"/>
        </a:xfrm>
      </xdr:grpSpPr>
      <xdr:grpSp>
        <xdr:nvGrpSpPr>
          <xdr:cNvPr id="158" name="Group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60" name="Shape 9">
              <a:extLst>
                <a:ext uri="{FF2B5EF4-FFF2-40B4-BE49-F238E27FC236}">
                  <a16:creationId xmlns:a16="http://schemas.microsoft.com/office/drawing/2014/main" id="{00000000-0008-0000-0300-0000A0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1" name="Shape 38">
              <a:extLst>
                <a:ext uri="{FF2B5EF4-FFF2-40B4-BE49-F238E27FC236}">
                  <a16:creationId xmlns:a16="http://schemas.microsoft.com/office/drawing/2014/main" id="{00000000-0008-0000-0300-0000A1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2" name="Shape 39">
              <a:extLst>
                <a:ext uri="{FF2B5EF4-FFF2-40B4-BE49-F238E27FC236}">
                  <a16:creationId xmlns:a16="http://schemas.microsoft.com/office/drawing/2014/main" id="{00000000-0008-0000-0300-0000A2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3" name="Shape 13">
              <a:extLst>
                <a:ext uri="{FF2B5EF4-FFF2-40B4-BE49-F238E27FC236}">
                  <a16:creationId xmlns:a16="http://schemas.microsoft.com/office/drawing/2014/main" id="{00000000-0008-0000-0300-0000A3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4" name="Shape 37">
              <a:extLst>
                <a:ext uri="{FF2B5EF4-FFF2-40B4-BE49-F238E27FC236}">
                  <a16:creationId xmlns:a16="http://schemas.microsoft.com/office/drawing/2014/main" id="{00000000-0008-0000-0300-0000A4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5" name="Shape 9">
              <a:extLst>
                <a:ext uri="{FF2B5EF4-FFF2-40B4-BE49-F238E27FC236}">
                  <a16:creationId xmlns:a16="http://schemas.microsoft.com/office/drawing/2014/main" id="{00000000-0008-0000-0300-0000A5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6" name="Shape 9">
              <a:extLst>
                <a:ext uri="{FF2B5EF4-FFF2-40B4-BE49-F238E27FC236}">
                  <a16:creationId xmlns:a16="http://schemas.microsoft.com/office/drawing/2014/main" id="{00000000-0008-0000-0300-0000A6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7" name="Shape 9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36</xdr:col>
      <xdr:colOff>140675</xdr:colOff>
      <xdr:row>46</xdr:row>
      <xdr:rowOff>3648</xdr:rowOff>
    </xdr:from>
    <xdr:to>
      <xdr:col>38</xdr:col>
      <xdr:colOff>209009</xdr:colOff>
      <xdr:row>46</xdr:row>
      <xdr:rowOff>3648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CxnSpPr/>
      </xdr:nvCxnSpPr>
      <xdr:spPr>
        <a:xfrm flipH="1">
          <a:off x="9284675" y="9350848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147030</xdr:colOff>
      <xdr:row>44</xdr:row>
      <xdr:rowOff>192263</xdr:rowOff>
    </xdr:from>
    <xdr:to>
      <xdr:col>38</xdr:col>
      <xdr:colOff>215364</xdr:colOff>
      <xdr:row>44</xdr:row>
      <xdr:rowOff>192263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CxnSpPr/>
      </xdr:nvCxnSpPr>
      <xdr:spPr>
        <a:xfrm flipH="1">
          <a:off x="9291030" y="9133063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209585</xdr:colOff>
      <xdr:row>43</xdr:row>
      <xdr:rowOff>16858</xdr:rowOff>
    </xdr:from>
    <xdr:to>
      <xdr:col>45</xdr:col>
      <xdr:colOff>215661</xdr:colOff>
      <xdr:row>47</xdr:row>
      <xdr:rowOff>44335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GrpSpPr/>
      </xdr:nvGrpSpPr>
      <xdr:grpSpPr>
        <a:xfrm>
          <a:off x="11131585" y="8754458"/>
          <a:ext cx="514076" cy="840277"/>
          <a:chOff x="8312729" y="2242252"/>
          <a:chExt cx="516507" cy="808182"/>
        </a:xfrm>
      </xdr:grpSpPr>
      <xdr:grpSp>
        <xdr:nvGrpSpPr>
          <xdr:cNvPr id="171" name="Group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73" name="Shape 9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4" name="Shape 38">
              <a:extLst>
                <a:ext uri="{FF2B5EF4-FFF2-40B4-BE49-F238E27FC236}">
                  <a16:creationId xmlns:a16="http://schemas.microsoft.com/office/drawing/2014/main" id="{00000000-0008-0000-0300-0000AE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5" name="Shape 39">
              <a:extLst>
                <a:ext uri="{FF2B5EF4-FFF2-40B4-BE49-F238E27FC236}">
                  <a16:creationId xmlns:a16="http://schemas.microsoft.com/office/drawing/2014/main" id="{00000000-0008-0000-0300-0000AF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6" name="Shape 13">
              <a:extLst>
                <a:ext uri="{FF2B5EF4-FFF2-40B4-BE49-F238E27FC236}">
                  <a16:creationId xmlns:a16="http://schemas.microsoft.com/office/drawing/2014/main" id="{00000000-0008-0000-0300-0000B0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7" name="Shape 37">
              <a:extLst>
                <a:ext uri="{FF2B5EF4-FFF2-40B4-BE49-F238E27FC236}">
                  <a16:creationId xmlns:a16="http://schemas.microsoft.com/office/drawing/2014/main" id="{00000000-0008-0000-0300-0000B1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8" name="Shape 9">
              <a:extLst>
                <a:ext uri="{FF2B5EF4-FFF2-40B4-BE49-F238E27FC236}">
                  <a16:creationId xmlns:a16="http://schemas.microsoft.com/office/drawing/2014/main" id="{00000000-0008-0000-0300-0000B2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9" name="Shape 9">
              <a:extLst>
                <a:ext uri="{FF2B5EF4-FFF2-40B4-BE49-F238E27FC236}">
                  <a16:creationId xmlns:a16="http://schemas.microsoft.com/office/drawing/2014/main" id="{00000000-0008-0000-0300-0000B3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0" name="Shape 9">
              <a:extLst>
                <a:ext uri="{FF2B5EF4-FFF2-40B4-BE49-F238E27FC236}">
                  <a16:creationId xmlns:a16="http://schemas.microsoft.com/office/drawing/2014/main" id="{00000000-0008-0000-0300-0000B4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26832</xdr:colOff>
      <xdr:row>45</xdr:row>
      <xdr:rowOff>192265</xdr:rowOff>
    </xdr:from>
    <xdr:to>
      <xdr:col>44</xdr:col>
      <xdr:colOff>72267</xdr:colOff>
      <xdr:row>45</xdr:row>
      <xdr:rowOff>192265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CxnSpPr/>
      </xdr:nvCxnSpPr>
      <xdr:spPr>
        <a:xfrm flipH="1">
          <a:off x="10186832" y="9336265"/>
          <a:ext cx="10614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35776</xdr:colOff>
      <xdr:row>44</xdr:row>
      <xdr:rowOff>192623</xdr:rowOff>
    </xdr:from>
    <xdr:to>
      <xdr:col>44</xdr:col>
      <xdr:colOff>63681</xdr:colOff>
      <xdr:row>44</xdr:row>
      <xdr:rowOff>192623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CxnSpPr/>
      </xdr:nvCxnSpPr>
      <xdr:spPr>
        <a:xfrm flipH="1">
          <a:off x="10195776" y="9133423"/>
          <a:ext cx="104390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125212</xdr:colOff>
      <xdr:row>42</xdr:row>
      <xdr:rowOff>182247</xdr:rowOff>
    </xdr:from>
    <xdr:to>
      <xdr:col>59</xdr:col>
      <xdr:colOff>84302</xdr:colOff>
      <xdr:row>49</xdr:row>
      <xdr:rowOff>27711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1555212" y="8716647"/>
          <a:ext cx="3515090" cy="1267864"/>
          <a:chOff x="6900368" y="3624645"/>
          <a:chExt cx="3518011" cy="1214493"/>
        </a:xfrm>
      </xdr:grpSpPr>
      <xdr:grpSp>
        <xdr:nvGrpSpPr>
          <xdr:cNvPr id="184" name="Group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GrpSpPr/>
        </xdr:nvGrpSpPr>
        <xdr:grpSpPr>
          <a:xfrm>
            <a:off x="8637589" y="3624645"/>
            <a:ext cx="1776411" cy="1214493"/>
            <a:chOff x="8637589" y="3624645"/>
            <a:chExt cx="1776411" cy="1214493"/>
          </a:xfrm>
        </xdr:grpSpPr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300-0000BB00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189" name="Group 188">
                <a:extLst>
                  <a:ext uri="{FF2B5EF4-FFF2-40B4-BE49-F238E27FC236}">
                    <a16:creationId xmlns:a16="http://schemas.microsoft.com/office/drawing/2014/main" id="{00000000-0008-0000-0300-0000BD00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198" name="Shape 46">
                  <a:extLst>
                    <a:ext uri="{FF2B5EF4-FFF2-40B4-BE49-F238E27FC236}">
                      <a16:creationId xmlns:a16="http://schemas.microsoft.com/office/drawing/2014/main" id="{00000000-0008-0000-0300-0000C600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9" name="Rectangle 198">
                  <a:extLst>
                    <a:ext uri="{FF2B5EF4-FFF2-40B4-BE49-F238E27FC236}">
                      <a16:creationId xmlns:a16="http://schemas.microsoft.com/office/drawing/2014/main" id="{00000000-0008-0000-0300-0000C700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00" name="Shape 46">
                  <a:extLst>
                    <a:ext uri="{FF2B5EF4-FFF2-40B4-BE49-F238E27FC236}">
                      <a16:creationId xmlns:a16="http://schemas.microsoft.com/office/drawing/2014/main" id="{00000000-0008-0000-0300-0000C800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190" name="Group 189">
                <a:extLst>
                  <a:ext uri="{FF2B5EF4-FFF2-40B4-BE49-F238E27FC236}">
                    <a16:creationId xmlns:a16="http://schemas.microsoft.com/office/drawing/2014/main" id="{00000000-0008-0000-0300-0000BE00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195" name="Shape 46">
                  <a:extLst>
                    <a:ext uri="{FF2B5EF4-FFF2-40B4-BE49-F238E27FC236}">
                      <a16:creationId xmlns:a16="http://schemas.microsoft.com/office/drawing/2014/main" id="{00000000-0008-0000-0300-0000C300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6" name="Rectangle 195">
                  <a:extLst>
                    <a:ext uri="{FF2B5EF4-FFF2-40B4-BE49-F238E27FC236}">
                      <a16:creationId xmlns:a16="http://schemas.microsoft.com/office/drawing/2014/main" id="{00000000-0008-0000-0300-0000C400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197" name="Shape 46">
                  <a:extLst>
                    <a:ext uri="{FF2B5EF4-FFF2-40B4-BE49-F238E27FC236}">
                      <a16:creationId xmlns:a16="http://schemas.microsoft.com/office/drawing/2014/main" id="{00000000-0008-0000-0300-0000C500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91" name="Shape 27">
                <a:extLst>
                  <a:ext uri="{FF2B5EF4-FFF2-40B4-BE49-F238E27FC236}">
                    <a16:creationId xmlns:a16="http://schemas.microsoft.com/office/drawing/2014/main" id="{00000000-0008-0000-0300-0000BF00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7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88" name="Elbow Connector 187">
              <a:extLst>
                <a:ext uri="{FF2B5EF4-FFF2-40B4-BE49-F238E27FC236}">
                  <a16:creationId xmlns:a16="http://schemas.microsoft.com/office/drawing/2014/main" id="{00000000-0008-0000-0300-0000BC000000}"/>
                </a:ext>
              </a:extLst>
            </xdr:cNvPr>
            <xdr:cNvCxnSpPr>
              <a:stCxn id="196" idx="3"/>
            </xdr:cNvCxnSpPr>
          </xdr:nvCxnSpPr>
          <xdr:spPr>
            <a:xfrm>
              <a:off x="10162348" y="4031581"/>
              <a:ext cx="251652" cy="807557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5" name="Elbow Connector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CxnSpPr/>
        </xdr:nvCxnSpPr>
        <xdr:spPr>
          <a:xfrm>
            <a:off x="6907649" y="4221491"/>
            <a:ext cx="3510730" cy="617647"/>
          </a:xfrm>
          <a:prstGeom prst="bentConnector3">
            <a:avLst>
              <a:gd name="adj1" fmla="val 40132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CxnSpPr>
            <a:cxnSpLocks/>
            <a:stCxn id="199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10731500" y="8317286"/>
          <a:ext cx="10011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128417</xdr:rowOff>
    </xdr:from>
    <xdr:to>
      <xdr:col>13</xdr:col>
      <xdr:colOff>5396</xdr:colOff>
      <xdr:row>41</xdr:row>
      <xdr:rowOff>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CxnSpPr/>
      </xdr:nvCxnSpPr>
      <xdr:spPr>
        <a:xfrm>
          <a:off x="10736896" y="6630817"/>
          <a:ext cx="0" cy="170038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139013</xdr:colOff>
      <xdr:row>24</xdr:row>
      <xdr:rowOff>0</xdr:rowOff>
    </xdr:from>
    <xdr:to>
      <xdr:col>61</xdr:col>
      <xdr:colOff>169333</xdr:colOff>
      <xdr:row>50</xdr:row>
      <xdr:rowOff>22577</xdr:rowOff>
    </xdr:to>
    <xdr:sp macro="" textlink="">
      <xdr:nvSpPr>
        <xdr:cNvPr id="209" name="Dash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10807013" y="4876800"/>
          <a:ext cx="4856320" cy="530577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167103</xdr:colOff>
      <xdr:row>49</xdr:row>
      <xdr:rowOff>198977</xdr:rowOff>
    </xdr:from>
    <xdr:to>
      <xdr:col>62</xdr:col>
      <xdr:colOff>167102</xdr:colOff>
      <xdr:row>51</xdr:row>
      <xdr:rowOff>191934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GrpSpPr/>
      </xdr:nvGrpSpPr>
      <xdr:grpSpPr>
        <a:xfrm>
          <a:off x="15407103" y="10155777"/>
          <a:ext cx="507999" cy="399357"/>
          <a:chOff x="10160000" y="2820276"/>
          <a:chExt cx="508000" cy="401148"/>
        </a:xfrm>
      </xdr:grpSpPr>
      <xdr:grpSp>
        <xdr:nvGrpSpPr>
          <xdr:cNvPr id="211" name="Group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300-0000D5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300-0000D6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218" name="3PL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GrpSpPr/>
      </xdr:nvGrpSpPr>
      <xdr:grpSpPr>
        <a:xfrm>
          <a:off x="2034559" y="508968"/>
          <a:ext cx="603322" cy="3822688"/>
          <a:chOff x="10975311" y="1118934"/>
          <a:chExt cx="590576" cy="4001288"/>
        </a:xfrm>
      </xdr:grpSpPr>
      <xdr:grpSp>
        <xdr:nvGrpSpPr>
          <xdr:cNvPr id="219" name="Group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27" name="Oval 226">
              <a:extLst>
                <a:ext uri="{FF2B5EF4-FFF2-40B4-BE49-F238E27FC236}">
                  <a16:creationId xmlns:a16="http://schemas.microsoft.com/office/drawing/2014/main" id="{00000000-0008-0000-0300-0000E3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8" name="Shape 27">
              <a:extLst>
                <a:ext uri="{FF2B5EF4-FFF2-40B4-BE49-F238E27FC236}">
                  <a16:creationId xmlns:a16="http://schemas.microsoft.com/office/drawing/2014/main" id="{00000000-0008-0000-0300-0000E4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9" name="Shape 22">
              <a:extLst>
                <a:ext uri="{FF2B5EF4-FFF2-40B4-BE49-F238E27FC236}">
                  <a16:creationId xmlns:a16="http://schemas.microsoft.com/office/drawing/2014/main" id="{00000000-0008-0000-0300-0000E5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30" name="Shape 27">
              <a:extLst>
                <a:ext uri="{FF2B5EF4-FFF2-40B4-BE49-F238E27FC236}">
                  <a16:creationId xmlns:a16="http://schemas.microsoft.com/office/drawing/2014/main" id="{00000000-0008-0000-0300-0000E6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1" name="Shape 27">
              <a:extLst>
                <a:ext uri="{FF2B5EF4-FFF2-40B4-BE49-F238E27FC236}">
                  <a16:creationId xmlns:a16="http://schemas.microsoft.com/office/drawing/2014/main" id="{00000000-0008-0000-0300-0000E7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2" name="Shape 26">
              <a:extLst>
                <a:ext uri="{FF2B5EF4-FFF2-40B4-BE49-F238E27FC236}">
                  <a16:creationId xmlns:a16="http://schemas.microsoft.com/office/drawing/2014/main" id="{00000000-0008-0000-0300-0000E8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20" name="Group 219">
            <a:extLst>
              <a:ext uri="{FF2B5EF4-FFF2-40B4-BE49-F238E27FC236}">
                <a16:creationId xmlns:a16="http://schemas.microsoft.com/office/drawing/2014/main" id="{00000000-0008-0000-0300-0000DC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21" name="Shape 18">
              <a:extLst>
                <a:ext uri="{FF2B5EF4-FFF2-40B4-BE49-F238E27FC236}">
                  <a16:creationId xmlns:a16="http://schemas.microsoft.com/office/drawing/2014/main" id="{00000000-0008-0000-0300-0000DD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2" name="Shape 18">
              <a:extLst>
                <a:ext uri="{FF2B5EF4-FFF2-40B4-BE49-F238E27FC236}">
                  <a16:creationId xmlns:a16="http://schemas.microsoft.com/office/drawing/2014/main" id="{00000000-0008-0000-0300-0000DE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300-0000DF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" name="Straight Connector 223">
              <a:extLst>
                <a:ext uri="{FF2B5EF4-FFF2-40B4-BE49-F238E27FC236}">
                  <a16:creationId xmlns:a16="http://schemas.microsoft.com/office/drawing/2014/main" id="{00000000-0008-0000-0300-0000E0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" name="Straight Connector 224">
              <a:extLst>
                <a:ext uri="{FF2B5EF4-FFF2-40B4-BE49-F238E27FC236}">
                  <a16:creationId xmlns:a16="http://schemas.microsoft.com/office/drawing/2014/main" id="{00000000-0008-0000-0300-0000E1000000}"/>
                </a:ext>
              </a:extLst>
            </xdr:cNvPr>
            <xdr:cNvCxnSpPr>
              <a:endCxn id="222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6" name="Rectangle 225">
              <a:extLst>
                <a:ext uri="{FF2B5EF4-FFF2-40B4-BE49-F238E27FC236}">
                  <a16:creationId xmlns:a16="http://schemas.microsoft.com/office/drawing/2014/main" id="{00000000-0008-0000-0300-0000E2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13</xdr:col>
      <xdr:colOff>6865</xdr:colOff>
      <xdr:row>25</xdr:row>
      <xdr:rowOff>135466</xdr:rowOff>
    </xdr:from>
    <xdr:to>
      <xdr:col>13</xdr:col>
      <xdr:colOff>6865</xdr:colOff>
      <xdr:row>29</xdr:row>
      <xdr:rowOff>84667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CxnSpPr/>
      </xdr:nvCxnSpPr>
      <xdr:spPr>
        <a:xfrm>
          <a:off x="3308865" y="5215466"/>
          <a:ext cx="0" cy="76200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35</xdr:row>
      <xdr:rowOff>57729</xdr:rowOff>
    </xdr:from>
    <xdr:to>
      <xdr:col>13</xdr:col>
      <xdr:colOff>137450</xdr:colOff>
      <xdr:row>36</xdr:row>
      <xdr:rowOff>43861</xdr:rowOff>
    </xdr:to>
    <xdr:cxnSp macro="">
      <xdr:nvCxnSpPr>
        <xdr:cNvPr id="246" name="2P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CxnSpPr/>
      </xdr:nvCxnSpPr>
      <xdr:spPr>
        <a:xfrm flipH="1">
          <a:off x="3188855" y="7169729"/>
          <a:ext cx="250595" cy="18933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22</xdr:row>
      <xdr:rowOff>193196</xdr:rowOff>
    </xdr:from>
    <xdr:to>
      <xdr:col>13</xdr:col>
      <xdr:colOff>137450</xdr:colOff>
      <xdr:row>24</xdr:row>
      <xdr:rowOff>72098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188855" y="4663596"/>
          <a:ext cx="250595" cy="285302"/>
          <a:chOff x="3142673" y="4638196"/>
          <a:chExt cx="246747" cy="282993"/>
        </a:xfrm>
      </xdr:grpSpPr>
      <xdr:cxnSp macro="">
        <xdr:nvCxnSpPr>
          <xdr:cNvPr id="248" name="2P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CxnSpPr/>
        </xdr:nvCxnSpPr>
        <xdr:spPr>
          <a:xfrm flipH="1">
            <a:off x="3142673" y="4638196"/>
            <a:ext cx="246747" cy="1881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3P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CxnSpPr/>
        </xdr:nvCxnSpPr>
        <xdr:spPr>
          <a:xfrm flipH="1">
            <a:off x="3142673" y="4738988"/>
            <a:ext cx="246747" cy="18220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136249</xdr:colOff>
      <xdr:row>22</xdr:row>
      <xdr:rowOff>86951</xdr:rowOff>
    </xdr:from>
    <xdr:to>
      <xdr:col>13</xdr:col>
      <xdr:colOff>132844</xdr:colOff>
      <xdr:row>23</xdr:row>
      <xdr:rowOff>67382</xdr:rowOff>
    </xdr:to>
    <xdr:cxnSp macro="">
      <xdr:nvCxnSpPr>
        <xdr:cNvPr id="251" name="3P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CxnSpPr/>
      </xdr:nvCxnSpPr>
      <xdr:spPr>
        <a:xfrm flipH="1">
          <a:off x="3184249" y="4658951"/>
          <a:ext cx="250595" cy="18824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241434</xdr:colOff>
      <xdr:row>25</xdr:row>
      <xdr:rowOff>149346</xdr:rowOff>
    </xdr:from>
    <xdr:to>
      <xdr:col>16</xdr:col>
      <xdr:colOff>241434</xdr:colOff>
      <xdr:row>29</xdr:row>
      <xdr:rowOff>98547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CxnSpPr/>
      </xdr:nvCxnSpPr>
      <xdr:spPr>
        <a:xfrm>
          <a:off x="4349849" y="5180767"/>
          <a:ext cx="0" cy="75422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193476</xdr:colOff>
      <xdr:row>29</xdr:row>
      <xdr:rowOff>90255</xdr:rowOff>
    </xdr:from>
    <xdr:to>
      <xdr:col>17</xdr:col>
      <xdr:colOff>208700</xdr:colOff>
      <xdr:row>32</xdr:row>
      <xdr:rowOff>124049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GrpSpPr/>
      </xdr:nvGrpSpPr>
      <xdr:grpSpPr>
        <a:xfrm>
          <a:off x="4257476" y="5983055"/>
          <a:ext cx="269224" cy="643394"/>
          <a:chOff x="3291679" y="5440218"/>
          <a:chExt cx="275787" cy="639287"/>
        </a:xfrm>
      </xdr:grpSpPr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56" name="Shape 27">
              <a:extLst>
                <a:ext uri="{FF2B5EF4-FFF2-40B4-BE49-F238E27FC236}">
                  <a16:creationId xmlns:a16="http://schemas.microsoft.com/office/drawing/2014/main" id="{00000000-0008-0000-0300-00000001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7" name="Shape 27">
              <a:extLst>
                <a:ext uri="{FF2B5EF4-FFF2-40B4-BE49-F238E27FC236}">
                  <a16:creationId xmlns:a16="http://schemas.microsoft.com/office/drawing/2014/main" id="{00000000-0008-0000-0300-00000101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8" name="Shape 26">
              <a:extLst>
                <a:ext uri="{FF2B5EF4-FFF2-40B4-BE49-F238E27FC236}">
                  <a16:creationId xmlns:a16="http://schemas.microsoft.com/office/drawing/2014/main" id="{00000000-0008-0000-0300-00000201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55" name="Straight Connector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237705</xdr:colOff>
      <xdr:row>32</xdr:row>
      <xdr:rowOff>124030</xdr:rowOff>
    </xdr:from>
    <xdr:to>
      <xdr:col>16</xdr:col>
      <xdr:colOff>237705</xdr:colOff>
      <xdr:row>33</xdr:row>
      <xdr:rowOff>125813</xdr:rowOff>
    </xdr:to>
    <xdr:sp macro="" textlink="">
      <xdr:nvSpPr>
        <xdr:cNvPr id="259" name="Shape 1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/>
      </xdr:nvSpPr>
      <xdr:spPr>
        <a:xfrm flipH="1">
          <a:off x="4262439" y="6602871"/>
          <a:ext cx="0" cy="204246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8</xdr:col>
      <xdr:colOff>0</xdr:colOff>
      <xdr:row>17</xdr:row>
      <xdr:rowOff>84667</xdr:rowOff>
    </xdr:from>
    <xdr:to>
      <xdr:col>18</xdr:col>
      <xdr:colOff>25630</xdr:colOff>
      <xdr:row>18</xdr:row>
      <xdr:rowOff>102268</xdr:rowOff>
    </xdr:to>
    <xdr:grpSp>
      <xdr:nvGrpSpPr>
        <xdr:cNvPr id="234" name="CONS3P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GrpSpPr/>
      </xdr:nvGrpSpPr>
      <xdr:grpSpPr>
        <a:xfrm>
          <a:off x="2032000" y="3539067"/>
          <a:ext cx="2565630" cy="220801"/>
          <a:chOff x="2006600" y="3606800"/>
          <a:chExt cx="2626369" cy="216936"/>
        </a:xfrm>
      </xdr:grpSpPr>
      <xdr:sp macro="" textlink="">
        <xdr:nvSpPr>
          <xdr:cNvPr id="235" name="bo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6" name="boxdash1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300-0000ED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152400</xdr:colOff>
      <xdr:row>35</xdr:row>
      <xdr:rowOff>152400</xdr:rowOff>
    </xdr:from>
    <xdr:to>
      <xdr:col>13</xdr:col>
      <xdr:colOff>143473</xdr:colOff>
      <xdr:row>37</xdr:row>
      <xdr:rowOff>36188</xdr:rowOff>
    </xdr:to>
    <xdr:grpSp>
      <xdr:nvGrpSpPr>
        <xdr:cNvPr id="238" name="3PInv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GrpSpPr/>
      </xdr:nvGrpSpPr>
      <xdr:grpSpPr>
        <a:xfrm>
          <a:off x="3200400" y="7264400"/>
          <a:ext cx="245073" cy="290188"/>
          <a:chOff x="3200401" y="7248667"/>
          <a:chExt cx="250595" cy="282458"/>
        </a:xfrm>
      </xdr:grpSpPr>
      <xdr:cxnSp macro="">
        <xdr:nvCxnSpPr>
          <xdr:cNvPr id="239" name="2P">
            <a:extLst>
              <a:ext uri="{FF2B5EF4-FFF2-40B4-BE49-F238E27FC236}">
                <a16:creationId xmlns:a16="http://schemas.microsoft.com/office/drawing/2014/main" id="{00000000-0008-0000-0300-0000EF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3P">
            <a:extLst>
              <a:ext uri="{FF2B5EF4-FFF2-40B4-BE49-F238E27FC236}">
                <a16:creationId xmlns:a16="http://schemas.microsoft.com/office/drawing/2014/main" id="{00000000-0008-0000-0300-0000F0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48</xdr:col>
      <xdr:colOff>140619</xdr:colOff>
      <xdr:row>24</xdr:row>
      <xdr:rowOff>186268</xdr:rowOff>
    </xdr:from>
    <xdr:to>
      <xdr:col>59</xdr:col>
      <xdr:colOff>73821</xdr:colOff>
      <xdr:row>37</xdr:row>
      <xdr:rowOff>27416</xdr:rowOff>
    </xdr:to>
    <xdr:grpSp>
      <xdr:nvGrpSpPr>
        <xdr:cNvPr id="241" name="Parra.A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GrpSpPr/>
      </xdr:nvGrpSpPr>
      <xdr:grpSpPr>
        <a:xfrm>
          <a:off x="12332619" y="5063068"/>
          <a:ext cx="2727202" cy="2482748"/>
          <a:chOff x="12083808" y="1681201"/>
          <a:chExt cx="2787353" cy="2508138"/>
        </a:xfrm>
      </xdr:grpSpPr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GrpSpPr/>
        </xdr:nvGrpSpPr>
        <xdr:grpSpPr>
          <a:xfrm>
            <a:off x="12083808" y="1681201"/>
            <a:ext cx="2785223" cy="2508138"/>
            <a:chOff x="8135888" y="6041149"/>
            <a:chExt cx="2785236" cy="2340562"/>
          </a:xfrm>
        </xdr:grpSpPr>
        <xdr:grpSp>
          <xdr:nvGrpSpPr>
            <xdr:cNvPr id="245" name="Group 244">
              <a:extLst>
                <a:ext uri="{FF2B5EF4-FFF2-40B4-BE49-F238E27FC236}">
                  <a16:creationId xmlns:a16="http://schemas.microsoft.com/office/drawing/2014/main" id="{00000000-0008-0000-0300-0000F5000000}"/>
                </a:ext>
              </a:extLst>
            </xdr:cNvPr>
            <xdr:cNvGrpSpPr/>
          </xdr:nvGrpSpPr>
          <xdr:grpSpPr>
            <a:xfrm>
              <a:off x="8162425" y="6041149"/>
              <a:ext cx="2758699" cy="1214493"/>
              <a:chOff x="7655301" y="3624645"/>
              <a:chExt cx="2758699" cy="1214493"/>
            </a:xfrm>
          </xdr:grpSpPr>
          <xdr:grpSp>
            <xdr:nvGrpSpPr>
              <xdr:cNvPr id="262" name="Group 261">
                <a:extLst>
                  <a:ext uri="{FF2B5EF4-FFF2-40B4-BE49-F238E27FC236}">
                    <a16:creationId xmlns:a16="http://schemas.microsoft.com/office/drawing/2014/main" id="{00000000-0008-0000-0300-000006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64" name="Group 263">
                  <a:extLst>
                    <a:ext uri="{FF2B5EF4-FFF2-40B4-BE49-F238E27FC236}">
                      <a16:creationId xmlns:a16="http://schemas.microsoft.com/office/drawing/2014/main" id="{00000000-0008-0000-0300-000008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66" name="Group 265">
                    <a:extLst>
                      <a:ext uri="{FF2B5EF4-FFF2-40B4-BE49-F238E27FC236}">
                        <a16:creationId xmlns:a16="http://schemas.microsoft.com/office/drawing/2014/main" id="{00000000-0008-0000-0300-00000A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75" name="Shape 46">
                      <a:extLst>
                        <a:ext uri="{FF2B5EF4-FFF2-40B4-BE49-F238E27FC236}">
                          <a16:creationId xmlns:a16="http://schemas.microsoft.com/office/drawing/2014/main" id="{00000000-0008-0000-0300-000013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6" name="Rectangle 275">
                      <a:extLst>
                        <a:ext uri="{FF2B5EF4-FFF2-40B4-BE49-F238E27FC236}">
                          <a16:creationId xmlns:a16="http://schemas.microsoft.com/office/drawing/2014/main" id="{00000000-0008-0000-0300-000014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7" name="Shape 46">
                      <a:extLst>
                        <a:ext uri="{FF2B5EF4-FFF2-40B4-BE49-F238E27FC236}">
                          <a16:creationId xmlns:a16="http://schemas.microsoft.com/office/drawing/2014/main" id="{00000000-0008-0000-0300-000015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67" name="Group 266">
                    <a:extLst>
                      <a:ext uri="{FF2B5EF4-FFF2-40B4-BE49-F238E27FC236}">
                        <a16:creationId xmlns:a16="http://schemas.microsoft.com/office/drawing/2014/main" id="{00000000-0008-0000-0300-00000B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72" name="Shape 46">
                      <a:extLst>
                        <a:ext uri="{FF2B5EF4-FFF2-40B4-BE49-F238E27FC236}">
                          <a16:creationId xmlns:a16="http://schemas.microsoft.com/office/drawing/2014/main" id="{00000000-0008-0000-0300-000010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3" name="Rectangle 272">
                      <a:extLst>
                        <a:ext uri="{FF2B5EF4-FFF2-40B4-BE49-F238E27FC236}">
                          <a16:creationId xmlns:a16="http://schemas.microsoft.com/office/drawing/2014/main" id="{00000000-0008-0000-0300-000011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4" name="Shape 46">
                      <a:extLst>
                        <a:ext uri="{FF2B5EF4-FFF2-40B4-BE49-F238E27FC236}">
                          <a16:creationId xmlns:a16="http://schemas.microsoft.com/office/drawing/2014/main" id="{00000000-0008-0000-0300-000012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68" name="Shape 27">
                    <a:extLst>
                      <a:ext uri="{FF2B5EF4-FFF2-40B4-BE49-F238E27FC236}">
                        <a16:creationId xmlns:a16="http://schemas.microsoft.com/office/drawing/2014/main" id="{00000000-0008-0000-0300-00000C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69" name="Shape 27">
                    <a:extLst>
                      <a:ext uri="{FF2B5EF4-FFF2-40B4-BE49-F238E27FC236}">
                        <a16:creationId xmlns:a16="http://schemas.microsoft.com/office/drawing/2014/main" id="{00000000-0008-0000-0300-00000D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0" name="Shape 27">
                    <a:extLst>
                      <a:ext uri="{FF2B5EF4-FFF2-40B4-BE49-F238E27FC236}">
                        <a16:creationId xmlns:a16="http://schemas.microsoft.com/office/drawing/2014/main" id="{00000000-0008-0000-0300-00000E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1" name="Shape 27">
                    <a:extLst>
                      <a:ext uri="{FF2B5EF4-FFF2-40B4-BE49-F238E27FC236}">
                        <a16:creationId xmlns:a16="http://schemas.microsoft.com/office/drawing/2014/main" id="{00000000-0008-0000-0300-00000F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65" name="Elbow Connector 264">
                  <a:extLst>
                    <a:ext uri="{FF2B5EF4-FFF2-40B4-BE49-F238E27FC236}">
                      <a16:creationId xmlns:a16="http://schemas.microsoft.com/office/drawing/2014/main" id="{00000000-0008-0000-0300-000009010000}"/>
                    </a:ext>
                  </a:extLst>
                </xdr:cNvPr>
                <xdr:cNvCxnSpPr>
                  <a:stCxn id="273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63" name="Straight Connector 262">
                <a:extLst>
                  <a:ext uri="{FF2B5EF4-FFF2-40B4-BE49-F238E27FC236}">
                    <a16:creationId xmlns:a16="http://schemas.microsoft.com/office/drawing/2014/main" id="{00000000-0008-0000-0300-000007010000}"/>
                  </a:ext>
                </a:extLst>
              </xdr:cNvPr>
              <xdr:cNvCxnSpPr>
                <a:stCxn id="276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7" name="Straight Connector 246">
              <a:extLst>
                <a:ext uri="{FF2B5EF4-FFF2-40B4-BE49-F238E27FC236}">
                  <a16:creationId xmlns:a16="http://schemas.microsoft.com/office/drawing/2014/main" id="{00000000-0008-0000-0300-0000F7000000}"/>
                </a:ext>
              </a:extLst>
            </xdr:cNvPr>
            <xdr:cNvCxnSpPr/>
          </xdr:nvCxnSpPr>
          <xdr:spPr>
            <a:xfrm>
              <a:off x="8386972" y="7250396"/>
              <a:ext cx="0" cy="109627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0" name="Straight Connector 249">
              <a:extLst>
                <a:ext uri="{FF2B5EF4-FFF2-40B4-BE49-F238E27FC236}">
                  <a16:creationId xmlns:a16="http://schemas.microsoft.com/office/drawing/2014/main" id="{00000000-0008-0000-0300-0000FA00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0" name="Shape 27">
              <a:extLst>
                <a:ext uri="{FF2B5EF4-FFF2-40B4-BE49-F238E27FC236}">
                  <a16:creationId xmlns:a16="http://schemas.microsoft.com/office/drawing/2014/main" id="{00000000-0008-0000-0300-000004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61" name="Shape 27">
              <a:extLst>
                <a:ext uri="{FF2B5EF4-FFF2-40B4-BE49-F238E27FC236}">
                  <a16:creationId xmlns:a16="http://schemas.microsoft.com/office/drawing/2014/main" id="{00000000-0008-0000-0300-000005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43" name="Straight Connector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CxnSpPr/>
        </xdr:nvCxnSpPr>
        <xdr:spPr>
          <a:xfrm flipH="1">
            <a:off x="12333861" y="2978366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88909</xdr:colOff>
      <xdr:row>16</xdr:row>
      <xdr:rowOff>169333</xdr:rowOff>
    </xdr:from>
    <xdr:to>
      <xdr:col>32</xdr:col>
      <xdr:colOff>118534</xdr:colOff>
      <xdr:row>38</xdr:row>
      <xdr:rowOff>89638</xdr:rowOff>
    </xdr:to>
    <xdr:grpSp>
      <xdr:nvGrpSpPr>
        <xdr:cNvPr id="8" name="CONS1P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136909" y="3420533"/>
          <a:ext cx="5109625" cy="4390705"/>
          <a:chOff x="3136909" y="3420533"/>
          <a:chExt cx="5109625" cy="4390705"/>
        </a:xfrm>
      </xdr:grpSpPr>
      <xdr:grpSp>
        <xdr:nvGrpSpPr>
          <xdr:cNvPr id="203" name="ahha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3136909" y="3546529"/>
            <a:ext cx="5109625" cy="4264709"/>
            <a:chOff x="2552350" y="13583257"/>
            <a:chExt cx="5347908" cy="4168415"/>
          </a:xfrm>
        </xdr:grpSpPr>
        <xdr:sp macro="" textlink="">
          <xdr:nvSpPr>
            <xdr:cNvPr id="204" name="boxdash">
              <a:extLst>
                <a:ext uri="{FF2B5EF4-FFF2-40B4-BE49-F238E27FC236}">
                  <a16:creationId xmlns:a16="http://schemas.microsoft.com/office/drawing/2014/main" id="{00000000-0008-0000-0300-0000CC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" name="Straight Connector 206">
              <a:extLst>
                <a:ext uri="{FF2B5EF4-FFF2-40B4-BE49-F238E27FC236}">
                  <a16:creationId xmlns:a16="http://schemas.microsoft.com/office/drawing/2014/main" id="{00000000-0008-0000-0300-0000CF000000}"/>
                </a:ext>
              </a:extLst>
            </xdr:cNvPr>
            <xdr:cNvCxnSpPr/>
          </xdr:nvCxnSpPr>
          <xdr:spPr>
            <a:xfrm>
              <a:off x="6685850" y="17654368"/>
              <a:ext cx="1214408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300-0000D0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17" name="Rectangle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33" name="TextBox 232">
              <a:extLst>
                <a:ext uri="{FF2B5EF4-FFF2-40B4-BE49-F238E27FC236}">
                  <a16:creationId xmlns:a16="http://schemas.microsoft.com/office/drawing/2014/main" id="{00000000-0008-0000-0300-0000E9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5283200" y="3420533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155376</xdr:colOff>
      <xdr:row>25</xdr:row>
      <xdr:rowOff>127000</xdr:rowOff>
    </xdr:from>
    <xdr:to>
      <xdr:col>23</xdr:col>
      <xdr:colOff>42332</xdr:colOff>
      <xdr:row>62</xdr:row>
      <xdr:rowOff>60677</xdr:rowOff>
    </xdr:to>
    <xdr:grpSp>
      <xdr:nvGrpSpPr>
        <xdr:cNvPr id="54" name="ExtraArray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1933376" y="5207000"/>
          <a:ext cx="3950956" cy="7452077"/>
          <a:chOff x="1933376" y="5207000"/>
          <a:chExt cx="3950956" cy="7452077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300-00002601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95" name="Group 294">
              <a:extLst>
                <a:ext uri="{FF2B5EF4-FFF2-40B4-BE49-F238E27FC236}">
                  <a16:creationId xmlns:a16="http://schemas.microsoft.com/office/drawing/2014/main" id="{00000000-0008-0000-0300-000027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300-00002F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05" name="Shape 5">
                  <a:extLst>
                    <a:ext uri="{FF2B5EF4-FFF2-40B4-BE49-F238E27FC236}">
                      <a16:creationId xmlns:a16="http://schemas.microsoft.com/office/drawing/2014/main" id="{00000000-0008-0000-0300-00003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6" name="Shape 6">
                  <a:extLst>
                    <a:ext uri="{FF2B5EF4-FFF2-40B4-BE49-F238E27FC236}">
                      <a16:creationId xmlns:a16="http://schemas.microsoft.com/office/drawing/2014/main" id="{00000000-0008-0000-0300-00003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Shape 7">
                  <a:extLst>
                    <a:ext uri="{FF2B5EF4-FFF2-40B4-BE49-F238E27FC236}">
                      <a16:creationId xmlns:a16="http://schemas.microsoft.com/office/drawing/2014/main" id="{00000000-0008-0000-0300-00003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8" name="Shape 8">
                  <a:extLst>
                    <a:ext uri="{FF2B5EF4-FFF2-40B4-BE49-F238E27FC236}">
                      <a16:creationId xmlns:a16="http://schemas.microsoft.com/office/drawing/2014/main" id="{00000000-0008-0000-0300-00003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04" name="Rectangle 303">
                <a:extLst>
                  <a:ext uri="{FF2B5EF4-FFF2-40B4-BE49-F238E27FC236}">
                    <a16:creationId xmlns:a16="http://schemas.microsoft.com/office/drawing/2014/main" id="{00000000-0008-0000-0300-00003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96" name="Group 295">
              <a:extLst>
                <a:ext uri="{FF2B5EF4-FFF2-40B4-BE49-F238E27FC236}">
                  <a16:creationId xmlns:a16="http://schemas.microsoft.com/office/drawing/2014/main" id="{00000000-0008-0000-0300-00002801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97" name="Shape 27">
                <a:extLst>
                  <a:ext uri="{FF2B5EF4-FFF2-40B4-BE49-F238E27FC236}">
                    <a16:creationId xmlns:a16="http://schemas.microsoft.com/office/drawing/2014/main" id="{00000000-0008-0000-0300-000029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8" name="Shape 27">
                <a:extLst>
                  <a:ext uri="{FF2B5EF4-FFF2-40B4-BE49-F238E27FC236}">
                    <a16:creationId xmlns:a16="http://schemas.microsoft.com/office/drawing/2014/main" id="{00000000-0008-0000-0300-00002A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9" name="Shape 26">
                <a:extLst>
                  <a:ext uri="{FF2B5EF4-FFF2-40B4-BE49-F238E27FC236}">
                    <a16:creationId xmlns:a16="http://schemas.microsoft.com/office/drawing/2014/main" id="{00000000-0008-0000-0300-00002B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00" name="Straight Connector 299">
                <a:extLst>
                  <a:ext uri="{FF2B5EF4-FFF2-40B4-BE49-F238E27FC236}">
                    <a16:creationId xmlns:a16="http://schemas.microsoft.com/office/drawing/2014/main" id="{00000000-0008-0000-0300-00002C01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300-00002D01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02" name="Rectangle 301">
                <a:extLst>
                  <a:ext uri="{FF2B5EF4-FFF2-40B4-BE49-F238E27FC236}">
                    <a16:creationId xmlns:a16="http://schemas.microsoft.com/office/drawing/2014/main" id="{00000000-0008-0000-0300-00002E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300-00003501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310" name="Group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312" name="Shape 27">
                <a:extLst>
                  <a:ext uri="{FF2B5EF4-FFF2-40B4-BE49-F238E27FC236}">
                    <a16:creationId xmlns:a16="http://schemas.microsoft.com/office/drawing/2014/main" id="{00000000-0008-0000-0300-000038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3" name="Shape 27">
                <a:extLst>
                  <a:ext uri="{FF2B5EF4-FFF2-40B4-BE49-F238E27FC236}">
                    <a16:creationId xmlns:a16="http://schemas.microsoft.com/office/drawing/2014/main" id="{00000000-0008-0000-0300-000039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4" name="Shape 26">
                <a:extLst>
                  <a:ext uri="{FF2B5EF4-FFF2-40B4-BE49-F238E27FC236}">
                    <a16:creationId xmlns:a16="http://schemas.microsoft.com/office/drawing/2014/main" id="{00000000-0008-0000-0300-00003A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5" name="Straight Connector 314">
            <a:extLst>
              <a:ext uri="{FF2B5EF4-FFF2-40B4-BE49-F238E27FC236}">
                <a16:creationId xmlns:a16="http://schemas.microsoft.com/office/drawing/2014/main" id="{00000000-0008-0000-0300-00003B01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6" name="Dash">
            <a:extLst>
              <a:ext uri="{FF2B5EF4-FFF2-40B4-BE49-F238E27FC236}">
                <a16:creationId xmlns:a16="http://schemas.microsoft.com/office/drawing/2014/main" id="{00000000-0008-0000-0300-00003C01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125940</xdr:colOff>
      <xdr:row>26</xdr:row>
      <xdr:rowOff>181680</xdr:rowOff>
    </xdr:from>
    <xdr:to>
      <xdr:col>17</xdr:col>
      <xdr:colOff>124299</xdr:colOff>
      <xdr:row>28</xdr:row>
      <xdr:rowOff>62383</xdr:rowOff>
    </xdr:to>
    <xdr:grpSp>
      <xdr:nvGrpSpPr>
        <xdr:cNvPr id="286" name="3PLoads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GrpSpPr/>
      </xdr:nvGrpSpPr>
      <xdr:grpSpPr>
        <a:xfrm>
          <a:off x="4189940" y="5464880"/>
          <a:ext cx="252359" cy="287103"/>
          <a:chOff x="3200401" y="4739690"/>
          <a:chExt cx="250595" cy="287456"/>
        </a:xfrm>
      </xdr:grpSpPr>
      <xdr:cxnSp macro="">
        <xdr:nvCxnSpPr>
          <xdr:cNvPr id="287" name="2P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3P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118533</xdr:colOff>
      <xdr:row>26</xdr:row>
      <xdr:rowOff>84666</xdr:rowOff>
    </xdr:from>
    <xdr:to>
      <xdr:col>17</xdr:col>
      <xdr:colOff>116891</xdr:colOff>
      <xdr:row>27</xdr:row>
      <xdr:rowOff>70195</xdr:rowOff>
    </xdr:to>
    <xdr:cxnSp macro="">
      <xdr:nvCxnSpPr>
        <xdr:cNvPr id="289" name="watat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CxnSpPr/>
      </xdr:nvCxnSpPr>
      <xdr:spPr>
        <a:xfrm flipH="1">
          <a:off x="4182533" y="5367866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67734</xdr:colOff>
      <xdr:row>4</xdr:row>
      <xdr:rowOff>33867</xdr:rowOff>
    </xdr:from>
    <xdr:to>
      <xdr:col>62</xdr:col>
      <xdr:colOff>67733</xdr:colOff>
      <xdr:row>12</xdr:row>
      <xdr:rowOff>130495</xdr:rowOff>
    </xdr:to>
    <xdr:grpSp>
      <xdr:nvGrpSpPr>
        <xdr:cNvPr id="279" name="BD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GrpSpPr/>
      </xdr:nvGrpSpPr>
      <xdr:grpSpPr>
        <a:xfrm>
          <a:off x="8957734" y="846667"/>
          <a:ext cx="6857999" cy="1722228"/>
          <a:chOff x="9040250" y="743066"/>
          <a:chExt cx="6857999" cy="1722228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/>
        </xdr:nvSpPr>
        <xdr:spPr>
          <a:xfrm>
            <a:off x="9040250" y="743066"/>
            <a:ext cx="6857999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1" name="Rectangl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2" name="Rectangle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5" name="Straight Connector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16934</xdr:colOff>
      <xdr:row>8</xdr:row>
      <xdr:rowOff>17423</xdr:rowOff>
    </xdr:from>
    <xdr:to>
      <xdr:col>40</xdr:col>
      <xdr:colOff>180871</xdr:colOff>
      <xdr:row>10</xdr:row>
      <xdr:rowOff>6853</xdr:rowOff>
    </xdr:to>
    <xdr:sp macro="" textlink="">
      <xdr:nvSpPr>
        <xdr:cNvPr id="290" name="Tb-b1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9668934" y="1643023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35745</xdr:colOff>
      <xdr:row>8</xdr:row>
      <xdr:rowOff>9249</xdr:rowOff>
    </xdr:from>
    <xdr:to>
      <xdr:col>49</xdr:col>
      <xdr:colOff>199682</xdr:colOff>
      <xdr:row>9</xdr:row>
      <xdr:rowOff>201879</xdr:rowOff>
    </xdr:to>
    <xdr:sp macro="" textlink="">
      <xdr:nvSpPr>
        <xdr:cNvPr id="291" name="Tb-b2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11973745" y="1634849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56</xdr:col>
      <xdr:colOff>87721</xdr:colOff>
      <xdr:row>8</xdr:row>
      <xdr:rowOff>15672</xdr:rowOff>
    </xdr:from>
    <xdr:to>
      <xdr:col>58</xdr:col>
      <xdr:colOff>247687</xdr:colOff>
      <xdr:row>10</xdr:row>
      <xdr:rowOff>5102</xdr:rowOff>
    </xdr:to>
    <xdr:sp macro="" textlink="">
      <xdr:nvSpPr>
        <xdr:cNvPr id="292" name="Tb-b3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14311721" y="1641272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209628</xdr:colOff>
      <xdr:row>7</xdr:row>
      <xdr:rowOff>94593</xdr:rowOff>
    </xdr:from>
    <xdr:to>
      <xdr:col>45</xdr:col>
      <xdr:colOff>119566</xdr:colOff>
      <xdr:row>9</xdr:row>
      <xdr:rowOff>84021</xdr:rowOff>
    </xdr:to>
    <xdr:sp macro="" textlink="">
      <xdr:nvSpPr>
        <xdr:cNvPr id="293" name="Tb-l1a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10877628" y="1516993"/>
          <a:ext cx="671938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216051</xdr:colOff>
      <xdr:row>8</xdr:row>
      <xdr:rowOff>147050</xdr:rowOff>
    </xdr:from>
    <xdr:to>
      <xdr:col>45</xdr:col>
      <xdr:colOff>125989</xdr:colOff>
      <xdr:row>10</xdr:row>
      <xdr:rowOff>136480</xdr:rowOff>
    </xdr:to>
    <xdr:sp macro="" textlink="">
      <xdr:nvSpPr>
        <xdr:cNvPr id="317" name="Tb-l1b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10884051" y="1772650"/>
          <a:ext cx="671938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147274</xdr:colOff>
      <xdr:row>8</xdr:row>
      <xdr:rowOff>169144</xdr:rowOff>
    </xdr:from>
    <xdr:to>
      <xdr:col>54</xdr:col>
      <xdr:colOff>53240</xdr:colOff>
      <xdr:row>10</xdr:row>
      <xdr:rowOff>158574</xdr:rowOff>
    </xdr:to>
    <xdr:sp macro="" textlink="">
      <xdr:nvSpPr>
        <xdr:cNvPr id="318" name="Tb-l2b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13101274" y="1794744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153697</xdr:colOff>
      <xdr:row>7</xdr:row>
      <xdr:rowOff>84667</xdr:rowOff>
    </xdr:from>
    <xdr:to>
      <xdr:col>54</xdr:col>
      <xdr:colOff>59663</xdr:colOff>
      <xdr:row>9</xdr:row>
      <xdr:rowOff>74095</xdr:rowOff>
    </xdr:to>
    <xdr:sp macro="" textlink="">
      <xdr:nvSpPr>
        <xdr:cNvPr id="319" name="Tb-l2a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13107697" y="1507067"/>
          <a:ext cx="667966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4"/>
  <sheetViews>
    <sheetView topLeftCell="A4" zoomScale="99" workbookViewId="0">
      <selection activeCell="F9" sqref="F9"/>
    </sheetView>
  </sheetViews>
  <sheetFormatPr baseColWidth="10" defaultRowHeight="16" x14ac:dyDescent="0.2"/>
  <cols>
    <col min="1" max="1" width="22.1640625" style="122" customWidth="1"/>
    <col min="2" max="2" width="37.1640625" style="53" customWidth="1"/>
    <col min="3" max="3" width="19.1640625" style="145" customWidth="1"/>
    <col min="4" max="4" width="19.83203125" style="53" customWidth="1"/>
    <col min="5" max="5" width="16.6640625" style="86" customWidth="1"/>
    <col min="6" max="6" width="18" style="93" customWidth="1"/>
    <col min="7" max="7" width="21.1640625" style="93" customWidth="1"/>
    <col min="8" max="8" width="15.5" style="122" customWidth="1"/>
  </cols>
  <sheetData>
    <row r="1" spans="1:8" x14ac:dyDescent="0.2">
      <c r="A1" s="152" t="s">
        <v>102</v>
      </c>
      <c r="B1" s="152"/>
      <c r="C1" s="152" t="s">
        <v>139</v>
      </c>
      <c r="D1" s="152"/>
    </row>
    <row r="2" spans="1:8" x14ac:dyDescent="0.2">
      <c r="A2" s="89" t="s">
        <v>103</v>
      </c>
      <c r="B2" s="89">
        <v>26181</v>
      </c>
      <c r="C2" s="147" t="s">
        <v>147</v>
      </c>
      <c r="D2" s="89"/>
    </row>
    <row r="3" spans="1:8" ht="17" x14ac:dyDescent="0.2">
      <c r="A3" s="90" t="s">
        <v>105</v>
      </c>
      <c r="B3" s="89" t="s">
        <v>101</v>
      </c>
      <c r="C3" s="146" t="s">
        <v>140</v>
      </c>
      <c r="D3" s="142"/>
    </row>
    <row r="4" spans="1:8" ht="24" customHeight="1" x14ac:dyDescent="0.2">
      <c r="A4" s="89" t="s">
        <v>104</v>
      </c>
      <c r="B4" s="89" t="s">
        <v>115</v>
      </c>
      <c r="C4" s="146" t="s">
        <v>141</v>
      </c>
      <c r="D4" s="142"/>
    </row>
    <row r="5" spans="1:8" x14ac:dyDescent="0.2">
      <c r="A5" s="89" t="s">
        <v>71</v>
      </c>
      <c r="B5" s="89">
        <v>1</v>
      </c>
      <c r="C5" s="146" t="s">
        <v>142</v>
      </c>
      <c r="D5" s="142"/>
    </row>
    <row r="6" spans="1:8" x14ac:dyDescent="0.2">
      <c r="A6" s="139"/>
      <c r="B6" s="139"/>
      <c r="C6" s="146" t="s">
        <v>143</v>
      </c>
      <c r="D6" s="142"/>
    </row>
    <row r="7" spans="1:8" x14ac:dyDescent="0.2">
      <c r="A7" s="139"/>
      <c r="B7" s="139"/>
      <c r="C7" s="146" t="s">
        <v>144</v>
      </c>
      <c r="D7" s="142"/>
    </row>
    <row r="8" spans="1:8" x14ac:dyDescent="0.2">
      <c r="A8" s="139"/>
      <c r="B8" s="139"/>
      <c r="C8" s="146" t="s">
        <v>145</v>
      </c>
      <c r="D8" s="142"/>
    </row>
    <row r="9" spans="1:8" x14ac:dyDescent="0.2">
      <c r="C9" s="146" t="s">
        <v>146</v>
      </c>
      <c r="D9" s="142"/>
    </row>
    <row r="10" spans="1:8" x14ac:dyDescent="0.2">
      <c r="A10" s="153" t="s">
        <v>111</v>
      </c>
      <c r="B10" s="154"/>
      <c r="C10" s="147" t="s">
        <v>148</v>
      </c>
      <c r="D10" s="89"/>
      <c r="E10" s="123"/>
      <c r="F10" s="125"/>
    </row>
    <row r="11" spans="1:8" x14ac:dyDescent="0.2">
      <c r="A11" s="124" t="s">
        <v>106</v>
      </c>
      <c r="B11" s="92" t="s">
        <v>80</v>
      </c>
      <c r="C11" s="143"/>
      <c r="D11" s="121"/>
      <c r="E11" s="123"/>
      <c r="F11" s="125"/>
      <c r="G11" s="125"/>
      <c r="H11" s="125"/>
    </row>
    <row r="12" spans="1:8" x14ac:dyDescent="0.2">
      <c r="A12" s="124" t="s">
        <v>107</v>
      </c>
      <c r="B12" s="92" t="s">
        <v>100</v>
      </c>
      <c r="C12" s="143"/>
      <c r="D12" s="121"/>
      <c r="E12" s="123"/>
      <c r="F12" s="125"/>
      <c r="G12" s="125"/>
      <c r="H12" s="125"/>
    </row>
    <row r="13" spans="1:8" x14ac:dyDescent="0.2">
      <c r="A13" s="124" t="s">
        <v>108</v>
      </c>
      <c r="B13" s="92">
        <v>18</v>
      </c>
      <c r="C13" s="143"/>
      <c r="D13" s="126"/>
      <c r="E13" s="126"/>
      <c r="F13" s="119"/>
      <c r="G13" s="119"/>
      <c r="H13" s="121"/>
    </row>
    <row r="14" spans="1:8" x14ac:dyDescent="0.2">
      <c r="A14" s="89" t="s">
        <v>112</v>
      </c>
      <c r="B14" s="92">
        <v>365</v>
      </c>
    </row>
    <row r="15" spans="1:8" x14ac:dyDescent="0.2">
      <c r="A15" s="89" t="s">
        <v>113</v>
      </c>
      <c r="B15" s="91">
        <v>41.7</v>
      </c>
    </row>
    <row r="16" spans="1:8" x14ac:dyDescent="0.2">
      <c r="A16" s="89" t="s">
        <v>114</v>
      </c>
      <c r="B16" s="91">
        <v>10.88</v>
      </c>
      <c r="C16" s="144"/>
      <c r="D16" s="127"/>
      <c r="E16" s="127"/>
      <c r="F16" s="127"/>
    </row>
    <row r="17" spans="1:6" x14ac:dyDescent="0.2">
      <c r="B17" s="127"/>
      <c r="C17" s="144"/>
      <c r="D17" s="127"/>
      <c r="E17" s="127"/>
      <c r="F17" s="127"/>
    </row>
    <row r="18" spans="1:6" x14ac:dyDescent="0.2">
      <c r="A18" s="152" t="s">
        <v>116</v>
      </c>
      <c r="B18" s="152"/>
      <c r="E18" s="127"/>
      <c r="F18" s="127"/>
    </row>
    <row r="19" spans="1:6" x14ac:dyDescent="0.2">
      <c r="A19" s="89" t="s">
        <v>109</v>
      </c>
      <c r="B19" s="89" t="s">
        <v>119</v>
      </c>
      <c r="E19" s="127"/>
      <c r="F19" s="127"/>
    </row>
    <row r="20" spans="1:6" ht="16" customHeight="1" x14ac:dyDescent="0.2">
      <c r="A20" s="89" t="s">
        <v>110</v>
      </c>
      <c r="B20" s="89" t="s">
        <v>120</v>
      </c>
      <c r="E20" s="127"/>
      <c r="F20" s="127"/>
    </row>
    <row r="21" spans="1:6" ht="16" customHeight="1" x14ac:dyDescent="0.2">
      <c r="A21" s="89" t="s">
        <v>117</v>
      </c>
      <c r="B21" s="89">
        <v>1</v>
      </c>
      <c r="E21" s="127"/>
      <c r="F21" s="127"/>
    </row>
    <row r="22" spans="1:6" x14ac:dyDescent="0.2">
      <c r="A22" s="89" t="s">
        <v>118</v>
      </c>
      <c r="B22" s="89">
        <v>22</v>
      </c>
      <c r="E22" s="127"/>
      <c r="F22" s="127"/>
    </row>
    <row r="23" spans="1:6" x14ac:dyDescent="0.2">
      <c r="A23" s="89" t="s">
        <v>60</v>
      </c>
      <c r="B23" s="89">
        <v>4.2</v>
      </c>
      <c r="E23" s="127"/>
      <c r="F23" s="127"/>
    </row>
    <row r="24" spans="1:6" x14ac:dyDescent="0.2">
      <c r="A24" s="89" t="s">
        <v>121</v>
      </c>
      <c r="B24" s="89">
        <v>12</v>
      </c>
      <c r="E24" s="127"/>
      <c r="F24" s="127"/>
    </row>
    <row r="25" spans="1:6" x14ac:dyDescent="0.2">
      <c r="A25" s="89" t="s">
        <v>122</v>
      </c>
      <c r="B25" s="89"/>
      <c r="E25" s="127"/>
      <c r="F25" s="127"/>
    </row>
    <row r="26" spans="1:6" x14ac:dyDescent="0.2">
      <c r="A26" s="89" t="s">
        <v>123</v>
      </c>
      <c r="B26" s="89">
        <v>12</v>
      </c>
    </row>
    <row r="27" spans="1:6" x14ac:dyDescent="0.2">
      <c r="A27" s="128" t="s">
        <v>124</v>
      </c>
      <c r="B27" s="128"/>
    </row>
    <row r="28" spans="1:6" x14ac:dyDescent="0.2">
      <c r="A28" s="89" t="s">
        <v>154</v>
      </c>
      <c r="B28" s="89"/>
    </row>
    <row r="29" spans="1:6" x14ac:dyDescent="0.2">
      <c r="A29" s="89" t="s">
        <v>155</v>
      </c>
      <c r="B29" s="89"/>
    </row>
    <row r="30" spans="1:6" x14ac:dyDescent="0.2">
      <c r="A30" s="89" t="s">
        <v>156</v>
      </c>
      <c r="B30" s="89"/>
    </row>
    <row r="31" spans="1:6" x14ac:dyDescent="0.2">
      <c r="A31" s="128" t="s">
        <v>157</v>
      </c>
      <c r="B31" s="128"/>
    </row>
    <row r="32" spans="1:6" x14ac:dyDescent="0.2">
      <c r="A32" s="89" t="s">
        <v>130</v>
      </c>
      <c r="B32" s="89"/>
    </row>
    <row r="33" spans="1:2" x14ac:dyDescent="0.2">
      <c r="A33" s="155" t="s">
        <v>125</v>
      </c>
      <c r="B33" s="155"/>
    </row>
    <row r="34" spans="1:2" x14ac:dyDescent="0.2">
      <c r="A34" s="89" t="s">
        <v>126</v>
      </c>
      <c r="B34" s="89"/>
    </row>
    <row r="35" spans="1:2" x14ac:dyDescent="0.2">
      <c r="A35" s="89" t="s">
        <v>127</v>
      </c>
      <c r="B35" s="89"/>
    </row>
    <row r="36" spans="1:2" x14ac:dyDescent="0.2">
      <c r="A36" s="89" t="s">
        <v>128</v>
      </c>
      <c r="B36" s="89"/>
    </row>
    <row r="37" spans="1:2" x14ac:dyDescent="0.2">
      <c r="A37" s="89" t="s">
        <v>129</v>
      </c>
      <c r="B37" s="89"/>
    </row>
    <row r="38" spans="1:2" x14ac:dyDescent="0.2">
      <c r="A38" s="89" t="s">
        <v>138</v>
      </c>
      <c r="B38" s="89"/>
    </row>
    <row r="39" spans="1:2" x14ac:dyDescent="0.2">
      <c r="A39" s="89" t="s">
        <v>149</v>
      </c>
      <c r="B39" s="89"/>
    </row>
    <row r="40" spans="1:2" x14ac:dyDescent="0.2">
      <c r="A40" s="89" t="s">
        <v>150</v>
      </c>
      <c r="B40" s="89"/>
    </row>
    <row r="41" spans="1:2" x14ac:dyDescent="0.2">
      <c r="A41" s="89" t="s">
        <v>151</v>
      </c>
      <c r="B41" s="89"/>
    </row>
    <row r="42" spans="1:2" x14ac:dyDescent="0.2">
      <c r="A42" s="150" t="s">
        <v>131</v>
      </c>
      <c r="B42" s="150"/>
    </row>
    <row r="43" spans="1:2" x14ac:dyDescent="0.2">
      <c r="A43" s="89" t="s">
        <v>132</v>
      </c>
      <c r="B43" s="89"/>
    </row>
    <row r="44" spans="1:2" x14ac:dyDescent="0.2">
      <c r="A44" s="89" t="s">
        <v>137</v>
      </c>
      <c r="B44" s="89"/>
    </row>
  </sheetData>
  <mergeCells count="5">
    <mergeCell ref="C1:D1"/>
    <mergeCell ref="A1:B1"/>
    <mergeCell ref="A10:B10"/>
    <mergeCell ref="A18:B18"/>
    <mergeCell ref="A33:B33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7" workbookViewId="0">
      <selection activeCell="E35" sqref="E35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85"/>
      <c r="C29" s="85"/>
      <c r="D29" s="85"/>
      <c r="E29" s="85"/>
      <c r="F29" s="85"/>
      <c r="G29" s="85"/>
    </row>
    <row r="30" spans="2:7" ht="17" thickBot="1" x14ac:dyDescent="0.25">
      <c r="B30" s="54" t="s">
        <v>69</v>
      </c>
      <c r="C30" s="55" t="str">
        <f>Param!B3</f>
        <v xml:space="preserve">Miller, Ian </v>
      </c>
      <c r="D30" s="54" t="s">
        <v>70</v>
      </c>
      <c r="E30" s="156" t="str">
        <f>Param!B4</f>
        <v>154 Princeton Ave  Adamstown Heights</v>
      </c>
      <c r="F30" s="157"/>
      <c r="G30" s="158"/>
    </row>
    <row r="31" spans="2:7" ht="17" thickBot="1" x14ac:dyDescent="0.25">
      <c r="B31" s="159">
        <f>Param!B39</f>
        <v>0</v>
      </c>
      <c r="C31" s="160"/>
      <c r="D31" s="159">
        <f>Param!B40</f>
        <v>0</v>
      </c>
      <c r="E31" s="160"/>
      <c r="F31" s="161">
        <f>Param!B41</f>
        <v>0</v>
      </c>
      <c r="G31" s="162"/>
    </row>
    <row r="32" spans="2:7" x14ac:dyDescent="0.2">
      <c r="B32" s="56" t="s">
        <v>71</v>
      </c>
      <c r="C32" s="57">
        <f>Param!B21</f>
        <v>1</v>
      </c>
      <c r="D32" s="56" t="s">
        <v>71</v>
      </c>
      <c r="E32" s="57">
        <f>Param!B21</f>
        <v>1</v>
      </c>
      <c r="F32" s="58" t="s">
        <v>71</v>
      </c>
      <c r="G32" s="59">
        <f>Param!B21</f>
        <v>1</v>
      </c>
    </row>
    <row r="33" spans="2:7" x14ac:dyDescent="0.2">
      <c r="B33" s="56" t="s">
        <v>72</v>
      </c>
      <c r="C33" s="60" t="s">
        <v>73</v>
      </c>
      <c r="D33" s="56" t="s">
        <v>72</v>
      </c>
      <c r="E33" s="61" t="s">
        <v>73</v>
      </c>
      <c r="F33" s="62" t="s">
        <v>72</v>
      </c>
      <c r="G33" s="63" t="s">
        <v>73</v>
      </c>
    </row>
    <row r="34" spans="2:7" x14ac:dyDescent="0.2">
      <c r="B34" s="64" t="s">
        <v>74</v>
      </c>
      <c r="C34" s="65">
        <v>16</v>
      </c>
      <c r="D34" s="64" t="s">
        <v>74</v>
      </c>
      <c r="E34" s="65">
        <v>16</v>
      </c>
      <c r="F34" s="64" t="s">
        <v>74</v>
      </c>
      <c r="G34" s="66">
        <f>Param!B37</f>
        <v>0</v>
      </c>
    </row>
    <row r="35" spans="2:7" x14ac:dyDescent="0.2">
      <c r="B35" s="67" t="s">
        <v>75</v>
      </c>
      <c r="C35" s="68">
        <f>Param!B34</f>
        <v>0</v>
      </c>
      <c r="D35" s="67" t="s">
        <v>75</v>
      </c>
      <c r="E35" s="69">
        <f>Param!B35</f>
        <v>0</v>
      </c>
      <c r="F35" s="67" t="s">
        <v>75</v>
      </c>
      <c r="G35" s="69">
        <f>Param!B36</f>
        <v>0</v>
      </c>
    </row>
    <row r="36" spans="2:7" x14ac:dyDescent="0.2">
      <c r="B36" s="67" t="s">
        <v>76</v>
      </c>
      <c r="C36" s="70">
        <f>Param!B22</f>
        <v>22</v>
      </c>
      <c r="D36" s="67" t="s">
        <v>76</v>
      </c>
      <c r="E36" s="71">
        <f>Param!B22</f>
        <v>22</v>
      </c>
      <c r="F36" s="67" t="s">
        <v>76</v>
      </c>
      <c r="G36" s="71">
        <f>Param!B22</f>
        <v>22</v>
      </c>
    </row>
    <row r="37" spans="2:7" ht="17" thickBot="1" x14ac:dyDescent="0.25">
      <c r="B37" s="72" t="s">
        <v>77</v>
      </c>
      <c r="C37" s="73" cm="1">
        <f t="array" ref="C37">AmPerPcntVd(C34,C32)</f>
        <v>818</v>
      </c>
      <c r="D37" s="74" t="s">
        <v>77</v>
      </c>
      <c r="E37" s="73" cm="1">
        <f t="array" ref="E37">AmPerPcntVd(E34,E32)</f>
        <v>818</v>
      </c>
      <c r="F37" s="74" t="s">
        <v>77</v>
      </c>
      <c r="G37" s="75" cm="1">
        <f t="array" ref="G37">AmPerPcntVd(G34,G32)</f>
        <v>0</v>
      </c>
    </row>
    <row r="38" spans="2:7" ht="17" thickBot="1" x14ac:dyDescent="0.25">
      <c r="B38" s="76" t="s">
        <v>78</v>
      </c>
      <c r="C38" s="77" cm="1">
        <f t="array" ref="C38">VoltageDrop(C36,C34,C35,C32)/100</f>
        <v>0</v>
      </c>
      <c r="D38" s="78" t="s">
        <v>78</v>
      </c>
      <c r="E38" s="77" cm="1">
        <f t="array" ref="E38">VoltageDrop(E36,E34,E35,E32)/100</f>
        <v>0</v>
      </c>
      <c r="F38" s="78" t="s">
        <v>78</v>
      </c>
      <c r="G38" s="84" t="e" cm="1">
        <f t="array" ref="G38">VoltageDrop(G36,G34,G35,G32)/100</f>
        <v>#VALUE!</v>
      </c>
    </row>
    <row r="39" spans="2:7" ht="17" thickBot="1" x14ac:dyDescent="0.25">
      <c r="B39" s="76" t="s">
        <v>79</v>
      </c>
      <c r="C39" s="79">
        <f>C38*IF(C32=1,230,400)</f>
        <v>0</v>
      </c>
      <c r="D39" s="76" t="s">
        <v>79</v>
      </c>
      <c r="E39" s="79">
        <f>E38*IF(E32=1,230,400)</f>
        <v>0</v>
      </c>
      <c r="F39" s="76" t="s">
        <v>79</v>
      </c>
      <c r="G39" s="83" t="e">
        <f>G38*IF(G32=1,230,400)</f>
        <v>#VALUE!</v>
      </c>
    </row>
    <row r="40" spans="2:7" x14ac:dyDescent="0.2">
      <c r="B40" s="163" t="s">
        <v>29</v>
      </c>
      <c r="C40" s="140" t="str">
        <f>_xlfn.CONCAT(Param!B38)</f>
        <v/>
      </c>
      <c r="D40" s="80"/>
      <c r="E40" s="80"/>
      <c r="F40" s="165" t="e">
        <f>C38+G38+E38</f>
        <v>#VALUE!</v>
      </c>
      <c r="G40" s="167" t="e">
        <f>G39+E39+C39</f>
        <v>#VALUE!</v>
      </c>
    </row>
    <row r="41" spans="2:7" ht="17" thickBot="1" x14ac:dyDescent="0.25">
      <c r="B41" s="164"/>
      <c r="C41" s="81"/>
      <c r="D41" s="82"/>
      <c r="E41" s="82"/>
      <c r="F41" s="166"/>
      <c r="G41" s="168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5" priority="7" operator="greaterThan">
      <formula>0.01</formula>
    </cfRule>
    <cfRule type="cellIs" dxfId="14" priority="8" operator="lessThanOrEqual">
      <formula>0.01</formula>
    </cfRule>
  </conditionalFormatting>
  <conditionalFormatting sqref="C30 E30 C32:C33 C35:C36 E35:E36 G35:G36 E32:E33 G32:G33">
    <cfRule type="containsBlanks" dxfId="13" priority="9">
      <formula>LEN(TRIM(C30))=0</formula>
    </cfRule>
  </conditionalFormatting>
  <conditionalFormatting sqref="C39">
    <cfRule type="cellIs" dxfId="12" priority="5" operator="greaterThan">
      <formula>0.01</formula>
    </cfRule>
    <cfRule type="cellIs" dxfId="11" priority="6" operator="lessThanOrEqual">
      <formula>0.01</formula>
    </cfRule>
  </conditionalFormatting>
  <conditionalFormatting sqref="E39 K39">
    <cfRule type="cellIs" dxfId="10" priority="3" operator="greaterThan">
      <formula>0.01</formula>
    </cfRule>
    <cfRule type="cellIs" dxfId="9" priority="4" operator="lessThanOrEqual">
      <formula>0.01</formula>
    </cfRule>
  </conditionalFormatting>
  <conditionalFormatting sqref="G39 M39">
    <cfRule type="cellIs" dxfId="8" priority="1" operator="greaterThan">
      <formula>0.01</formula>
    </cfRule>
    <cfRule type="cellIs" dxfId="7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75F5F-D10E-8D43-9A51-7A52569B06AA}">
  <sheetPr codeName="Feuil14">
    <pageSetUpPr fitToPage="1"/>
  </sheetPr>
  <dimension ref="B5:CD74"/>
  <sheetViews>
    <sheetView showGridLines="0" tabSelected="1" topLeftCell="H7" zoomScale="90" zoomScaleNormal="90" workbookViewId="0">
      <selection activeCell="AO22" sqref="AO22"/>
    </sheetView>
  </sheetViews>
  <sheetFormatPr baseColWidth="10" defaultRowHeight="16" x14ac:dyDescent="0.2"/>
  <cols>
    <col min="1" max="73" width="3.33203125" style="97" customWidth="1"/>
    <col min="74" max="74" width="5.33203125" style="97" bestFit="1" customWidth="1"/>
    <col min="75" max="83" width="3.33203125" style="97" customWidth="1"/>
    <col min="84" max="16384" width="10.83203125" style="97"/>
  </cols>
  <sheetData>
    <row r="5" spans="4:81" x14ac:dyDescent="0.2">
      <c r="D5" s="118" t="s">
        <v>96</v>
      </c>
      <c r="AK5" s="87" t="str">
        <f>IF(Param!D2=1,"Block Diagram","")</f>
        <v/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BJ6" s="52"/>
      <c r="BR6" s="44" t="s">
        <v>62</v>
      </c>
      <c r="BS6" s="38"/>
      <c r="BT6" s="38"/>
      <c r="BU6" s="38"/>
      <c r="BW6" s="185" t="str">
        <f>Param!B11</f>
        <v>LG Electronics</v>
      </c>
      <c r="BX6" s="185"/>
      <c r="BY6" s="185"/>
      <c r="BZ6" s="186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W7" s="187" t="str">
        <f>Param!B12</f>
        <v>LG NeON 2</v>
      </c>
      <c r="BX7" s="187"/>
      <c r="BY7" s="187"/>
      <c r="BZ7" s="188"/>
    </row>
    <row r="8" spans="4:81" x14ac:dyDescent="0.2">
      <c r="BL8" s="50"/>
      <c r="BM8" s="50"/>
      <c r="BN8" s="50"/>
      <c r="BR8" s="44" t="s">
        <v>133</v>
      </c>
      <c r="BS8" s="137"/>
      <c r="BT8" s="137"/>
      <c r="BU8" s="137"/>
      <c r="BV8" s="137"/>
      <c r="BW8" s="192">
        <f>Param!B13</f>
        <v>18</v>
      </c>
      <c r="BX8" s="192"/>
      <c r="BY8" s="192"/>
      <c r="BZ8" s="193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177">
        <f>Param!B14</f>
        <v>365</v>
      </c>
      <c r="BX9" s="177"/>
      <c r="BY9" s="177"/>
      <c r="BZ9" s="178"/>
    </row>
    <row r="10" spans="4:81" x14ac:dyDescent="0.2">
      <c r="BR10" s="44" t="s">
        <v>66</v>
      </c>
      <c r="BS10" s="38"/>
      <c r="BT10" s="38"/>
      <c r="BU10" s="38"/>
      <c r="BV10" s="38"/>
      <c r="BW10" s="179">
        <f>Param!B15</f>
        <v>41.7</v>
      </c>
      <c r="BX10" s="179"/>
      <c r="BY10" s="179"/>
      <c r="BZ10" s="180"/>
    </row>
    <row r="11" spans="4:81" x14ac:dyDescent="0.2">
      <c r="BR11" s="44" t="s">
        <v>65</v>
      </c>
      <c r="BS11" s="138"/>
      <c r="BT11" s="138"/>
      <c r="BU11" s="138"/>
      <c r="BV11" s="138"/>
      <c r="BW11" s="181">
        <f>Param!B16</f>
        <v>10.88</v>
      </c>
      <c r="BX11" s="181"/>
      <c r="BY11" s="181"/>
      <c r="BZ11" s="182"/>
      <c r="CA11" s="194"/>
      <c r="CB11" s="194"/>
      <c r="CC11" s="194"/>
    </row>
    <row r="12" spans="4:81" x14ac:dyDescent="0.2">
      <c r="AM12" s="97" t="str">
        <f>IF(Param!D10&lt;&gt;"",_xlfn.CONCAT("Note: ",Param!D10),"")</f>
        <v/>
      </c>
      <c r="BR12" s="48" t="s">
        <v>134</v>
      </c>
      <c r="BS12" s="40"/>
      <c r="BT12" s="40"/>
      <c r="BU12" s="40"/>
      <c r="BV12" s="106"/>
      <c r="BW12" s="183">
        <f>BW8*Param!B14/1000</f>
        <v>6.57</v>
      </c>
      <c r="BX12" s="183"/>
      <c r="BY12" s="183"/>
      <c r="BZ12" s="184"/>
      <c r="CC12" s="107"/>
    </row>
    <row r="13" spans="4:81" x14ac:dyDescent="0.2">
      <c r="BR13" s="137"/>
      <c r="BS13" s="137"/>
      <c r="BT13" s="137"/>
      <c r="BU13" s="137"/>
      <c r="BV13" s="137"/>
      <c r="BW13" s="137"/>
      <c r="BX13" s="137"/>
      <c r="BY13" s="137"/>
      <c r="BZ13" s="137"/>
      <c r="CC13" s="107"/>
    </row>
    <row r="14" spans="4:81" x14ac:dyDescent="0.2">
      <c r="BR14" s="137"/>
      <c r="BS14" s="137"/>
      <c r="BT14" s="137"/>
      <c r="BU14" s="137"/>
      <c r="BV14" s="137"/>
      <c r="BW14" s="137"/>
      <c r="BX14" s="137"/>
      <c r="BY14" s="137"/>
      <c r="BZ14" s="137"/>
      <c r="CC14" s="107"/>
    </row>
    <row r="15" spans="4:81" x14ac:dyDescent="0.2">
      <c r="BK15" s="107"/>
      <c r="BL15" s="107"/>
      <c r="BM15" s="107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107"/>
    </row>
    <row r="16" spans="4:81" x14ac:dyDescent="0.2">
      <c r="BR16" s="44" t="s">
        <v>63</v>
      </c>
      <c r="BS16" s="38"/>
      <c r="BT16" s="38"/>
      <c r="BU16" s="38"/>
      <c r="BV16" s="185">
        <v>1</v>
      </c>
      <c r="BW16" s="185"/>
      <c r="BX16" s="185"/>
      <c r="BY16" s="185"/>
      <c r="BZ16" s="186"/>
      <c r="CC16" s="107"/>
    </row>
    <row r="17" spans="4:82" x14ac:dyDescent="0.2"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R17" s="44" t="s">
        <v>62</v>
      </c>
      <c r="BS17" s="38"/>
      <c r="BT17" s="38"/>
      <c r="BU17" s="38"/>
      <c r="BV17" s="185" t="str">
        <f>Param!B19</f>
        <v>SMA</v>
      </c>
      <c r="BW17" s="185"/>
      <c r="BX17" s="185"/>
      <c r="BY17" s="185"/>
      <c r="BZ17" s="186"/>
      <c r="CA17" s="107"/>
      <c r="CB17" s="107"/>
      <c r="CC17" s="107"/>
    </row>
    <row r="18" spans="4:82" ht="16" customHeight="1" x14ac:dyDescent="0.2"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R18" s="43" t="s">
        <v>61</v>
      </c>
      <c r="BS18" s="42"/>
      <c r="BT18" s="38"/>
      <c r="BU18" s="38"/>
      <c r="BV18" s="185" t="str">
        <f>Param!B20</f>
        <v>SB4.0-1AV-40</v>
      </c>
      <c r="BW18" s="185"/>
      <c r="BX18" s="185"/>
      <c r="BY18" s="185"/>
      <c r="BZ18" s="186"/>
      <c r="CA18" s="38"/>
      <c r="CB18" s="38"/>
      <c r="CC18" s="38"/>
    </row>
    <row r="19" spans="4:82" ht="16" customHeight="1" x14ac:dyDescent="0.2"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R19" s="41" t="s">
        <v>60</v>
      </c>
      <c r="BS19" s="40"/>
      <c r="BT19" s="40"/>
      <c r="BU19" s="40"/>
      <c r="BV19" s="195">
        <f>Param!B23</f>
        <v>4.2</v>
      </c>
      <c r="BW19" s="195"/>
      <c r="BX19" s="195"/>
      <c r="BY19" s="195"/>
      <c r="BZ19" s="196"/>
      <c r="CA19" s="192"/>
      <c r="CB19" s="192"/>
      <c r="CC19" s="38"/>
    </row>
    <row r="20" spans="4:82" x14ac:dyDescent="0.2">
      <c r="Y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CC20" s="38"/>
    </row>
    <row r="21" spans="4:82" x14ac:dyDescent="0.2"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CC21" s="94"/>
    </row>
    <row r="22" spans="4:82" x14ac:dyDescent="0.2">
      <c r="CC22" s="96"/>
    </row>
    <row r="23" spans="4:82" x14ac:dyDescent="0.2">
      <c r="BR23" s="30" t="s">
        <v>81</v>
      </c>
      <c r="BS23" s="29"/>
      <c r="BT23" s="29"/>
      <c r="BU23" s="29"/>
      <c r="BV23" s="29"/>
      <c r="BW23" s="29"/>
      <c r="BX23" s="29"/>
      <c r="BY23" s="169" t="s">
        <v>82</v>
      </c>
      <c r="BZ23" s="170"/>
      <c r="CA23" s="169" t="s">
        <v>83</v>
      </c>
      <c r="CB23" s="170"/>
      <c r="CC23" s="169" t="s">
        <v>153</v>
      </c>
      <c r="CD23" s="170"/>
    </row>
    <row r="24" spans="4:82" x14ac:dyDescent="0.2">
      <c r="BR24" s="109" t="s">
        <v>84</v>
      </c>
      <c r="BS24" s="98"/>
      <c r="BT24" s="98"/>
      <c r="BU24" s="98"/>
      <c r="BV24" s="98"/>
      <c r="BW24" s="98"/>
      <c r="BX24" s="110"/>
      <c r="BY24" s="171">
        <f>Param!B24</f>
        <v>12</v>
      </c>
      <c r="BZ24" s="172"/>
      <c r="CA24" s="171">
        <f>Param!B25</f>
        <v>0</v>
      </c>
      <c r="CB24" s="172"/>
      <c r="CC24" s="171">
        <f>Param!B28</f>
        <v>0</v>
      </c>
      <c r="CD24" s="172"/>
    </row>
    <row r="25" spans="4:82" x14ac:dyDescent="0.2">
      <c r="BR25" s="99" t="s">
        <v>85</v>
      </c>
      <c r="BS25" s="108"/>
      <c r="BT25" s="108"/>
      <c r="BU25" s="108"/>
      <c r="BV25" s="108"/>
      <c r="BW25" s="108"/>
      <c r="BX25" s="101"/>
      <c r="BY25" s="173">
        <f>BY24*BW9</f>
        <v>4380</v>
      </c>
      <c r="BZ25" s="174"/>
      <c r="CA25" s="173">
        <f>CA24*BW9</f>
        <v>0</v>
      </c>
      <c r="CB25" s="174"/>
      <c r="CC25" s="173">
        <f>CC24*BW9</f>
        <v>0</v>
      </c>
      <c r="CD25" s="174"/>
    </row>
    <row r="26" spans="4:82" x14ac:dyDescent="0.2">
      <c r="BR26" s="99" t="s">
        <v>86</v>
      </c>
      <c r="BS26" s="108"/>
      <c r="BT26" s="108"/>
      <c r="BU26" s="108"/>
      <c r="BV26" s="108"/>
      <c r="BW26" s="108"/>
      <c r="BX26" s="101"/>
      <c r="BY26" s="173">
        <f>BY24*BW10*1.1</f>
        <v>550.44000000000005</v>
      </c>
      <c r="BZ26" s="174"/>
      <c r="CA26" s="173">
        <f>CA24*BW10*1.1</f>
        <v>0</v>
      </c>
      <c r="CB26" s="174"/>
      <c r="CC26" s="173">
        <f>CC24*BW10*1.1</f>
        <v>0</v>
      </c>
      <c r="CD26" s="174"/>
    </row>
    <row r="27" spans="4:82" x14ac:dyDescent="0.2">
      <c r="BR27" s="116" t="s">
        <v>87</v>
      </c>
      <c r="BS27" s="117"/>
      <c r="BT27" s="117"/>
      <c r="BU27" s="117"/>
      <c r="BV27" s="117"/>
      <c r="BW27" s="117"/>
      <c r="BX27" s="113"/>
      <c r="BY27" s="175">
        <f>IF(Param!B25&lt;&gt;"",BW11*2,BW11)</f>
        <v>10.88</v>
      </c>
      <c r="BZ27" s="176"/>
      <c r="CA27" s="175">
        <f>BW11*2</f>
        <v>21.76</v>
      </c>
      <c r="CB27" s="176"/>
      <c r="CC27" s="175">
        <f>BW11*2</f>
        <v>21.76</v>
      </c>
      <c r="CD27" s="176"/>
    </row>
    <row r="28" spans="4:82" x14ac:dyDescent="0.2">
      <c r="AJ28" s="11"/>
      <c r="BC28" s="151" t="str">
        <f>IF(Param!B28&lt;&gt;"",Param!B28,"")</f>
        <v/>
      </c>
      <c r="BD28" s="151" t="str">
        <f>IF(Param!B28&lt;&gt;"","Panels","")</f>
        <v/>
      </c>
      <c r="BK28" s="108"/>
      <c r="BL28" s="108"/>
      <c r="BM28" s="108"/>
      <c r="BN28" s="108"/>
      <c r="BO28" s="108"/>
      <c r="BP28" s="108"/>
      <c r="BQ28" s="108"/>
      <c r="BR28" s="136"/>
      <c r="BS28" s="136"/>
      <c r="BT28" s="133"/>
      <c r="BU28" s="133"/>
      <c r="BV28" s="134"/>
      <c r="BW28" s="134"/>
      <c r="BX28" s="132"/>
      <c r="BY28" s="132"/>
      <c r="BZ28" s="132"/>
      <c r="CA28" s="132"/>
      <c r="CB28" s="135"/>
      <c r="CC28" s="135"/>
    </row>
    <row r="29" spans="4:82" x14ac:dyDescent="0.2">
      <c r="L29" s="33"/>
      <c r="M29" s="32"/>
      <c r="BK29" s="108"/>
      <c r="BL29" s="108"/>
      <c r="BM29" s="108"/>
      <c r="BN29" s="108"/>
      <c r="BO29" s="108"/>
      <c r="BP29" s="108"/>
      <c r="BQ29" s="108"/>
      <c r="BR29" s="136"/>
      <c r="BS29" s="136"/>
      <c r="BT29" s="133"/>
      <c r="BU29" s="133"/>
      <c r="BV29" s="134"/>
      <c r="BW29" s="134"/>
      <c r="BX29" s="132"/>
      <c r="BY29" s="132"/>
      <c r="BZ29" s="132"/>
      <c r="CA29" s="132"/>
      <c r="CB29" s="135"/>
      <c r="CC29" s="135"/>
    </row>
    <row r="30" spans="4:82" x14ac:dyDescent="0.2">
      <c r="D30" s="129" t="str">
        <f>IF(Param!B43&lt;&gt;"","Main switch","")</f>
        <v/>
      </c>
      <c r="J30" s="115" t="s">
        <v>90</v>
      </c>
      <c r="BK30" s="108"/>
      <c r="BL30" s="108"/>
      <c r="BM30" s="108"/>
      <c r="BN30" s="108"/>
      <c r="BO30" s="108"/>
      <c r="BP30" s="108"/>
      <c r="BQ30" s="108"/>
      <c r="BR30" s="136"/>
      <c r="BS30" s="136"/>
      <c r="BT30" s="133"/>
      <c r="BU30" s="133"/>
      <c r="BV30" s="134"/>
      <c r="BW30" s="134"/>
      <c r="BX30" s="132"/>
      <c r="BY30" s="132"/>
      <c r="BZ30" s="132"/>
      <c r="CA30" s="132"/>
      <c r="CB30" s="135"/>
      <c r="CC30" s="135"/>
    </row>
    <row r="31" spans="4:82" x14ac:dyDescent="0.2">
      <c r="D31" s="129" t="str">
        <f>IF(Param!B43&lt;&gt;"","Inverter supply","")</f>
        <v/>
      </c>
      <c r="J31" s="115" t="s">
        <v>91</v>
      </c>
      <c r="BK31" s="108"/>
      <c r="BL31" s="108"/>
      <c r="BM31" s="108"/>
      <c r="BN31" s="108"/>
      <c r="BO31" s="108"/>
      <c r="BP31" s="108"/>
      <c r="BQ31" s="108"/>
      <c r="BR31" s="20"/>
      <c r="BS31" s="20"/>
      <c r="BT31" s="225"/>
      <c r="BU31" s="225"/>
      <c r="BV31" s="226"/>
      <c r="BW31" s="226"/>
      <c r="BX31" s="209"/>
      <c r="BY31" s="209"/>
      <c r="BZ31" s="209"/>
      <c r="CA31" s="209"/>
      <c r="CB31" s="223"/>
      <c r="CC31" s="223"/>
    </row>
    <row r="32" spans="4:82" x14ac:dyDescent="0.2">
      <c r="BK32" s="31"/>
      <c r="BL32" s="31"/>
      <c r="BM32" s="108"/>
      <c r="BN32" s="108"/>
      <c r="BO32" s="108"/>
      <c r="BP32" s="108"/>
      <c r="BQ32" s="108"/>
      <c r="BR32" s="20"/>
      <c r="BS32" s="20"/>
      <c r="BT32" s="225"/>
      <c r="BU32" s="225"/>
      <c r="BV32" s="226"/>
      <c r="BW32" s="226"/>
      <c r="BX32" s="209"/>
      <c r="BY32" s="209"/>
      <c r="BZ32" s="209"/>
      <c r="CA32" s="209"/>
      <c r="CB32" s="223"/>
      <c r="CC32" s="223"/>
    </row>
    <row r="33" spans="17:82" x14ac:dyDescent="0.2">
      <c r="S33" s="115" t="s">
        <v>97</v>
      </c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224" t="s">
        <v>135</v>
      </c>
      <c r="BS33" s="219"/>
      <c r="BT33" s="219"/>
      <c r="BU33" s="219"/>
      <c r="BV33" s="219"/>
      <c r="BW33" s="219"/>
      <c r="BX33" s="219"/>
      <c r="BY33" s="219"/>
      <c r="BZ33" s="219"/>
      <c r="CA33" s="219"/>
      <c r="CB33" s="219"/>
      <c r="CC33" s="220"/>
    </row>
    <row r="34" spans="17:82" x14ac:dyDescent="0.2">
      <c r="S34" s="115" t="s">
        <v>88</v>
      </c>
      <c r="BE34" s="108"/>
      <c r="BF34" s="108"/>
      <c r="BG34" s="108"/>
      <c r="BH34" s="108"/>
      <c r="BI34" s="108"/>
      <c r="BK34" s="108"/>
      <c r="BL34" s="108"/>
      <c r="BM34" s="108"/>
      <c r="BN34" s="108"/>
      <c r="BO34" s="108"/>
      <c r="BP34" s="108"/>
      <c r="BQ34" s="108"/>
      <c r="BR34" s="228" t="s">
        <v>126</v>
      </c>
      <c r="BS34" s="229"/>
      <c r="BT34" s="229"/>
      <c r="BU34" s="230"/>
      <c r="BV34" s="231" t="s">
        <v>127</v>
      </c>
      <c r="BW34" s="232"/>
      <c r="BX34" s="232"/>
      <c r="BY34" s="233"/>
      <c r="BZ34" s="234" t="s">
        <v>136</v>
      </c>
      <c r="CA34" s="235"/>
      <c r="CB34" s="235"/>
      <c r="CC34" s="236"/>
    </row>
    <row r="35" spans="17:82" x14ac:dyDescent="0.2">
      <c r="BE35" s="108"/>
      <c r="BF35" s="108"/>
      <c r="BG35" s="108"/>
      <c r="BH35" s="108"/>
      <c r="BI35" s="108"/>
      <c r="BK35" s="108"/>
      <c r="BL35" s="108"/>
      <c r="BM35" s="108"/>
      <c r="BN35" s="108"/>
      <c r="BO35" s="108"/>
      <c r="BP35" s="108"/>
      <c r="BQ35" s="108"/>
      <c r="BR35" s="189">
        <f>Vrise!C32</f>
        <v>1</v>
      </c>
      <c r="BS35" s="190"/>
      <c r="BT35" s="190"/>
      <c r="BU35" s="191"/>
      <c r="BV35" s="189">
        <f>Vrise!E32</f>
        <v>1</v>
      </c>
      <c r="BW35" s="190"/>
      <c r="BX35" s="190"/>
      <c r="BY35" s="190"/>
      <c r="BZ35" s="189">
        <f>Vrise!G32</f>
        <v>1</v>
      </c>
      <c r="CA35" s="190"/>
      <c r="CB35" s="190"/>
      <c r="CC35" s="191"/>
    </row>
    <row r="36" spans="17:82" x14ac:dyDescent="0.2">
      <c r="BC36" s="97" t="str">
        <f>IF(Param!B25&lt;&gt;"",Param!B25,"")</f>
        <v/>
      </c>
      <c r="BD36" s="97" t="str">
        <f>IF(Param!B25&lt;&gt;"","Panels","")</f>
        <v/>
      </c>
      <c r="BE36" s="108"/>
      <c r="BF36" s="108"/>
      <c r="BG36" s="108"/>
      <c r="BH36" s="108"/>
      <c r="BI36" s="108"/>
      <c r="BK36" s="108"/>
      <c r="BL36" s="108"/>
      <c r="BM36" s="108"/>
      <c r="BN36" s="108"/>
      <c r="BO36" s="108"/>
      <c r="BP36" s="108"/>
      <c r="BQ36" s="108"/>
      <c r="BR36" s="212">
        <f>Vrise!C34</f>
        <v>16</v>
      </c>
      <c r="BS36" s="213"/>
      <c r="BT36" s="213"/>
      <c r="BU36" s="214"/>
      <c r="BV36" s="212">
        <f>Vrise!E34</f>
        <v>16</v>
      </c>
      <c r="BW36" s="213"/>
      <c r="BX36" s="213"/>
      <c r="BY36" s="214"/>
      <c r="BZ36" s="212">
        <f>Vrise!G34</f>
        <v>0</v>
      </c>
      <c r="CA36" s="213"/>
      <c r="CB36" s="213"/>
      <c r="CC36" s="214"/>
    </row>
    <row r="37" spans="17:82" x14ac:dyDescent="0.2">
      <c r="BE37" s="108"/>
      <c r="BF37" s="108"/>
      <c r="BG37" s="108"/>
      <c r="BH37" s="108"/>
      <c r="BI37" s="31"/>
      <c r="BJ37" s="31"/>
      <c r="BK37" s="108"/>
      <c r="BL37" s="108"/>
      <c r="BM37" s="108"/>
      <c r="BN37" s="108"/>
      <c r="BO37" s="108"/>
      <c r="BP37" s="108"/>
      <c r="BQ37" s="108"/>
      <c r="BR37" s="215" t="str">
        <f>_xlfn.CONCAT(Vrise!C36," A")</f>
        <v>22 A</v>
      </c>
      <c r="BS37" s="216"/>
      <c r="BT37" s="216"/>
      <c r="BU37" s="217"/>
      <c r="BV37" s="215" t="str">
        <f>_xlfn.CONCAT(Vrise!E36," A")</f>
        <v>22 A</v>
      </c>
      <c r="BW37" s="216"/>
      <c r="BX37" s="216"/>
      <c r="BY37" s="217"/>
      <c r="BZ37" s="215" t="str">
        <f>_xlfn.CONCAT(Vrise!G36," A")</f>
        <v>22 A</v>
      </c>
      <c r="CA37" s="216"/>
      <c r="CB37" s="216"/>
      <c r="CC37" s="217"/>
    </row>
    <row r="38" spans="17:82" x14ac:dyDescent="0.2">
      <c r="BE38" s="108"/>
      <c r="BF38" s="108"/>
      <c r="BG38" s="108"/>
      <c r="BH38" s="108"/>
      <c r="BI38" s="108"/>
      <c r="BQ38" s="8"/>
      <c r="BR38" s="227" t="str">
        <f>_xlfn.CONCAT(Vrise!C35," m")</f>
        <v>0 m</v>
      </c>
      <c r="BS38" s="192"/>
      <c r="BT38" s="192"/>
      <c r="BU38" s="193"/>
      <c r="BV38" s="227" t="str">
        <f>_xlfn.CONCAT(Vrise!E35," m")</f>
        <v>0 m</v>
      </c>
      <c r="BW38" s="192"/>
      <c r="BX38" s="192"/>
      <c r="BY38" s="193"/>
      <c r="BZ38" s="227" t="str">
        <f>_xlfn.CONCAT(Vrise!G35," m")</f>
        <v>0 m</v>
      </c>
      <c r="CA38" s="192"/>
      <c r="CB38" s="192"/>
      <c r="CC38" s="193"/>
    </row>
    <row r="39" spans="17:82" x14ac:dyDescent="0.2">
      <c r="BE39" s="108"/>
      <c r="BF39" s="108"/>
      <c r="BG39" s="108"/>
      <c r="BH39" s="108"/>
      <c r="BI39" s="108"/>
      <c r="BR39" s="218">
        <f>Vrise!C38</f>
        <v>0</v>
      </c>
      <c r="BS39" s="221"/>
      <c r="BT39" s="221"/>
      <c r="BU39" s="222"/>
      <c r="BV39" s="218">
        <f>Vrise!E38</f>
        <v>0</v>
      </c>
      <c r="BW39" s="219"/>
      <c r="BX39" s="219"/>
      <c r="BY39" s="220"/>
      <c r="BZ39" s="218" t="e">
        <f>Vrise!G38</f>
        <v>#VALUE!</v>
      </c>
      <c r="CA39" s="221"/>
      <c r="CB39" s="221"/>
      <c r="CC39" s="222"/>
    </row>
    <row r="40" spans="17:82" x14ac:dyDescent="0.2">
      <c r="BE40" s="108"/>
      <c r="BF40" s="108"/>
      <c r="BG40" s="108"/>
      <c r="BH40" s="108"/>
      <c r="BI40" s="108"/>
      <c r="BR40" s="209"/>
      <c r="BS40" s="209"/>
      <c r="BT40" s="209"/>
      <c r="BU40" s="209"/>
      <c r="BV40" s="209"/>
      <c r="BW40" s="209"/>
      <c r="BX40" s="209"/>
      <c r="BY40" s="209"/>
      <c r="BZ40" s="209"/>
      <c r="CA40" s="209"/>
      <c r="CB40" s="209"/>
    </row>
    <row r="41" spans="17:82" x14ac:dyDescent="0.2">
      <c r="BE41" s="108"/>
      <c r="BF41" s="108"/>
      <c r="BG41" s="108"/>
      <c r="BH41" s="108"/>
      <c r="BI41" s="108"/>
      <c r="BR41" s="209"/>
      <c r="BS41" s="209"/>
      <c r="BT41" s="209"/>
      <c r="BU41" s="209"/>
      <c r="BV41" s="209"/>
      <c r="BW41" s="209"/>
      <c r="BX41" s="209"/>
      <c r="BY41" s="209"/>
      <c r="BZ41" s="209"/>
      <c r="CA41" s="209"/>
      <c r="CB41" s="209"/>
    </row>
    <row r="42" spans="17:82" x14ac:dyDescent="0.2">
      <c r="Q42" s="97">
        <f>Vrise!G34</f>
        <v>0</v>
      </c>
      <c r="R42" s="97" t="str">
        <f>IF(Param!B21=3,"mm 4C+E","mm 2C+E")</f>
        <v>mm 2C+E</v>
      </c>
      <c r="BE42" s="108"/>
      <c r="BF42" s="108"/>
      <c r="BG42" s="108"/>
      <c r="BH42" s="108"/>
      <c r="BI42" s="108"/>
      <c r="BR42" s="209"/>
      <c r="BS42" s="209"/>
      <c r="BT42" s="209"/>
      <c r="BU42" s="209"/>
      <c r="BV42" s="209"/>
      <c r="BW42" s="209"/>
      <c r="BX42" s="209"/>
      <c r="BY42" s="209"/>
      <c r="BZ42" s="209"/>
      <c r="CA42" s="209"/>
      <c r="CB42" s="209"/>
    </row>
    <row r="43" spans="17:82" x14ac:dyDescent="0.2">
      <c r="AA43" s="115" t="s">
        <v>93</v>
      </c>
    </row>
    <row r="44" spans="17:82" x14ac:dyDescent="0.2">
      <c r="AA44" s="115" t="s">
        <v>92</v>
      </c>
      <c r="AM44" s="115" t="s">
        <v>95</v>
      </c>
      <c r="AR44" s="115" t="s">
        <v>95</v>
      </c>
      <c r="BT44" s="106"/>
      <c r="BU44" s="106"/>
      <c r="BV44" s="106"/>
      <c r="BW44" s="106"/>
      <c r="BX44" s="106"/>
      <c r="BY44" s="106"/>
      <c r="BZ44" s="106"/>
      <c r="CA44" s="106"/>
      <c r="CB44" s="106"/>
    </row>
    <row r="45" spans="17:82" x14ac:dyDescent="0.2">
      <c r="AA45" s="115" t="s">
        <v>34</v>
      </c>
      <c r="AM45" s="115" t="s">
        <v>94</v>
      </c>
      <c r="AR45" s="115" t="s">
        <v>94</v>
      </c>
      <c r="BC45" s="97">
        <f>Param!B24</f>
        <v>12</v>
      </c>
      <c r="BD45" s="97" t="s">
        <v>40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AH46" s="97" t="s">
        <v>43</v>
      </c>
      <c r="AM46" s="115" t="s">
        <v>52</v>
      </c>
      <c r="AR46" s="115" t="s">
        <v>51</v>
      </c>
      <c r="BR46" s="109" t="s">
        <v>48</v>
      </c>
      <c r="BS46" s="98"/>
      <c r="BT46" s="98"/>
      <c r="BU46" s="110"/>
      <c r="BV46" s="27" t="s">
        <v>47</v>
      </c>
      <c r="BW46" s="109" t="s">
        <v>46</v>
      </c>
      <c r="BX46" s="98"/>
      <c r="BY46" s="98"/>
      <c r="BZ46" s="98"/>
      <c r="CA46" s="98"/>
      <c r="CB46" s="98"/>
      <c r="CC46" s="98"/>
      <c r="CD46" s="110"/>
    </row>
    <row r="47" spans="17:82" x14ac:dyDescent="0.2">
      <c r="AH47" s="97" t="s">
        <v>38</v>
      </c>
      <c r="BR47" s="99" t="s">
        <v>45</v>
      </c>
      <c r="BS47" s="108"/>
      <c r="BT47" s="108"/>
      <c r="BU47" s="101"/>
      <c r="BV47" s="25">
        <f>SUM(BY24:CD24)</f>
        <v>12</v>
      </c>
      <c r="BW47" s="99" t="str">
        <f>_xlfn.CONCAT(BW7," ",BW9,"W")</f>
        <v>LG NeON 2 365W</v>
      </c>
      <c r="BX47" s="108"/>
      <c r="BY47" s="108"/>
      <c r="BZ47" s="108"/>
      <c r="CA47" s="108"/>
      <c r="CB47" s="108"/>
      <c r="CC47" s="108"/>
      <c r="CD47" s="101"/>
    </row>
    <row r="48" spans="17:82" x14ac:dyDescent="0.2">
      <c r="AH48" s="97" t="s">
        <v>35</v>
      </c>
      <c r="AM48" s="95"/>
      <c r="AR48" s="95"/>
      <c r="BR48" s="99" t="s">
        <v>44</v>
      </c>
      <c r="BS48" s="108"/>
      <c r="BT48" s="108"/>
      <c r="BU48" s="101"/>
      <c r="BV48" s="25">
        <v>1</v>
      </c>
      <c r="BW48" s="149" t="str">
        <f>BV18</f>
        <v>SB4.0-1AV-40</v>
      </c>
      <c r="BX48" s="108"/>
      <c r="BY48" s="108"/>
      <c r="BZ48" s="108"/>
      <c r="CA48" s="108"/>
      <c r="CB48" s="108"/>
      <c r="CC48" s="108"/>
      <c r="CD48" s="101"/>
    </row>
    <row r="49" spans="11:82" x14ac:dyDescent="0.2">
      <c r="AM49" s="95"/>
      <c r="AR49" s="95"/>
      <c r="BR49" s="99" t="s">
        <v>39</v>
      </c>
      <c r="BS49" s="108"/>
      <c r="BT49" s="108"/>
      <c r="BU49" s="101"/>
      <c r="BV49" s="25"/>
      <c r="BW49" s="210">
        <f>BV19</f>
        <v>4.2</v>
      </c>
      <c r="BX49" s="211"/>
      <c r="BY49" s="211"/>
      <c r="BZ49" s="108"/>
      <c r="CA49" s="108"/>
      <c r="CB49" s="108"/>
      <c r="CC49" s="108"/>
      <c r="CD49" s="101"/>
    </row>
    <row r="50" spans="11:82" x14ac:dyDescent="0.2">
      <c r="BR50" s="99" t="s">
        <v>37</v>
      </c>
      <c r="BS50" s="108"/>
      <c r="BT50" s="108"/>
      <c r="BU50" s="101"/>
      <c r="BV50" s="25">
        <v>1</v>
      </c>
      <c r="BW50" s="99" t="s">
        <v>36</v>
      </c>
      <c r="BX50" s="108"/>
      <c r="BY50" s="108"/>
      <c r="BZ50" s="108"/>
      <c r="CA50" s="108"/>
      <c r="CB50" s="108"/>
      <c r="CC50" s="108"/>
      <c r="CD50" s="101"/>
    </row>
    <row r="51" spans="11:82" x14ac:dyDescent="0.2">
      <c r="BR51" s="99" t="s">
        <v>34</v>
      </c>
      <c r="BS51" s="108"/>
      <c r="BT51" s="108"/>
      <c r="BU51" s="101"/>
      <c r="BV51" s="25">
        <v>1</v>
      </c>
      <c r="BW51" s="99" t="s">
        <v>89</v>
      </c>
      <c r="BX51" s="108"/>
      <c r="BY51" s="108"/>
      <c r="BZ51" s="108"/>
      <c r="CA51" s="108"/>
      <c r="CB51" s="108"/>
      <c r="CC51" s="108"/>
      <c r="CD51" s="101"/>
    </row>
    <row r="52" spans="11:82" x14ac:dyDescent="0.2">
      <c r="BR52" s="99" t="s">
        <v>33</v>
      </c>
      <c r="BS52" s="108"/>
      <c r="BT52" s="108"/>
      <c r="BU52" s="101"/>
      <c r="BV52" s="25">
        <v>2</v>
      </c>
      <c r="BW52" s="99" t="s">
        <v>32</v>
      </c>
      <c r="BX52" s="108"/>
      <c r="BY52" s="108"/>
      <c r="BZ52" s="108"/>
      <c r="CA52" s="108"/>
      <c r="CB52" s="108"/>
      <c r="CC52" s="108"/>
      <c r="CD52" s="101"/>
    </row>
    <row r="53" spans="11:82" x14ac:dyDescent="0.2">
      <c r="BR53" s="111" t="s">
        <v>31</v>
      </c>
      <c r="BS53" s="112"/>
      <c r="BT53" s="112"/>
      <c r="BU53" s="113"/>
      <c r="BV53" s="24">
        <v>1</v>
      </c>
      <c r="BW53" s="99" t="s">
        <v>30</v>
      </c>
      <c r="BX53" s="108"/>
      <c r="BY53" s="112"/>
      <c r="BZ53" s="112"/>
      <c r="CA53" s="112"/>
      <c r="CB53" s="112"/>
      <c r="CC53" s="112"/>
      <c r="CD53" s="113"/>
    </row>
    <row r="54" spans="11:82" x14ac:dyDescent="0.2">
      <c r="K54" s="87" t="str">
        <f>IF(Param!B43&lt;&gt;"","Existing Array","")</f>
        <v/>
      </c>
      <c r="BW54" s="103"/>
      <c r="BX54" s="103"/>
    </row>
    <row r="55" spans="11:82" x14ac:dyDescent="0.2">
      <c r="K55" s="129" t="str">
        <f>IF(Param!B43&lt;&gt;"",_xlfn.CONCAT(Param!B43," kWac"),"")</f>
        <v/>
      </c>
      <c r="BX55" s="106"/>
    </row>
    <row r="56" spans="11:82" x14ac:dyDescent="0.2">
      <c r="BR56" s="23" t="s">
        <v>29</v>
      </c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110"/>
    </row>
    <row r="57" spans="11:82" x14ac:dyDescent="0.2">
      <c r="BR57" s="99" t="s">
        <v>28</v>
      </c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1"/>
    </row>
    <row r="58" spans="11:82" x14ac:dyDescent="0.2">
      <c r="BR58" s="99" t="s">
        <v>27</v>
      </c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1"/>
    </row>
    <row r="59" spans="11:82" x14ac:dyDescent="0.2">
      <c r="AZ59" s="209"/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  <c r="BR59" s="99" t="s">
        <v>26</v>
      </c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1"/>
    </row>
    <row r="60" spans="11:82" x14ac:dyDescent="0.2">
      <c r="O60" s="129" t="str">
        <f>IF(Param!B43&lt;&gt;"","Inverter","")</f>
        <v/>
      </c>
      <c r="BR60" s="99" t="s">
        <v>25</v>
      </c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1"/>
    </row>
    <row r="61" spans="11:82" x14ac:dyDescent="0.2">
      <c r="O61" s="129" t="str">
        <f>IF(Param!B43&lt;&gt;"","A.C. Isolator","")</f>
        <v/>
      </c>
      <c r="BR61" s="99" t="s">
        <v>24</v>
      </c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1"/>
    </row>
    <row r="62" spans="11:82" x14ac:dyDescent="0.2">
      <c r="AZ62" s="20"/>
      <c r="BA62" s="20"/>
      <c r="BD62" s="19"/>
      <c r="BE62" s="19"/>
      <c r="BJ62" s="18"/>
      <c r="BR62" s="99" t="s">
        <v>23</v>
      </c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1"/>
    </row>
    <row r="63" spans="11:82" x14ac:dyDescent="0.2">
      <c r="AZ63" s="20"/>
      <c r="BA63" s="20"/>
      <c r="BD63" s="19"/>
      <c r="BE63" s="19"/>
      <c r="BJ63" s="18"/>
      <c r="BR63" s="99" t="s">
        <v>22</v>
      </c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1"/>
    </row>
    <row r="64" spans="11:82" x14ac:dyDescent="0.2">
      <c r="AZ64" s="20"/>
      <c r="BA64" s="20"/>
      <c r="BD64" s="19"/>
      <c r="BE64" s="19"/>
      <c r="BJ64" s="18"/>
      <c r="BR64" s="99" t="s">
        <v>21</v>
      </c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1"/>
    </row>
    <row r="65" spans="2:82" x14ac:dyDescent="0.2">
      <c r="AZ65" s="20"/>
      <c r="BA65" s="20"/>
      <c r="BD65" s="19"/>
      <c r="BE65" s="19"/>
      <c r="BJ65" s="18"/>
      <c r="BR65" s="99" t="s">
        <v>20</v>
      </c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1"/>
    </row>
    <row r="66" spans="2:82" x14ac:dyDescent="0.2">
      <c r="J66" s="97" t="str">
        <f>IF(Param!B44&lt;&gt;"",_xlfn.CONCAT("Note: ",Param!B44),"")</f>
        <v/>
      </c>
      <c r="AO66" s="11"/>
      <c r="BR66" s="111" t="s">
        <v>19</v>
      </c>
      <c r="BS66" s="112"/>
      <c r="BT66" s="112"/>
      <c r="BU66" s="112"/>
      <c r="BV66" s="112"/>
      <c r="BW66" s="112"/>
      <c r="BX66" s="112"/>
      <c r="BY66" s="112"/>
      <c r="BZ66" s="112"/>
      <c r="CA66" s="112"/>
      <c r="CB66" s="112"/>
      <c r="CC66" s="112"/>
      <c r="CD66" s="113"/>
    </row>
    <row r="67" spans="2:82" x14ac:dyDescent="0.2">
      <c r="AO67" s="11"/>
      <c r="BR67" s="102" t="s">
        <v>18</v>
      </c>
      <c r="BS67" s="103"/>
      <c r="BT67" s="103"/>
      <c r="BU67" s="103"/>
      <c r="BV67" s="103"/>
      <c r="BW67" s="103"/>
      <c r="BX67" s="103"/>
      <c r="BY67" s="103"/>
      <c r="BZ67" s="103"/>
      <c r="CA67" s="103"/>
      <c r="CB67" s="103"/>
      <c r="CC67" s="103"/>
      <c r="CD67" s="5"/>
    </row>
    <row r="68" spans="2:82" x14ac:dyDescent="0.2">
      <c r="B68" s="106"/>
      <c r="C68" s="106"/>
      <c r="BR68" s="105" t="s">
        <v>17</v>
      </c>
      <c r="BS68" s="106"/>
      <c r="BT68" s="106"/>
      <c r="BU68" s="106"/>
      <c r="BV68" s="106"/>
      <c r="BW68" s="106"/>
      <c r="BX68" s="106"/>
      <c r="BY68" s="106"/>
      <c r="BZ68" s="106"/>
      <c r="CA68" s="106"/>
      <c r="CB68" s="106"/>
      <c r="CC68" s="106"/>
      <c r="CD68" s="1"/>
    </row>
    <row r="69" spans="2:82" x14ac:dyDescent="0.2">
      <c r="B69" s="97" t="s">
        <v>16</v>
      </c>
      <c r="D69" s="103"/>
      <c r="E69" s="103"/>
      <c r="F69" s="103"/>
      <c r="G69" s="103"/>
      <c r="H69" s="103"/>
      <c r="I69" s="103"/>
      <c r="J69" s="5"/>
      <c r="K69" s="102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5"/>
      <c r="X69" s="102"/>
      <c r="Y69" s="103" t="s">
        <v>15</v>
      </c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97" t="s">
        <v>14</v>
      </c>
      <c r="AZ69" s="197"/>
      <c r="BA69" s="198"/>
      <c r="BB69" s="102" t="str">
        <f>Param!B3</f>
        <v xml:space="preserve">Miller, Ian </v>
      </c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  <c r="BM69" s="5"/>
      <c r="BN69" s="102" t="str">
        <f>_xlfn.CONCAT(BV47," ",BW7," - ",BV48," ",BW48)</f>
        <v>12 LG NeON 2 - 1 SB4.0-1AV-40</v>
      </c>
      <c r="BO69" s="103"/>
      <c r="BP69" s="103"/>
      <c r="BQ69" s="103"/>
      <c r="BR69" s="103"/>
      <c r="BS69" s="103"/>
      <c r="BT69" s="103"/>
      <c r="BU69" s="103"/>
      <c r="BV69" s="103"/>
      <c r="BW69" s="103"/>
      <c r="BX69" s="103"/>
      <c r="CB69" s="201">
        <f>BW49</f>
        <v>4.2</v>
      </c>
      <c r="CC69" s="201"/>
      <c r="CD69" s="202"/>
    </row>
    <row r="70" spans="2:82" x14ac:dyDescent="0.2">
      <c r="J70" s="8"/>
      <c r="K70" s="104"/>
      <c r="W70" s="8"/>
      <c r="X70" s="105"/>
      <c r="Y70" s="106" t="s">
        <v>5</v>
      </c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/>
      <c r="AW70" s="106"/>
      <c r="AX70" s="106"/>
      <c r="AY70" s="106"/>
      <c r="AZ70" s="106"/>
      <c r="BA70" s="1"/>
      <c r="BB70" s="105"/>
      <c r="BC70" s="106"/>
      <c r="BD70" s="106"/>
      <c r="BE70" s="106"/>
      <c r="BF70" s="106"/>
      <c r="BG70" s="106"/>
      <c r="BH70" s="106"/>
      <c r="BI70" s="106"/>
      <c r="BJ70" s="106"/>
      <c r="BK70" s="106"/>
      <c r="BL70" s="106"/>
      <c r="BM70" s="1"/>
      <c r="BN70" s="105" t="s">
        <v>13</v>
      </c>
      <c r="BO70" s="106"/>
      <c r="BP70" s="106"/>
      <c r="BQ70" s="106"/>
      <c r="BR70" s="106"/>
      <c r="BS70" s="106"/>
      <c r="BT70" s="106"/>
      <c r="BU70" s="106"/>
      <c r="BV70" s="106"/>
      <c r="BW70" s="106"/>
      <c r="BX70" s="106"/>
      <c r="BY70" s="106"/>
      <c r="BZ70" s="106"/>
      <c r="CA70" s="106"/>
      <c r="CB70" s="106"/>
      <c r="CC70" s="106"/>
      <c r="CD70" s="1"/>
    </row>
    <row r="71" spans="2:82" x14ac:dyDescent="0.2">
      <c r="J71" s="8"/>
      <c r="K71" s="104"/>
      <c r="W71" s="8"/>
      <c r="X71" s="102"/>
      <c r="Y71" s="103" t="s">
        <v>12</v>
      </c>
      <c r="Z71" s="103"/>
      <c r="AA71" s="103"/>
      <c r="AB71" s="103"/>
      <c r="AC71" s="103"/>
      <c r="AD71" s="103"/>
      <c r="AE71" s="103"/>
      <c r="AF71" s="103"/>
      <c r="AG71" s="103"/>
      <c r="AH71" s="103"/>
      <c r="AI71" s="103"/>
      <c r="AJ71" s="103"/>
      <c r="AK71" s="103"/>
      <c r="AL71" s="103"/>
      <c r="AM71" s="103"/>
      <c r="AN71" s="103"/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97" t="s">
        <v>11</v>
      </c>
      <c r="AZ71" s="197"/>
      <c r="BA71" s="198"/>
      <c r="BB71" s="102" t="str">
        <f>Param!B4</f>
        <v>154 Princeton Ave  Adamstown Heights</v>
      </c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  <c r="BM71" s="5"/>
      <c r="BN71" s="102" t="s">
        <v>10</v>
      </c>
      <c r="BO71" s="103"/>
      <c r="BP71" s="5"/>
      <c r="BQ71" s="102" t="s">
        <v>9</v>
      </c>
      <c r="BR71" s="103"/>
      <c r="BS71" s="5"/>
      <c r="BT71" s="102" t="s">
        <v>8</v>
      </c>
      <c r="BU71" s="103"/>
      <c r="BV71" s="103"/>
      <c r="BW71" s="5"/>
      <c r="BX71" s="102" t="s">
        <v>7</v>
      </c>
      <c r="BY71" s="103"/>
      <c r="BZ71" s="5"/>
      <c r="CA71" s="102" t="s">
        <v>6</v>
      </c>
      <c r="CB71" s="103"/>
      <c r="CC71" s="103"/>
      <c r="CD71" s="5"/>
    </row>
    <row r="72" spans="2:82" x14ac:dyDescent="0.2">
      <c r="J72" s="8"/>
      <c r="K72" s="104"/>
      <c r="W72" s="8"/>
      <c r="X72" s="105"/>
      <c r="Y72" s="106" t="s">
        <v>5</v>
      </c>
      <c r="Z72" s="106"/>
      <c r="AA72" s="106"/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/>
      <c r="AW72" s="106"/>
      <c r="AX72" s="106"/>
      <c r="AY72" s="106"/>
      <c r="AZ72" s="106"/>
      <c r="BA72" s="1"/>
      <c r="BB72" s="105"/>
      <c r="BC72" s="106"/>
      <c r="BD72" s="106"/>
      <c r="BE72" s="106"/>
      <c r="BF72" s="106"/>
      <c r="BG72" s="106"/>
      <c r="BH72" s="106"/>
      <c r="BI72" s="106"/>
      <c r="BJ72" s="106"/>
      <c r="BK72" s="106"/>
      <c r="BL72" s="106"/>
      <c r="BM72" s="1"/>
      <c r="BN72" s="203" t="s">
        <v>99</v>
      </c>
      <c r="BO72" s="204"/>
      <c r="BP72" s="205"/>
      <c r="BQ72" s="203" t="s">
        <v>4</v>
      </c>
      <c r="BR72" s="204"/>
      <c r="BS72" s="205"/>
      <c r="BT72" s="203" t="s">
        <v>4</v>
      </c>
      <c r="BU72" s="204"/>
      <c r="BV72" s="204"/>
      <c r="BW72" s="1"/>
      <c r="BX72" s="206">
        <f ca="1">TODAY()</f>
        <v>44245</v>
      </c>
      <c r="BY72" s="207"/>
      <c r="BZ72" s="208"/>
      <c r="CA72" s="10" t="s">
        <v>3</v>
      </c>
      <c r="CB72" s="106"/>
      <c r="CC72" s="106"/>
      <c r="CD72" s="1"/>
    </row>
    <row r="73" spans="2:82" x14ac:dyDescent="0.2">
      <c r="J73" s="8"/>
      <c r="K73" s="104"/>
      <c r="W73" s="8"/>
      <c r="X73" s="102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Y73" s="197" t="s">
        <v>2</v>
      </c>
      <c r="AZ73" s="197"/>
      <c r="BA73" s="198"/>
      <c r="BB73" s="199">
        <f>Param!B2</f>
        <v>26181</v>
      </c>
      <c r="BC73" s="200"/>
      <c r="BD73" s="103"/>
      <c r="BE73" s="103"/>
      <c r="BF73" s="103"/>
      <c r="BG73" s="103"/>
      <c r="BH73" s="103"/>
      <c r="BI73" s="103"/>
      <c r="BJ73" s="103"/>
      <c r="BK73" s="103"/>
      <c r="BL73" s="103"/>
      <c r="BM73" s="5"/>
      <c r="BN73" s="102" t="s">
        <v>1</v>
      </c>
      <c r="BO73" s="103"/>
      <c r="BP73" s="103"/>
      <c r="BQ73" s="103">
        <v>1</v>
      </c>
      <c r="BR73" s="103"/>
      <c r="BS73" s="103"/>
      <c r="BT73" s="103"/>
      <c r="BU73" s="103"/>
      <c r="BV73" s="103"/>
      <c r="BW73" s="103"/>
      <c r="BX73" s="103"/>
      <c r="BY73" s="103"/>
      <c r="BZ73" s="103"/>
      <c r="CA73" s="103"/>
      <c r="CB73" s="103"/>
      <c r="CC73" s="103"/>
      <c r="CD73" s="5"/>
    </row>
    <row r="74" spans="2:82" x14ac:dyDescent="0.2">
      <c r="C74" s="106"/>
      <c r="D74" s="106"/>
      <c r="E74" s="106"/>
      <c r="F74" s="106"/>
      <c r="G74" s="106"/>
      <c r="H74" s="106"/>
      <c r="I74" s="106"/>
      <c r="J74" s="1"/>
      <c r="K74" s="105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"/>
      <c r="X74" s="105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Z74" s="106"/>
      <c r="BA74" s="1"/>
      <c r="BB74" s="105"/>
      <c r="BC74" s="106"/>
      <c r="BD74" s="106"/>
      <c r="BE74" s="106"/>
      <c r="BF74" s="106"/>
      <c r="BG74" s="106"/>
      <c r="BH74" s="106"/>
      <c r="BI74" s="106"/>
      <c r="BJ74" s="106"/>
      <c r="BK74" s="106"/>
      <c r="BL74" s="106"/>
      <c r="BM74" s="1"/>
      <c r="BN74" s="105" t="s">
        <v>0</v>
      </c>
      <c r="BO74" s="106"/>
      <c r="BP74" s="106"/>
      <c r="BQ74" s="3" t="s">
        <v>152</v>
      </c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"/>
    </row>
  </sheetData>
  <mergeCells count="87">
    <mergeCell ref="CA25:CB25"/>
    <mergeCell ref="BY26:BZ26"/>
    <mergeCell ref="CA26:CB26"/>
    <mergeCell ref="BT31:BU31"/>
    <mergeCell ref="BV31:BW31"/>
    <mergeCell ref="BX31:BY31"/>
    <mergeCell ref="BZ31:CA31"/>
    <mergeCell ref="CB31:CC31"/>
    <mergeCell ref="BR36:BU36"/>
    <mergeCell ref="BR37:BU37"/>
    <mergeCell ref="BR39:BU39"/>
    <mergeCell ref="BZ32:CA32"/>
    <mergeCell ref="CB32:CC32"/>
    <mergeCell ref="BR33:CC33"/>
    <mergeCell ref="BT32:BU32"/>
    <mergeCell ref="BV32:BW32"/>
    <mergeCell ref="BX32:BY32"/>
    <mergeCell ref="BR38:BU38"/>
    <mergeCell ref="BV38:BY38"/>
    <mergeCell ref="BZ38:CC38"/>
    <mergeCell ref="BR34:BU34"/>
    <mergeCell ref="BV34:BY34"/>
    <mergeCell ref="BZ34:CC34"/>
    <mergeCell ref="BR35:BU35"/>
    <mergeCell ref="CA40:CB40"/>
    <mergeCell ref="BV36:BY36"/>
    <mergeCell ref="BZ36:CC36"/>
    <mergeCell ref="BV37:BY37"/>
    <mergeCell ref="BZ37:CC37"/>
    <mergeCell ref="BV39:BY39"/>
    <mergeCell ref="BZ39:CC39"/>
    <mergeCell ref="CA41:CB41"/>
    <mergeCell ref="BR42:BT42"/>
    <mergeCell ref="BU42:BV42"/>
    <mergeCell ref="BW42:BX42"/>
    <mergeCell ref="BY42:BZ42"/>
    <mergeCell ref="CA42:CB42"/>
    <mergeCell ref="BR40:BT40"/>
    <mergeCell ref="BU40:BV40"/>
    <mergeCell ref="BW40:BX40"/>
    <mergeCell ref="BY40:BZ40"/>
    <mergeCell ref="BW49:BY49"/>
    <mergeCell ref="BR41:BT41"/>
    <mergeCell ref="BU41:BV41"/>
    <mergeCell ref="BW41:BX41"/>
    <mergeCell ref="BY41:BZ41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V35:BY35"/>
    <mergeCell ref="BZ35:CC35"/>
    <mergeCell ref="BW8:BZ8"/>
    <mergeCell ref="CA11:CC11"/>
    <mergeCell ref="BY23:BZ23"/>
    <mergeCell ref="CA23:CB23"/>
    <mergeCell ref="BY24:BZ24"/>
    <mergeCell ref="CA24:CB24"/>
    <mergeCell ref="BV16:BZ16"/>
    <mergeCell ref="BV17:BZ17"/>
    <mergeCell ref="CA27:CB27"/>
    <mergeCell ref="CA19:CB19"/>
    <mergeCell ref="BY27:BZ27"/>
    <mergeCell ref="BY25:BZ25"/>
    <mergeCell ref="BV18:BZ18"/>
    <mergeCell ref="BV19:BZ19"/>
    <mergeCell ref="BW9:BZ9"/>
    <mergeCell ref="BW10:BZ10"/>
    <mergeCell ref="BW11:BZ11"/>
    <mergeCell ref="BW12:BZ12"/>
    <mergeCell ref="BW6:BZ6"/>
    <mergeCell ref="BW7:BZ7"/>
    <mergeCell ref="CC23:CD23"/>
    <mergeCell ref="CC24:CD24"/>
    <mergeCell ref="CC25:CD25"/>
    <mergeCell ref="CC26:CD26"/>
    <mergeCell ref="CC27:CD27"/>
  </mergeCells>
  <conditionalFormatting sqref="BH62:BI65">
    <cfRule type="cellIs" dxfId="6" priority="5" operator="greaterThan">
      <formula>600</formula>
    </cfRule>
  </conditionalFormatting>
  <conditionalFormatting sqref="BZ31:CA32">
    <cfRule type="cellIs" dxfId="5" priority="3" operator="greaterThan">
      <formula>600</formula>
    </cfRule>
  </conditionalFormatting>
  <conditionalFormatting sqref="BZ28:CA30">
    <cfRule type="cellIs" dxfId="4" priority="2" operator="greaterThan">
      <formula>600</formula>
    </cfRule>
  </conditionalFormatting>
  <pageMargins left="0" right="0" top="0" bottom="0" header="0" footer="0"/>
  <pageSetup paperSize="9" scale="4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A8D0-7256-E34E-9DBD-CA19E1ABA3ED}">
  <sheetPr codeName="Feuil13">
    <pageSetUpPr fitToPage="1"/>
  </sheetPr>
  <dimension ref="B5:CD74"/>
  <sheetViews>
    <sheetView showGridLines="0" zoomScale="75" zoomScaleNormal="85" workbookViewId="0">
      <selection activeCell="U86" sqref="U86"/>
    </sheetView>
  </sheetViews>
  <sheetFormatPr baseColWidth="10" defaultRowHeight="16" x14ac:dyDescent="0.2"/>
  <cols>
    <col min="1" max="73" width="3.33203125" customWidth="1"/>
    <col min="74" max="74" width="4.1640625" bestFit="1" customWidth="1"/>
    <col min="75" max="75" width="3.33203125" customWidth="1"/>
    <col min="76" max="76" width="3.83203125" customWidth="1"/>
    <col min="77" max="83" width="3.33203125" customWidth="1"/>
  </cols>
  <sheetData>
    <row r="5" spans="4:81" x14ac:dyDescent="0.2">
      <c r="D5" s="87" t="s">
        <v>96</v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AK6" s="87" t="str">
        <f>IF(Param!D2=1,"Block Diagram","")</f>
        <v/>
      </c>
      <c r="BJ6" s="52"/>
      <c r="BR6" s="44" t="s">
        <v>62</v>
      </c>
      <c r="BS6" s="38"/>
      <c r="BT6" s="38"/>
      <c r="BU6" s="38"/>
      <c r="BV6" s="237" t="str">
        <f>Param!B11</f>
        <v>LG Electronics</v>
      </c>
      <c r="BW6" s="237"/>
      <c r="BX6" s="237"/>
      <c r="BY6" s="237"/>
      <c r="BZ6" s="238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V7" s="187" t="str">
        <f>Param!B12</f>
        <v>LG NeON 2</v>
      </c>
      <c r="BW7" s="187"/>
      <c r="BX7" s="187"/>
      <c r="BY7" s="187"/>
      <c r="BZ7" s="188"/>
    </row>
    <row r="8" spans="4:81" x14ac:dyDescent="0.2">
      <c r="BL8" s="50"/>
      <c r="BM8" s="50"/>
      <c r="BN8" s="50"/>
      <c r="BR8" s="44" t="s">
        <v>133</v>
      </c>
      <c r="BW8" s="192">
        <f>Param!B13</f>
        <v>18</v>
      </c>
      <c r="BX8" s="192"/>
      <c r="BY8" s="192"/>
      <c r="BZ8" s="193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38"/>
      <c r="BX9" s="177">
        <f>Param!B14</f>
        <v>365</v>
      </c>
      <c r="BY9" s="177"/>
      <c r="BZ9" s="178"/>
    </row>
    <row r="10" spans="4:81" x14ac:dyDescent="0.2">
      <c r="BR10" s="44" t="s">
        <v>66</v>
      </c>
      <c r="BS10" s="38"/>
      <c r="BT10" s="38"/>
      <c r="BU10" s="38"/>
      <c r="BV10" s="38"/>
      <c r="BW10" s="38"/>
      <c r="BX10" s="179">
        <f>Param!B15</f>
        <v>41.7</v>
      </c>
      <c r="BY10" s="179"/>
      <c r="BZ10" s="180"/>
    </row>
    <row r="11" spans="4:81" x14ac:dyDescent="0.2">
      <c r="BR11" s="44" t="s">
        <v>65</v>
      </c>
      <c r="BS11" s="138"/>
      <c r="BT11" s="138"/>
      <c r="BU11" s="138"/>
      <c r="BV11" s="138"/>
      <c r="BW11" s="138"/>
      <c r="BX11" s="181">
        <f>Param!B16</f>
        <v>10.88</v>
      </c>
      <c r="BY11" s="181"/>
      <c r="BZ11" s="182"/>
      <c r="CA11" s="194"/>
      <c r="CB11" s="194"/>
      <c r="CC11" s="194"/>
    </row>
    <row r="12" spans="4:81" x14ac:dyDescent="0.2">
      <c r="AM12" s="148" t="str">
        <f>IF(Param!D10&lt;&gt;"",_xlfn.CONCAT("Note: ",Param!D10),"")</f>
        <v/>
      </c>
      <c r="AW12" s="100"/>
      <c r="AX12" s="100"/>
      <c r="AY12" s="100"/>
      <c r="AZ12" s="100"/>
      <c r="BA12" s="100"/>
      <c r="BB12" s="100"/>
      <c r="BC12" s="100"/>
      <c r="BD12" s="239"/>
      <c r="BE12" s="239"/>
      <c r="BF12" s="239"/>
      <c r="BG12" s="239"/>
      <c r="BR12" s="48" t="s">
        <v>134</v>
      </c>
      <c r="BS12" s="40"/>
      <c r="BT12" s="40"/>
      <c r="BU12" s="40"/>
      <c r="BV12" s="243" t="str">
        <f>_xlfn.CONCAT(BW8*Param!B14/1000, " kWdc")</f>
        <v>6.57 kWdc</v>
      </c>
      <c r="BW12" s="243"/>
      <c r="BX12" s="243"/>
      <c r="BY12" s="243"/>
      <c r="BZ12" s="244"/>
      <c r="CC12" s="39"/>
    </row>
    <row r="13" spans="4:81" x14ac:dyDescent="0.2">
      <c r="AW13" s="100"/>
      <c r="AX13" s="100"/>
      <c r="AY13" s="100"/>
      <c r="AZ13" s="100"/>
      <c r="BA13" s="100"/>
      <c r="BB13" s="100"/>
      <c r="BC13" s="100"/>
      <c r="BD13" s="239"/>
      <c r="BE13" s="239"/>
      <c r="BF13" s="239"/>
      <c r="BG13" s="239"/>
      <c r="CC13" s="39"/>
    </row>
    <row r="14" spans="4:81" x14ac:dyDescent="0.2">
      <c r="AW14" s="100"/>
      <c r="AX14" s="100"/>
      <c r="AY14" s="100"/>
      <c r="AZ14" s="100"/>
      <c r="BA14" s="100"/>
      <c r="BB14" s="100"/>
      <c r="BC14" s="100"/>
      <c r="BD14" s="239"/>
      <c r="BE14" s="239"/>
      <c r="BF14" s="239"/>
      <c r="BG14" s="239"/>
      <c r="CC14" s="39"/>
    </row>
    <row r="15" spans="4:81" x14ac:dyDescent="0.2">
      <c r="AW15" s="100"/>
      <c r="AX15" s="100"/>
      <c r="AY15" s="100"/>
      <c r="AZ15" s="100"/>
      <c r="BA15" s="100"/>
      <c r="BB15" s="100"/>
      <c r="BC15" s="100"/>
      <c r="BD15" s="239"/>
      <c r="BE15" s="239"/>
      <c r="BF15" s="239"/>
      <c r="BG15" s="239"/>
      <c r="BK15" s="39"/>
      <c r="BL15" s="39"/>
      <c r="BM15" s="39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39"/>
    </row>
    <row r="16" spans="4:81" x14ac:dyDescent="0.2">
      <c r="AW16" s="100"/>
      <c r="AX16" s="100"/>
      <c r="AY16" s="100"/>
      <c r="AZ16" s="100"/>
      <c r="BA16" s="100"/>
      <c r="BB16" s="100"/>
      <c r="BC16" s="100"/>
      <c r="BD16" s="239"/>
      <c r="BE16" s="239"/>
      <c r="BF16" s="239"/>
      <c r="BG16" s="239"/>
      <c r="BR16" s="44" t="s">
        <v>63</v>
      </c>
      <c r="BS16" s="38"/>
      <c r="BT16" s="38"/>
      <c r="BU16" s="38"/>
      <c r="BV16" s="185">
        <v>1</v>
      </c>
      <c r="BW16" s="185"/>
      <c r="BX16" s="185"/>
      <c r="BY16" s="185"/>
      <c r="BZ16" s="186"/>
      <c r="CC16" s="39"/>
    </row>
    <row r="17" spans="4:81" x14ac:dyDescent="0.2"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R17" s="44" t="s">
        <v>62</v>
      </c>
      <c r="BS17" s="38"/>
      <c r="BT17" s="38"/>
      <c r="BU17" s="38"/>
      <c r="BV17" s="185" t="str">
        <f>Param!B19</f>
        <v>SMA</v>
      </c>
      <c r="BW17" s="185"/>
      <c r="BX17" s="185"/>
      <c r="BY17" s="185"/>
      <c r="BZ17" s="186"/>
      <c r="CA17" s="39"/>
      <c r="CB17" s="39"/>
      <c r="CC17" s="39"/>
    </row>
    <row r="18" spans="4:81" ht="16" customHeight="1" x14ac:dyDescent="0.2"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R18" s="43" t="s">
        <v>61</v>
      </c>
      <c r="BS18" s="42"/>
      <c r="BT18" s="38"/>
      <c r="BU18" s="38"/>
      <c r="BV18" s="185" t="str">
        <f>Param!B20</f>
        <v>SB4.0-1AV-40</v>
      </c>
      <c r="BW18" s="185"/>
      <c r="BX18" s="185"/>
      <c r="BY18" s="185"/>
      <c r="BZ18" s="186"/>
      <c r="CA18" s="38"/>
      <c r="CB18" s="38"/>
      <c r="CC18" s="38"/>
    </row>
    <row r="19" spans="4:81" ht="16" customHeight="1" x14ac:dyDescent="0.2"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R19" s="41" t="s">
        <v>60</v>
      </c>
      <c r="BS19" s="40"/>
      <c r="BT19" s="40"/>
      <c r="BU19" s="40"/>
      <c r="BV19" s="195">
        <f>Param!B23</f>
        <v>4.2</v>
      </c>
      <c r="BW19" s="195"/>
      <c r="BX19" s="195"/>
      <c r="BY19" s="195"/>
      <c r="BZ19" s="196"/>
      <c r="CC19" s="38"/>
    </row>
    <row r="20" spans="4:81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CC20" s="38"/>
    </row>
    <row r="21" spans="4:81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CC21" s="37"/>
    </row>
    <row r="22" spans="4:81" x14ac:dyDescent="0.2"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36"/>
    </row>
    <row r="23" spans="4:81" x14ac:dyDescent="0.2">
      <c r="AJ23" s="11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35"/>
    </row>
    <row r="24" spans="4:81" x14ac:dyDescent="0.2">
      <c r="BR24" s="20"/>
      <c r="BS24" s="20"/>
      <c r="BT24" s="133"/>
      <c r="BU24" s="133"/>
      <c r="BV24" s="19"/>
      <c r="BW24" s="19"/>
      <c r="BX24" s="137"/>
      <c r="BY24" s="137"/>
      <c r="BZ24" s="137"/>
      <c r="CA24" s="137"/>
      <c r="CB24" s="34"/>
      <c r="CC24" s="34"/>
    </row>
    <row r="25" spans="4:81" x14ac:dyDescent="0.2">
      <c r="BR25" s="260" t="s">
        <v>59</v>
      </c>
      <c r="BS25" s="242"/>
      <c r="BT25" s="242"/>
      <c r="BU25" s="242" t="s">
        <v>58</v>
      </c>
      <c r="BV25" s="242"/>
      <c r="BW25" s="242" t="s">
        <v>57</v>
      </c>
      <c r="BX25" s="242"/>
      <c r="BY25" s="242" t="s">
        <v>56</v>
      </c>
      <c r="BZ25" s="242"/>
      <c r="CA25" s="242" t="s">
        <v>55</v>
      </c>
      <c r="CB25" s="255"/>
      <c r="CC25" s="34"/>
    </row>
    <row r="26" spans="4:81" x14ac:dyDescent="0.2">
      <c r="BR26" s="228" t="s">
        <v>54</v>
      </c>
      <c r="BS26" s="229"/>
      <c r="BT26" s="230"/>
      <c r="BU26" s="228" t="s">
        <v>53</v>
      </c>
      <c r="BV26" s="230"/>
      <c r="BW26" s="224">
        <f>Param!B24</f>
        <v>12</v>
      </c>
      <c r="BX26" s="219"/>
      <c r="BY26" s="219">
        <f>IF(Param!B19="SolarEdge",380,Param!B24*Param!B15*1.1)</f>
        <v>550.44000000000005</v>
      </c>
      <c r="BZ26" s="220"/>
      <c r="CA26" s="256">
        <f>IF(Param!B19="SolarEdge",(2*BW26*Param!B14)/BY26,2*Param!B16)</f>
        <v>21.76</v>
      </c>
      <c r="CB26" s="257"/>
      <c r="CC26" s="34"/>
    </row>
    <row r="27" spans="4:81" x14ac:dyDescent="0.2">
      <c r="BR27" s="245"/>
      <c r="BS27" s="246"/>
      <c r="BT27" s="247"/>
      <c r="BU27" s="248"/>
      <c r="BV27" s="250"/>
      <c r="BW27" s="249">
        <f>Param!B25</f>
        <v>0</v>
      </c>
      <c r="BX27" s="249"/>
      <c r="BY27" s="249">
        <f>IF(Param!B19="SolarEdge",380,Param!B25*Param!B15*1.1)</f>
        <v>0</v>
      </c>
      <c r="BZ27" s="250"/>
      <c r="CA27" s="253"/>
      <c r="CB27" s="254"/>
      <c r="CC27" s="135"/>
    </row>
    <row r="28" spans="4:81" x14ac:dyDescent="0.2"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245"/>
      <c r="BS28" s="246"/>
      <c r="BT28" s="247"/>
      <c r="BU28" s="228" t="s">
        <v>50</v>
      </c>
      <c r="BV28" s="230"/>
      <c r="BW28" s="246">
        <f>Param!B26</f>
        <v>12</v>
      </c>
      <c r="BX28" s="246"/>
      <c r="BY28" s="246">
        <f>IF(Param!B19="SolarEdge",380,Param!B26*Param!B15*1.1)</f>
        <v>550.44000000000005</v>
      </c>
      <c r="BZ28" s="246"/>
      <c r="CA28" s="251">
        <f>IF(Param!B19="SolarEdge",(BW28*BX9)/BY28,Param!B16)</f>
        <v>10.88</v>
      </c>
      <c r="CB28" s="252"/>
      <c r="CC28" s="135"/>
    </row>
    <row r="29" spans="4:81" x14ac:dyDescent="0.2">
      <c r="L29" s="33"/>
      <c r="M29" s="32"/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16"/>
      <c r="BQ29" s="16"/>
      <c r="BR29" s="248"/>
      <c r="BS29" s="249"/>
      <c r="BT29" s="250"/>
      <c r="BU29" s="248"/>
      <c r="BV29" s="250"/>
      <c r="BW29" s="249"/>
      <c r="BX29" s="249"/>
      <c r="BY29" s="249"/>
      <c r="BZ29" s="249"/>
      <c r="CA29" s="253"/>
      <c r="CB29" s="254"/>
      <c r="CC29" s="135"/>
    </row>
    <row r="30" spans="4:81" x14ac:dyDescent="0.2">
      <c r="D30" s="129" t="str">
        <f>IF(Param!B43&lt;&gt;"","Main switch","")</f>
        <v/>
      </c>
      <c r="J30" t="s">
        <v>90</v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16"/>
      <c r="BQ30" s="16"/>
      <c r="BR30" s="136"/>
      <c r="BS30" s="136"/>
      <c r="BT30" s="133"/>
      <c r="BU30" s="133"/>
      <c r="BV30" s="134"/>
      <c r="BW30" s="134"/>
      <c r="BX30" s="132"/>
      <c r="BY30" s="132"/>
      <c r="BZ30" s="132"/>
      <c r="CA30" s="132"/>
      <c r="CB30" s="135"/>
      <c r="CC30" s="135"/>
    </row>
    <row r="31" spans="4:81" x14ac:dyDescent="0.2">
      <c r="D31" s="129" t="str">
        <f>IF(Param!B43&lt;&gt;"","Inverter supply","")</f>
        <v/>
      </c>
      <c r="J31" t="s">
        <v>91</v>
      </c>
      <c r="BC31" t="str">
        <f>IF(Param!B25&lt;&gt;"",Param!B25,"")</f>
        <v/>
      </c>
      <c r="BD31" t="str">
        <f>IF(Param!B25&lt;&gt;"","Panels","")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16"/>
      <c r="BQ31" s="16"/>
      <c r="BR31" s="20"/>
      <c r="BS31" s="20"/>
      <c r="BT31" s="225"/>
      <c r="BU31" s="225"/>
      <c r="BV31" s="226"/>
      <c r="BW31" s="226"/>
      <c r="BX31" s="209"/>
      <c r="BY31" s="209"/>
      <c r="BZ31" s="209"/>
      <c r="CA31" s="209"/>
      <c r="CB31" s="223"/>
      <c r="CC31" s="223"/>
    </row>
    <row r="32" spans="4:81" x14ac:dyDescent="0.2">
      <c r="BE32" s="16"/>
      <c r="BF32" s="16"/>
      <c r="BG32" s="16"/>
      <c r="BH32" s="16"/>
      <c r="BI32" s="31"/>
      <c r="BJ32" s="31"/>
      <c r="BK32" s="31"/>
      <c r="BL32" s="31"/>
      <c r="BM32" s="16"/>
      <c r="BN32" s="16"/>
      <c r="BO32" s="16"/>
      <c r="BP32" s="16"/>
      <c r="BQ32" s="16"/>
      <c r="BR32" s="20"/>
      <c r="BS32" s="20"/>
      <c r="BT32" s="225"/>
      <c r="BU32" s="225"/>
      <c r="BV32" s="226"/>
      <c r="BW32" s="226"/>
      <c r="BX32" s="209"/>
      <c r="BY32" s="209"/>
      <c r="BZ32" s="209"/>
      <c r="CA32" s="209"/>
      <c r="CB32" s="223"/>
      <c r="CC32" s="223"/>
    </row>
    <row r="33" spans="17:82" x14ac:dyDescent="0.2">
      <c r="S33" t="s">
        <v>97</v>
      </c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224" t="s">
        <v>135</v>
      </c>
      <c r="BS33" s="219"/>
      <c r="BT33" s="219"/>
      <c r="BU33" s="219"/>
      <c r="BV33" s="219"/>
      <c r="BW33" s="219"/>
      <c r="BX33" s="219"/>
      <c r="BY33" s="219"/>
      <c r="BZ33" s="219"/>
      <c r="CA33" s="219"/>
      <c r="CB33" s="219"/>
      <c r="CC33" s="220"/>
    </row>
    <row r="34" spans="17:82" x14ac:dyDescent="0.2">
      <c r="S34" t="s">
        <v>88</v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228" t="s">
        <v>126</v>
      </c>
      <c r="BS34" s="229"/>
      <c r="BT34" s="229"/>
      <c r="BU34" s="230"/>
      <c r="BV34" s="231" t="s">
        <v>127</v>
      </c>
      <c r="BW34" s="232"/>
      <c r="BX34" s="232"/>
      <c r="BY34" s="233"/>
      <c r="BZ34" s="234" t="s">
        <v>136</v>
      </c>
      <c r="CA34" s="235"/>
      <c r="CB34" s="235"/>
      <c r="CC34" s="236"/>
    </row>
    <row r="35" spans="17:82" x14ac:dyDescent="0.2"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189">
        <f>Vrise!C32</f>
        <v>1</v>
      </c>
      <c r="BS35" s="190"/>
      <c r="BT35" s="190"/>
      <c r="BU35" s="191"/>
      <c r="BV35" s="189">
        <f>Vrise!E32</f>
        <v>1</v>
      </c>
      <c r="BW35" s="190"/>
      <c r="BX35" s="190"/>
      <c r="BY35" s="190"/>
      <c r="BZ35" s="189">
        <f>Vrise!G32</f>
        <v>1</v>
      </c>
      <c r="CA35" s="190"/>
      <c r="CB35" s="190"/>
      <c r="CC35" s="191"/>
    </row>
    <row r="36" spans="17:82" x14ac:dyDescent="0.2">
      <c r="AL36" t="s">
        <v>53</v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212">
        <f>Vrise!C34</f>
        <v>16</v>
      </c>
      <c r="BS36" s="213"/>
      <c r="BT36" s="213"/>
      <c r="BU36" s="214"/>
      <c r="BV36" s="212">
        <f>Vrise!E34</f>
        <v>16</v>
      </c>
      <c r="BW36" s="213"/>
      <c r="BX36" s="213"/>
      <c r="BY36" s="214"/>
      <c r="BZ36" s="212">
        <f>Vrise!G34</f>
        <v>0</v>
      </c>
      <c r="CA36" s="213"/>
      <c r="CB36" s="213"/>
      <c r="CC36" s="214"/>
    </row>
    <row r="37" spans="17:82" x14ac:dyDescent="0.2">
      <c r="BE37" s="16"/>
      <c r="BF37" s="16"/>
      <c r="BG37" s="16"/>
      <c r="BH37" s="16"/>
      <c r="BI37" s="16"/>
      <c r="BK37" s="16"/>
      <c r="BL37" s="16"/>
      <c r="BM37" s="16"/>
      <c r="BN37" s="16"/>
      <c r="BO37" s="16"/>
      <c r="BP37" s="16"/>
      <c r="BQ37" s="16"/>
      <c r="BR37" s="215" t="str">
        <f>_xlfn.CONCAT(Vrise!C36," A")</f>
        <v>22 A</v>
      </c>
      <c r="BS37" s="216"/>
      <c r="BT37" s="216"/>
      <c r="BU37" s="217"/>
      <c r="BV37" s="215" t="str">
        <f>_xlfn.CONCAT(Vrise!E36," A")</f>
        <v>22 A</v>
      </c>
      <c r="BW37" s="216"/>
      <c r="BX37" s="216"/>
      <c r="BY37" s="217"/>
      <c r="BZ37" s="216" t="str">
        <f>_xlfn.CONCAT(Vrise!G36," A")</f>
        <v>22 A</v>
      </c>
      <c r="CA37" s="216"/>
      <c r="CB37" s="216"/>
      <c r="CC37" s="217"/>
    </row>
    <row r="38" spans="17:82" x14ac:dyDescent="0.2">
      <c r="BQ38" s="8"/>
      <c r="BR38" s="258" t="str">
        <f>_xlfn.CONCAT(Vrise!C35," m")</f>
        <v>0 m</v>
      </c>
      <c r="BS38" s="204"/>
      <c r="BT38" s="204"/>
      <c r="BU38" s="205"/>
      <c r="BV38" s="259" t="str">
        <f>_xlfn.CONCAT(Vrise!E35," m")</f>
        <v>0 m</v>
      </c>
      <c r="BW38" s="204"/>
      <c r="BX38" s="204"/>
      <c r="BY38" s="205"/>
      <c r="BZ38" s="259" t="str">
        <f>_xlfn.CONCAT(Vrise!G35," m")</f>
        <v>0 m</v>
      </c>
      <c r="CA38" s="204"/>
      <c r="CB38" s="204"/>
      <c r="CC38" s="205"/>
    </row>
    <row r="39" spans="17:82" x14ac:dyDescent="0.2">
      <c r="AM39" t="s">
        <v>95</v>
      </c>
      <c r="AR39" s="114" t="s">
        <v>95</v>
      </c>
      <c r="BR39" s="218">
        <f>Vrise!C38</f>
        <v>0</v>
      </c>
      <c r="BS39" s="221"/>
      <c r="BT39" s="221"/>
      <c r="BU39" s="222"/>
      <c r="BV39" s="218">
        <f>Vrise!E38</f>
        <v>0</v>
      </c>
      <c r="BW39" s="219"/>
      <c r="BX39" s="219"/>
      <c r="BY39" s="220"/>
      <c r="BZ39" s="218" t="e">
        <f>Vrise!G38</f>
        <v>#VALUE!</v>
      </c>
      <c r="CA39" s="221"/>
      <c r="CB39" s="221"/>
      <c r="CC39" s="222"/>
    </row>
    <row r="40" spans="17:82" x14ac:dyDescent="0.2">
      <c r="AM40" t="s">
        <v>94</v>
      </c>
      <c r="AR40" s="114" t="s">
        <v>94</v>
      </c>
      <c r="BC40" s="120">
        <f>Param!B24</f>
        <v>12</v>
      </c>
      <c r="BD40" s="120" t="s">
        <v>40</v>
      </c>
      <c r="BR40" s="209"/>
      <c r="BS40" s="209"/>
      <c r="BT40" s="209"/>
      <c r="BU40" s="209"/>
      <c r="BV40" s="209"/>
      <c r="BW40" s="209"/>
      <c r="BX40" s="209"/>
      <c r="BY40" s="209"/>
      <c r="BZ40" s="209"/>
      <c r="CA40" s="209"/>
      <c r="CB40" s="209"/>
    </row>
    <row r="41" spans="17:82" x14ac:dyDescent="0.2">
      <c r="AM41" t="s">
        <v>52</v>
      </c>
      <c r="AR41" s="114" t="s">
        <v>51</v>
      </c>
      <c r="BR41" s="209"/>
      <c r="BS41" s="209"/>
      <c r="BT41" s="209"/>
      <c r="BU41" s="209"/>
      <c r="BV41" s="209"/>
      <c r="BW41" s="209"/>
      <c r="BX41" s="209"/>
      <c r="BY41" s="209"/>
      <c r="BZ41" s="209"/>
      <c r="CA41" s="209"/>
      <c r="CB41" s="209"/>
    </row>
    <row r="42" spans="17:82" x14ac:dyDescent="0.2">
      <c r="Q42" s="131" t="str">
        <f>IF(Param!B21=3,_xlfn.CONCAT(Param!B37,"mm 4C+E"),_xlfn.CONCAT(Param!B37,"mm 2C+E"))</f>
        <v>mm 2C+E</v>
      </c>
      <c r="BR42" s="209"/>
      <c r="BS42" s="209"/>
      <c r="BT42" s="209"/>
      <c r="BU42" s="209"/>
      <c r="BV42" s="209"/>
      <c r="BW42" s="209"/>
      <c r="BX42" s="209"/>
      <c r="BY42" s="209"/>
      <c r="BZ42" s="209"/>
      <c r="CA42" s="209"/>
      <c r="CB42" s="209"/>
    </row>
    <row r="43" spans="17:82" x14ac:dyDescent="0.2">
      <c r="AA43" t="s">
        <v>93</v>
      </c>
    </row>
    <row r="44" spans="17:82" x14ac:dyDescent="0.2">
      <c r="AA44" t="s">
        <v>98</v>
      </c>
      <c r="BT44" s="2"/>
      <c r="BU44" s="2"/>
      <c r="BV44" s="2"/>
      <c r="BW44" s="2"/>
      <c r="BX44" s="2"/>
      <c r="BY44" s="2"/>
      <c r="BZ44" s="2"/>
      <c r="CA44" s="2"/>
      <c r="CB44" s="2"/>
    </row>
    <row r="45" spans="17:82" x14ac:dyDescent="0.2">
      <c r="AA45" t="s">
        <v>34</v>
      </c>
      <c r="AL45" t="s">
        <v>50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BR46" s="26" t="s">
        <v>48</v>
      </c>
      <c r="BS46" s="22"/>
      <c r="BT46" s="22"/>
      <c r="BU46" s="21"/>
      <c r="BV46" s="27" t="s">
        <v>47</v>
      </c>
      <c r="BW46" s="26" t="s">
        <v>46</v>
      </c>
      <c r="BX46" s="22"/>
      <c r="BY46" s="22"/>
      <c r="BZ46" s="22"/>
      <c r="CA46" s="22"/>
      <c r="CB46" s="22"/>
      <c r="CC46" s="22"/>
      <c r="CD46" s="21"/>
    </row>
    <row r="47" spans="17:82" x14ac:dyDescent="0.2">
      <c r="BR47" s="17" t="s">
        <v>45</v>
      </c>
      <c r="BS47" s="16"/>
      <c r="BT47" s="16"/>
      <c r="BU47" s="15"/>
      <c r="BV47" s="25">
        <f>SUM(BW26:BX29)</f>
        <v>24</v>
      </c>
      <c r="BW47" s="17" t="str">
        <f>_xlfn.CONCAT(BV7," ",BX9,"W")</f>
        <v>LG NeON 2 365W</v>
      </c>
      <c r="BX47" s="16"/>
      <c r="BY47" s="16"/>
      <c r="BZ47" s="16"/>
      <c r="CA47" s="16"/>
      <c r="CB47" s="16"/>
      <c r="CC47" s="16"/>
      <c r="CD47" s="15"/>
    </row>
    <row r="48" spans="17:82" x14ac:dyDescent="0.2">
      <c r="AM48" s="114" t="s">
        <v>95</v>
      </c>
      <c r="AR48" s="114" t="s">
        <v>95</v>
      </c>
      <c r="BR48" s="17" t="s">
        <v>44</v>
      </c>
      <c r="BS48" s="16"/>
      <c r="BT48" s="16"/>
      <c r="BU48" s="15"/>
      <c r="BV48" s="25">
        <v>1</v>
      </c>
      <c r="BW48" s="17" t="str">
        <f>BV18</f>
        <v>SB4.0-1AV-40</v>
      </c>
      <c r="BX48" s="16"/>
      <c r="BY48" s="16"/>
      <c r="BZ48" s="16"/>
      <c r="CA48" s="16"/>
      <c r="CB48" s="16"/>
      <c r="CC48" s="16"/>
      <c r="CD48" s="15"/>
    </row>
    <row r="49" spans="11:82" x14ac:dyDescent="0.2">
      <c r="AH49" t="s">
        <v>43</v>
      </c>
      <c r="AM49" s="114" t="s">
        <v>94</v>
      </c>
      <c r="AR49" s="114" t="s">
        <v>94</v>
      </c>
      <c r="BC49">
        <f>Param!B26</f>
        <v>12</v>
      </c>
      <c r="BD49" t="s">
        <v>40</v>
      </c>
      <c r="BR49" s="17" t="s">
        <v>39</v>
      </c>
      <c r="BS49" s="16"/>
      <c r="BT49" s="16"/>
      <c r="BU49" s="15"/>
      <c r="BV49" s="25"/>
      <c r="BW49" s="210">
        <f>BV19</f>
        <v>4.2</v>
      </c>
      <c r="BX49" s="211"/>
      <c r="BY49" s="211"/>
      <c r="BZ49" s="16"/>
      <c r="CA49" s="16"/>
      <c r="CB49" s="16"/>
      <c r="CC49" s="16"/>
      <c r="CD49" s="15"/>
    </row>
    <row r="50" spans="11:82" x14ac:dyDescent="0.2">
      <c r="AH50" t="s">
        <v>38</v>
      </c>
      <c r="AM50" s="114" t="s">
        <v>42</v>
      </c>
      <c r="AR50" s="114" t="s">
        <v>41</v>
      </c>
      <c r="BR50" s="17" t="s">
        <v>34</v>
      </c>
      <c r="BS50" s="16"/>
      <c r="BT50" s="16"/>
      <c r="BU50" s="15"/>
      <c r="BV50" s="25">
        <v>1</v>
      </c>
      <c r="BW50" s="17" t="s">
        <v>89</v>
      </c>
      <c r="BX50" s="16"/>
      <c r="BY50" s="16"/>
      <c r="BZ50" s="16"/>
      <c r="CA50" s="16"/>
      <c r="CB50" s="16"/>
      <c r="CC50" s="16"/>
      <c r="CD50" s="15"/>
    </row>
    <row r="51" spans="11:82" x14ac:dyDescent="0.2">
      <c r="AH51" t="s">
        <v>35</v>
      </c>
      <c r="BR51" s="17" t="s">
        <v>33</v>
      </c>
      <c r="BS51" s="16"/>
      <c r="BT51" s="16"/>
      <c r="BU51" s="15"/>
      <c r="BV51" s="25">
        <v>4</v>
      </c>
      <c r="BW51" s="17" t="s">
        <v>32</v>
      </c>
      <c r="BX51" s="16"/>
      <c r="BY51" s="16"/>
      <c r="BZ51" s="16"/>
      <c r="CA51" s="16"/>
      <c r="CB51" s="16"/>
      <c r="CC51" s="16"/>
      <c r="CD51" s="15"/>
    </row>
    <row r="52" spans="11:82" x14ac:dyDescent="0.2">
      <c r="BR52" s="14" t="s">
        <v>31</v>
      </c>
      <c r="BS52" s="13"/>
      <c r="BT52" s="13"/>
      <c r="BU52" s="12"/>
      <c r="BV52" s="24">
        <v>1</v>
      </c>
      <c r="BW52" s="116" t="s">
        <v>30</v>
      </c>
      <c r="BX52" s="117"/>
      <c r="BY52" s="117"/>
      <c r="BZ52" s="13"/>
      <c r="CA52" s="13"/>
      <c r="CB52" s="13"/>
      <c r="CC52" s="13"/>
      <c r="CD52" s="12"/>
    </row>
    <row r="54" spans="11:82" x14ac:dyDescent="0.2">
      <c r="K54" s="87" t="str">
        <f>IF(Param!B43&lt;&gt;"","Existing Array","")</f>
        <v/>
      </c>
      <c r="BV54" s="88"/>
      <c r="BW54" s="88"/>
      <c r="BX54" s="88"/>
    </row>
    <row r="55" spans="11:82" x14ac:dyDescent="0.2">
      <c r="K55" t="str">
        <f>IF(Param!B43&lt;&gt;"",_xlfn.CONCAT(Param!B43," kWac"),"")</f>
        <v/>
      </c>
      <c r="BX55" s="2"/>
    </row>
    <row r="56" spans="11:82" x14ac:dyDescent="0.2">
      <c r="BR56" s="23" t="s">
        <v>29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BR57" s="17" t="s">
        <v>28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BR58" s="17" t="s">
        <v>27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AZ59" s="209"/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  <c r="BR59" s="17" t="s">
        <v>26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O60" s="129" t="str">
        <f>IF(Param!B43&lt;&gt;"","Inverter","")</f>
        <v/>
      </c>
      <c r="BR60" s="17" t="s">
        <v>25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O61" s="129" t="str">
        <f>IF(Param!B43&lt;&gt;"","A.C. Isolator","")</f>
        <v/>
      </c>
      <c r="BR61" s="17" t="s">
        <v>24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R62" s="130" t="str">
        <f>IF(Param!B43&lt;&gt;"","Grid connect inverter","")</f>
        <v/>
      </c>
      <c r="AZ62" s="20"/>
      <c r="BA62" s="20"/>
      <c r="BD62" s="19"/>
      <c r="BE62" s="19"/>
      <c r="BJ62" s="18"/>
      <c r="BR62" s="17" t="s">
        <v>23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AZ63" s="20"/>
      <c r="BA63" s="20"/>
      <c r="BD63" s="19"/>
      <c r="BE63" s="19"/>
      <c r="BJ63" s="18"/>
      <c r="BR63" s="17" t="s">
        <v>22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AZ64" s="20"/>
      <c r="BA64" s="20"/>
      <c r="BD64" s="19"/>
      <c r="BE64" s="19"/>
      <c r="BJ64" s="18"/>
      <c r="BR64" s="17" t="s">
        <v>21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AZ65" s="20"/>
      <c r="BA65" s="20"/>
      <c r="BD65" s="19"/>
      <c r="BE65" s="19"/>
      <c r="BJ65" s="18"/>
      <c r="BR65" s="17" t="s">
        <v>20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J66" s="141" t="str">
        <f>IF(Param!B44&lt;&gt;"",_xlfn.CONCAT("Note: ",Param!B44),"")</f>
        <v/>
      </c>
      <c r="AO66" s="11"/>
      <c r="BR66" s="14" t="s">
        <v>19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AO67" s="11"/>
      <c r="BR67" s="7" t="s">
        <v>18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17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16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 t="s">
        <v>15</v>
      </c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197" t="s">
        <v>14</v>
      </c>
      <c r="AZ69" s="197"/>
      <c r="BA69" s="198"/>
      <c r="BB69" s="7" t="str">
        <f>Param!B3</f>
        <v xml:space="preserve">Miller, Ian 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_xlfn.CONCAT(BV47," ",BV7," - ",BV48," ",BW48)</f>
        <v>24 LG NeON 2 - 1 SB4.0-1AV-40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CB69" s="201">
        <f>BW49</f>
        <v>4.2</v>
      </c>
      <c r="CC69" s="201"/>
      <c r="CD69" s="202"/>
    </row>
    <row r="70" spans="2:82" x14ac:dyDescent="0.2">
      <c r="J70" s="8"/>
      <c r="K70" s="9"/>
      <c r="W70" s="8"/>
      <c r="X70" s="4"/>
      <c r="Y70" s="2" t="s">
        <v>5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1"/>
      <c r="BB70" s="4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1"/>
      <c r="BN70" s="4" t="s">
        <v>13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 t="s">
        <v>12</v>
      </c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197" t="s">
        <v>11</v>
      </c>
      <c r="AZ71" s="197"/>
      <c r="BA71" s="198"/>
      <c r="BB71" s="7" t="str">
        <f>Param!B4</f>
        <v>154 Princeton Ave  Adamstown Heights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10</v>
      </c>
      <c r="BO71" s="6"/>
      <c r="BP71" s="5"/>
      <c r="BQ71" s="7" t="s">
        <v>9</v>
      </c>
      <c r="BR71" s="6"/>
      <c r="BS71" s="5"/>
      <c r="BT71" s="7" t="s">
        <v>8</v>
      </c>
      <c r="BU71" s="6"/>
      <c r="BV71" s="6"/>
      <c r="BW71" s="5"/>
      <c r="BX71" s="7" t="s">
        <v>7</v>
      </c>
      <c r="BY71" s="6"/>
      <c r="BZ71" s="5"/>
      <c r="CA71" s="7" t="s">
        <v>6</v>
      </c>
      <c r="CB71" s="6"/>
      <c r="CC71" s="6"/>
      <c r="CD71" s="5"/>
    </row>
    <row r="72" spans="2:82" x14ac:dyDescent="0.2">
      <c r="J72" s="8"/>
      <c r="K72" s="9"/>
      <c r="W72" s="8"/>
      <c r="X72" s="4"/>
      <c r="Y72" s="2" t="s">
        <v>5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203" t="s">
        <v>99</v>
      </c>
      <c r="BO72" s="204"/>
      <c r="BP72" s="205"/>
      <c r="BQ72" s="203" t="s">
        <v>4</v>
      </c>
      <c r="BR72" s="204"/>
      <c r="BS72" s="205"/>
      <c r="BT72" s="203" t="s">
        <v>4</v>
      </c>
      <c r="BU72" s="204"/>
      <c r="BV72" s="204"/>
      <c r="BW72" s="1"/>
      <c r="BX72" s="206">
        <f ca="1">TODAY()</f>
        <v>44245</v>
      </c>
      <c r="BY72" s="207"/>
      <c r="BZ72" s="208"/>
      <c r="CA72" s="10" t="s">
        <v>3</v>
      </c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197" t="s">
        <v>2</v>
      </c>
      <c r="AZ73" s="197"/>
      <c r="BA73" s="198"/>
      <c r="BB73" s="240">
        <f>Param!B2</f>
        <v>26181</v>
      </c>
      <c r="BC73" s="241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152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97">
    <mergeCell ref="CA26:CB27"/>
    <mergeCell ref="BV17:BZ17"/>
    <mergeCell ref="BV18:BZ18"/>
    <mergeCell ref="BV16:BZ16"/>
    <mergeCell ref="BR38:BU38"/>
    <mergeCell ref="BV38:BY38"/>
    <mergeCell ref="BZ38:CC38"/>
    <mergeCell ref="BU25:BV25"/>
    <mergeCell ref="BR25:BT25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CB31:CC31"/>
    <mergeCell ref="CA11:CC11"/>
    <mergeCell ref="BR26:BT29"/>
    <mergeCell ref="BU26:BV27"/>
    <mergeCell ref="BU28:BV29"/>
    <mergeCell ref="BW28:BX29"/>
    <mergeCell ref="BY28:BZ29"/>
    <mergeCell ref="CA28:CB29"/>
    <mergeCell ref="BW26:BX26"/>
    <mergeCell ref="BW27:BX27"/>
    <mergeCell ref="BY26:BZ26"/>
    <mergeCell ref="BY27:BZ27"/>
    <mergeCell ref="CA25:CB25"/>
    <mergeCell ref="BY25:BZ25"/>
    <mergeCell ref="BW25:BX25"/>
    <mergeCell ref="BV12:BZ12"/>
    <mergeCell ref="BV19:BZ19"/>
    <mergeCell ref="BR41:BT41"/>
    <mergeCell ref="BU41:BV41"/>
    <mergeCell ref="BW41:BX41"/>
    <mergeCell ref="BY41:BZ41"/>
    <mergeCell ref="BR39:BU39"/>
    <mergeCell ref="BV39:BY39"/>
    <mergeCell ref="BZ39:CC39"/>
    <mergeCell ref="BR33:CC33"/>
    <mergeCell ref="BV34:BY34"/>
    <mergeCell ref="BZ34:CC34"/>
    <mergeCell ref="BR35:BU35"/>
    <mergeCell ref="BV35:BY35"/>
    <mergeCell ref="BZ35:CC35"/>
    <mergeCell ref="CA41:CB41"/>
    <mergeCell ref="BR40:BT40"/>
    <mergeCell ref="BU40:BV40"/>
    <mergeCell ref="BW40:BX40"/>
    <mergeCell ref="BY40:BZ40"/>
    <mergeCell ref="CA40:CB40"/>
    <mergeCell ref="BW49:BY49"/>
    <mergeCell ref="AZ59:BB5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CB69:CD69"/>
    <mergeCell ref="AY71:BA71"/>
    <mergeCell ref="BN72:BP72"/>
    <mergeCell ref="BQ72:BS72"/>
    <mergeCell ref="BT72:BV72"/>
    <mergeCell ref="BX72:BZ72"/>
    <mergeCell ref="BD15:BE15"/>
    <mergeCell ref="BF15:BG15"/>
    <mergeCell ref="BD16:BE16"/>
    <mergeCell ref="BF16:BG16"/>
    <mergeCell ref="AY73:BA73"/>
    <mergeCell ref="BB73:BC73"/>
    <mergeCell ref="AY69:BA69"/>
    <mergeCell ref="BD12:BE12"/>
    <mergeCell ref="BF12:BG12"/>
    <mergeCell ref="BD13:BE13"/>
    <mergeCell ref="BF13:BG13"/>
    <mergeCell ref="BD14:BE14"/>
    <mergeCell ref="BF14:BG14"/>
    <mergeCell ref="BV6:BZ6"/>
    <mergeCell ref="BV7:BZ7"/>
    <mergeCell ref="BW8:BZ8"/>
    <mergeCell ref="BX11:BZ11"/>
    <mergeCell ref="BX9:BZ9"/>
    <mergeCell ref="BX10:BZ10"/>
    <mergeCell ref="BR34:BU34"/>
    <mergeCell ref="BR36:BU36"/>
    <mergeCell ref="BV36:BY36"/>
    <mergeCell ref="BZ36:CC36"/>
    <mergeCell ref="BR37:BU37"/>
    <mergeCell ref="BV37:BY37"/>
    <mergeCell ref="BZ37:CC37"/>
  </mergeCells>
  <conditionalFormatting sqref="BH62:BI65">
    <cfRule type="cellIs" dxfId="3" priority="5" operator="greaterThan">
      <formula>600</formula>
    </cfRule>
  </conditionalFormatting>
  <conditionalFormatting sqref="BZ24:CA24">
    <cfRule type="cellIs" dxfId="2" priority="1" operator="greaterThan">
      <formula>600</formula>
    </cfRule>
  </conditionalFormatting>
  <conditionalFormatting sqref="BZ31:CA32">
    <cfRule type="cellIs" dxfId="1" priority="3" operator="greaterThan">
      <formula>600</formula>
    </cfRule>
  </conditionalFormatting>
  <conditionalFormatting sqref="BZ30:CA30">
    <cfRule type="cellIs" dxfId="0" priority="2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</vt:lpstr>
      <vt:lpstr>Vrise</vt:lpstr>
      <vt:lpstr>1MPPT-string</vt:lpstr>
      <vt:lpstr>2MPPT-string</vt:lpstr>
      <vt:lpstr>'1MPPT-string'!Print_Area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2021-02-18T01:49:50Z</dcterms:modified>
</cp:coreProperties>
</file>