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an/Documents/Dev/SmartSolarDesign/excel/ExcelTemplatesHCB/"/>
    </mc:Choice>
  </mc:AlternateContent>
  <xr:revisionPtr revIDLastSave="0" documentId="13_ncr:1_{7A90A1F5-CF13-E34B-8AA6-314A41840A21}" xr6:coauthVersionLast="46" xr6:coauthVersionMax="46" xr10:uidLastSave="{00000000-0000-0000-0000-000000000000}"/>
  <bookViews>
    <workbookView xWindow="1060" yWindow="500" windowWidth="28920" windowHeight="17340" activeTab="2" xr2:uid="{5C310A73-3E33-5C44-B32F-CABC6D95981F}"/>
  </bookViews>
  <sheets>
    <sheet name="Param" sheetId="19" r:id="rId1"/>
    <sheet name="Vrise" sheetId="20" r:id="rId2"/>
    <sheet name="Sonnen" sheetId="7" r:id="rId3"/>
  </sheets>
  <functionGroups builtInGroupCount="19"/>
  <externalReferences>
    <externalReference r:id="rId4"/>
  </externalReferences>
  <definedNames>
    <definedName name="_xlnm.Print_Area" localSheetId="2">Sonnen!$A$1:$CE$75</definedName>
    <definedName name="rule_s1_oversized">[1]Rules!$C$5</definedName>
    <definedName name="rule_s1_under">[1]Rules!$C$10</definedName>
    <definedName name="rule_s2_oversized">[1]Rules!$C$6</definedName>
    <definedName name="rule_s2_under">[1]Rules!$C$11</definedName>
    <definedName name="String_1">[1]Manage!$I$28</definedName>
    <definedName name="String_2">[1]Manage!$I$29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66" i="7" l="1"/>
  <c r="C40" i="20"/>
  <c r="G35" i="20"/>
  <c r="E35" i="20"/>
  <c r="C35" i="20"/>
  <c r="G34" i="20"/>
  <c r="K51" i="7"/>
  <c r="BW6" i="7"/>
  <c r="BY8" i="7"/>
  <c r="BW47" i="7"/>
  <c r="BX23" i="7"/>
  <c r="BY9" i="7"/>
  <c r="CA23" i="7"/>
  <c r="BX25" i="7"/>
  <c r="CA25" i="7"/>
  <c r="CC25" i="7"/>
  <c r="BY10" i="7"/>
  <c r="CC23" i="7"/>
  <c r="CA34" i="7"/>
  <c r="BW34" i="7"/>
  <c r="BS34" i="7"/>
  <c r="G36" i="20"/>
  <c r="G38" i="20" a="1"/>
  <c r="G38" i="20"/>
  <c r="CA35" i="7"/>
  <c r="E32" i="20"/>
  <c r="E36" i="20"/>
  <c r="E38" i="20" a="1"/>
  <c r="E38" i="20"/>
  <c r="BW35" i="7"/>
  <c r="C32" i="20"/>
  <c r="C36" i="20"/>
  <c r="C38" i="20" a="1"/>
  <c r="C38" i="20"/>
  <c r="BS35" i="7"/>
  <c r="CA33" i="7"/>
  <c r="BW33" i="7"/>
  <c r="BS33" i="7"/>
  <c r="CA32" i="7"/>
  <c r="BW32" i="7"/>
  <c r="BS32" i="7"/>
  <c r="G32" i="20"/>
  <c r="CA31" i="7"/>
  <c r="BW31" i="7"/>
  <c r="BS31" i="7"/>
  <c r="BY7" i="7"/>
  <c r="BX11" i="7"/>
  <c r="BX18" i="7"/>
  <c r="BW49" i="7"/>
  <c r="BW5" i="7"/>
  <c r="BX19" i="7"/>
  <c r="BM19" i="7"/>
  <c r="BM18" i="7"/>
  <c r="AM36" i="7"/>
  <c r="AH34" i="7"/>
  <c r="AE29" i="7"/>
  <c r="AH35" i="7"/>
  <c r="T31" i="7"/>
  <c r="T30" i="7"/>
  <c r="AE28" i="7"/>
  <c r="E30" i="20"/>
  <c r="C30" i="20"/>
  <c r="BY69" i="7"/>
  <c r="BB73" i="7"/>
  <c r="BB71" i="7"/>
  <c r="BB69" i="7"/>
  <c r="BW16" i="7"/>
  <c r="BW17" i="7"/>
  <c r="BW48" i="7"/>
  <c r="BN69" i="7"/>
  <c r="BC55" i="7"/>
  <c r="BC49" i="7"/>
  <c r="BV47" i="7"/>
  <c r="G39" i="20"/>
  <c r="E39" i="20"/>
  <c r="C39" i="20"/>
  <c r="G40" i="20"/>
  <c r="F40" i="20"/>
  <c r="G37" i="20" a="1"/>
  <c r="G37" i="20"/>
  <c r="E37" i="20" a="1"/>
  <c r="E37" i="20"/>
  <c r="C37" i="20" a="1"/>
  <c r="C37" i="20"/>
  <c r="BV48" i="7"/>
  <c r="BX7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<sst xmlns="http://schemas.openxmlformats.org/spreadsheetml/2006/main" count="179" uniqueCount="144">
  <si>
    <t>Date:</t>
  </si>
  <si>
    <t>Version:</t>
  </si>
  <si>
    <t>Job No.</t>
  </si>
  <si>
    <t>A4035434</t>
  </si>
  <si>
    <t>LW</t>
  </si>
  <si>
    <t>HCB SOLAR | LG ELECTRONICS</t>
  </si>
  <si>
    <t>ACCREDIATION</t>
  </si>
  <si>
    <t>DATE</t>
  </si>
  <si>
    <t>APPROVED</t>
  </si>
  <si>
    <t>CHECKED</t>
  </si>
  <si>
    <t>DRAWN</t>
  </si>
  <si>
    <t>Project</t>
  </si>
  <si>
    <t>Solar Design</t>
  </si>
  <si>
    <t>SCALE: NTS</t>
  </si>
  <si>
    <t>Client</t>
  </si>
  <si>
    <t>Project Management</t>
  </si>
  <si>
    <t>REVISION DESCRIPTION</t>
  </si>
  <si>
    <t>PV Single Line Diagram</t>
  </si>
  <si>
    <t>TITLE</t>
  </si>
  <si>
    <t>per conductor unless otherwise noted.</t>
  </si>
  <si>
    <t>5. All DC and earth cable sizes shall be min 4mm2</t>
  </si>
  <si>
    <t>4. Design is compliant with AS5033/2012</t>
  </si>
  <si>
    <t>per relevant Australian Standards</t>
  </si>
  <si>
    <t>3. All the safety related issues shall be addressed as</t>
  </si>
  <si>
    <t>as per relevant Australian Standards</t>
  </si>
  <si>
    <t xml:space="preserve">2. The cables/switches shall be designed and installed </t>
  </si>
  <si>
    <t>Australian Standards</t>
  </si>
  <si>
    <t>licensed electrical contractor as per relevant</t>
  </si>
  <si>
    <t xml:space="preserve">1. The installation shall be completed by a </t>
  </si>
  <si>
    <t>Notes:</t>
  </si>
  <si>
    <t>Metering as agreed with Distrib.</t>
  </si>
  <si>
    <t>M1</t>
  </si>
  <si>
    <t>SYSTEM SIZE</t>
  </si>
  <si>
    <t>Panels</t>
  </si>
  <si>
    <t>IS 04</t>
  </si>
  <si>
    <t>IS 03</t>
  </si>
  <si>
    <t>INVERTER</t>
  </si>
  <si>
    <t>PANELS</t>
  </si>
  <si>
    <t>Description</t>
  </si>
  <si>
    <t>Qty</t>
  </si>
  <si>
    <t>ID</t>
  </si>
  <si>
    <t>Bill of Quantities</t>
  </si>
  <si>
    <t>B</t>
  </si>
  <si>
    <t>IS 02</t>
  </si>
  <si>
    <t>IS 01</t>
  </si>
  <si>
    <t>A</t>
  </si>
  <si>
    <t>INV01</t>
  </si>
  <si>
    <t>Isc</t>
  </si>
  <si>
    <t>Voc</t>
  </si>
  <si>
    <t>N.Panels</t>
  </si>
  <si>
    <t>MPPT</t>
  </si>
  <si>
    <t>Inv</t>
  </si>
  <si>
    <t>Total kWac</t>
  </si>
  <si>
    <t>Model</t>
  </si>
  <si>
    <t>Make</t>
  </si>
  <si>
    <t>No. of Inverters: 1</t>
  </si>
  <si>
    <t>Short Circuit Current</t>
  </si>
  <si>
    <t>Open Circuit Voltage</t>
  </si>
  <si>
    <t>Module Power</t>
  </si>
  <si>
    <t>Solar Panel Parameters</t>
  </si>
  <si>
    <t>Customer:</t>
  </si>
  <si>
    <t>Address:</t>
  </si>
  <si>
    <t>Consumer Mains</t>
  </si>
  <si>
    <t>Main Switchboard to Inverter</t>
  </si>
  <si>
    <t>Phases</t>
  </si>
  <si>
    <t>Conductor Type</t>
  </si>
  <si>
    <t>Copper</t>
  </si>
  <si>
    <t>Conductor Size</t>
  </si>
  <si>
    <t>Conductor Length (m)</t>
  </si>
  <si>
    <t>Maximum Amperage/Phase</t>
  </si>
  <si>
    <t>Am per %Vd</t>
  </si>
  <si>
    <t>(%) Voltage Drop</t>
  </si>
  <si>
    <t>(V) Voltage Drop</t>
  </si>
  <si>
    <t>LG Electronics</t>
  </si>
  <si>
    <t>ZERO EXPORT</t>
  </si>
  <si>
    <t>FROM BATTERY</t>
  </si>
  <si>
    <t>Battery Parameters</t>
  </si>
  <si>
    <t>Rated output power</t>
  </si>
  <si>
    <t>Rated capacity</t>
  </si>
  <si>
    <t>kW</t>
  </si>
  <si>
    <t>kWh</t>
  </si>
  <si>
    <t>Main Switch</t>
  </si>
  <si>
    <t>Isolator</t>
  </si>
  <si>
    <t xml:space="preserve">Short circuit current </t>
  </si>
  <si>
    <t>Max DC Volts</t>
  </si>
  <si>
    <t>V</t>
  </si>
  <si>
    <t>D.C. Isolator</t>
  </si>
  <si>
    <t>P.V. Array</t>
  </si>
  <si>
    <t>MSB</t>
  </si>
  <si>
    <t>Monitoring</t>
  </si>
  <si>
    <t>Hybrid Inverter Parameters</t>
  </si>
  <si>
    <t>Rated Capacity</t>
  </si>
  <si>
    <t>No. of Batteries: 1</t>
  </si>
  <si>
    <t>LFP2 ODU2</t>
  </si>
  <si>
    <t>mm 2C+E</t>
  </si>
  <si>
    <t>SonnenBatterie</t>
  </si>
  <si>
    <t>Inverter supply</t>
  </si>
  <si>
    <t xml:space="preserve">Battery system </t>
  </si>
  <si>
    <t>PV Array</t>
  </si>
  <si>
    <t>JS</t>
  </si>
  <si>
    <t>LG NeON 2</t>
  </si>
  <si>
    <t>Client Information</t>
  </si>
  <si>
    <t>Job Number</t>
  </si>
  <si>
    <t>Client Name</t>
  </si>
  <si>
    <t xml:space="preserve">Miller, Ian </t>
  </si>
  <si>
    <t>Address</t>
  </si>
  <si>
    <t>154 Princeton Ave  Adamstown Heights</t>
  </si>
  <si>
    <t>Panel Information</t>
  </si>
  <si>
    <t>Panel Manufacturer</t>
  </si>
  <si>
    <t>Panel Model</t>
  </si>
  <si>
    <t>Panel Number</t>
  </si>
  <si>
    <t>Panel Power</t>
  </si>
  <si>
    <t>Panel Voc</t>
  </si>
  <si>
    <t>Panel Isc</t>
  </si>
  <si>
    <t>SMA</t>
  </si>
  <si>
    <t>SB4.0-1AV-40</t>
  </si>
  <si>
    <t>Iout Max</t>
  </si>
  <si>
    <t>Battery Information</t>
  </si>
  <si>
    <t>Battery Manufacturer</t>
  </si>
  <si>
    <t>Battery Model</t>
  </si>
  <si>
    <t>Battery Phases</t>
  </si>
  <si>
    <t>Rated Output Power</t>
  </si>
  <si>
    <t>Isc (batt module)</t>
  </si>
  <si>
    <t>Voc (batt module)</t>
  </si>
  <si>
    <t>MpptA</t>
  </si>
  <si>
    <t>MpptB</t>
  </si>
  <si>
    <t>Backup</t>
  </si>
  <si>
    <t>Extra Information</t>
  </si>
  <si>
    <t>Existing Array (kWac)</t>
  </si>
  <si>
    <t>Normal loads</t>
  </si>
  <si>
    <t xml:space="preserve">13 Jan 2021 </t>
  </si>
  <si>
    <t>No. Of Panels</t>
  </si>
  <si>
    <t>Total kWdc</t>
  </si>
  <si>
    <t>Voltage Rise Summary</t>
  </si>
  <si>
    <t>Service Main</t>
  </si>
  <si>
    <t>Consumer Main</t>
  </si>
  <si>
    <t>MSB to Inv</t>
  </si>
  <si>
    <t>Vrise Information</t>
  </si>
  <si>
    <t>Service Lenght</t>
  </si>
  <si>
    <t>Consumer Lenght</t>
  </si>
  <si>
    <t>MSb Length</t>
  </si>
  <si>
    <t xml:space="preserve">Cable size </t>
  </si>
  <si>
    <t>SLD notes</t>
  </si>
  <si>
    <t>Vrise 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</si>
</sst>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d/mm/yy;@"/>
    <numFmt numFmtId="165" formatCode="#.0\ \k\W\a\c"/>
    <numFmt numFmtId="166" formatCode="#.##\ \A"/>
    <numFmt numFmtId="167" formatCode="#"/>
    <numFmt numFmtId="168" formatCode="#.#\ \V"/>
    <numFmt numFmtId="169" formatCode="#\ \W"/>
    <numFmt numFmtId="170" formatCode="0\ &quot;Phase&quot;"/>
    <numFmt numFmtId="171" formatCode="0\ &quot;mm2&quot;"/>
    <numFmt numFmtId="172" formatCode="0.00000"/>
    <numFmt numFmtId="173" formatCode="#.##\ \k\W\d\c"/>
    <numFmt numFmtId="174" formatCode="#.0\ \A"/>
  </numFmts>
  <fonts count="1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rgb="FF00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" fillId="0" borderId="0"/>
    <xf numFmtId="9" fontId="3" fillId="0" borderId="0" applyFont="0" applyFill="0" applyBorder="0" applyAlignment="0" applyProtection="0"/>
  </cellStyleXfs>
  <cellXfs count="230">
    <xf numFmtId="0" fontId="0" fillId="0" borderId="0" xfId="0"/>
    <xf numFmtId="0" fontId="0" fillId="0" borderId="1" xfId="0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3" xfId="0" applyFont="1" applyBorder="1"/>
    <xf numFmtId="0" fontId="2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7" xfId="0" applyFont="1" applyBorder="1"/>
    <xf numFmtId="0" fontId="3" fillId="0" borderId="0" xfId="0" applyFont="1"/>
    <xf numFmtId="0" fontId="3" fillId="0" borderId="8" xfId="0" applyFont="1" applyBorder="1"/>
    <xf numFmtId="166" fontId="0" fillId="0" borderId="0" xfId="0" applyNumberFormat="1"/>
    <xf numFmtId="167" fontId="0" fillId="0" borderId="0" xfId="0" applyNumberFormat="1"/>
    <xf numFmtId="0" fontId="0" fillId="0" borderId="0" xfId="0" applyAlignment="1">
      <alignment vertical="center"/>
    </xf>
    <xf numFmtId="0" fontId="3" fillId="0" borderId="4" xfId="0" applyFont="1" applyBorder="1"/>
    <xf numFmtId="0" fontId="3" fillId="0" borderId="5" xfId="0" applyFont="1" applyBorder="1"/>
    <xf numFmtId="0" fontId="4" fillId="0" borderId="6" xfId="0" applyFont="1" applyBorder="1"/>
    <xf numFmtId="0" fontId="1" fillId="0" borderId="0" xfId="0" applyFont="1"/>
    <xf numFmtId="0" fontId="3" fillId="0" borderId="11" xfId="0" applyFont="1" applyBorder="1"/>
    <xf numFmtId="0" fontId="3" fillId="0" borderId="12" xfId="0" applyFont="1" applyBorder="1"/>
    <xf numFmtId="165" fontId="3" fillId="0" borderId="0" xfId="0" applyNumberFormat="1" applyFont="1"/>
    <xf numFmtId="0" fontId="2" fillId="0" borderId="0" xfId="0" applyFont="1" applyAlignment="1">
      <alignment horizontal="left"/>
    </xf>
    <xf numFmtId="0" fontId="0" fillId="2" borderId="0" xfId="0" applyFill="1"/>
    <xf numFmtId="0" fontId="0" fillId="2" borderId="2" xfId="0" applyFill="1" applyBorder="1"/>
    <xf numFmtId="0" fontId="0" fillId="2" borderId="7" xfId="0" applyFill="1" applyBorder="1" applyAlignment="1">
      <alignment horizontal="right"/>
    </xf>
    <xf numFmtId="0" fontId="5" fillId="2" borderId="0" xfId="0" applyFont="1" applyFill="1"/>
    <xf numFmtId="0" fontId="5" fillId="2" borderId="8" xfId="0" applyFont="1" applyFill="1" applyBorder="1"/>
    <xf numFmtId="0" fontId="5" fillId="0" borderId="0" xfId="0" applyFont="1"/>
    <xf numFmtId="0" fontId="0" fillId="2" borderId="7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3" xfId="0" applyFill="1" applyBorder="1"/>
    <xf numFmtId="166" fontId="0" fillId="0" borderId="0" xfId="0" quotePrefix="1" applyNumberFormat="1"/>
    <xf numFmtId="168" fontId="0" fillId="0" borderId="0" xfId="0" quotePrefix="1" applyNumberFormat="1"/>
    <xf numFmtId="169" fontId="0" fillId="0" borderId="0" xfId="0" applyNumberFormat="1"/>
    <xf numFmtId="0" fontId="0" fillId="0" borderId="0" xfId="0" quotePrefix="1"/>
    <xf numFmtId="0" fontId="6" fillId="0" borderId="13" xfId="1" applyFont="1" applyBorder="1" applyAlignment="1">
      <alignment horizontal="right"/>
    </xf>
    <xf numFmtId="0" fontId="3" fillId="0" borderId="14" xfId="1" applyBorder="1" applyProtection="1">
      <protection locked="0"/>
    </xf>
    <xf numFmtId="0" fontId="3" fillId="0" borderId="18" xfId="1" applyBorder="1"/>
    <xf numFmtId="170" fontId="3" fillId="0" borderId="3" xfId="1" applyNumberFormat="1" applyBorder="1" applyProtection="1">
      <protection locked="0"/>
    </xf>
    <xf numFmtId="0" fontId="3" fillId="0" borderId="19" xfId="1" applyBorder="1"/>
    <xf numFmtId="170" fontId="3" fillId="0" borderId="20" xfId="1" applyNumberFormat="1" applyBorder="1" applyProtection="1">
      <protection locked="0"/>
    </xf>
    <xf numFmtId="0" fontId="3" fillId="0" borderId="3" xfId="1" applyBorder="1" applyProtection="1">
      <protection locked="0"/>
    </xf>
    <xf numFmtId="0" fontId="3" fillId="0" borderId="21" xfId="1" applyBorder="1" applyProtection="1">
      <protection locked="0"/>
    </xf>
    <xf numFmtId="0" fontId="3" fillId="0" borderId="1" xfId="1" applyBorder="1"/>
    <xf numFmtId="0" fontId="3" fillId="0" borderId="22" xfId="1" applyBorder="1" applyProtection="1">
      <protection locked="0"/>
    </xf>
    <xf numFmtId="0" fontId="3" fillId="0" borderId="23" xfId="1" applyBorder="1"/>
    <xf numFmtId="171" fontId="3" fillId="0" borderId="0" xfId="1" applyNumberFormat="1"/>
    <xf numFmtId="171" fontId="3" fillId="0" borderId="24" xfId="1" applyNumberFormat="1" applyBorder="1"/>
    <xf numFmtId="0" fontId="3" fillId="0" borderId="25" xfId="1" applyBorder="1"/>
    <xf numFmtId="2" fontId="3" fillId="0" borderId="6" xfId="1" applyNumberFormat="1" applyBorder="1" applyProtection="1">
      <protection locked="0"/>
    </xf>
    <xf numFmtId="2" fontId="3" fillId="0" borderId="26" xfId="1" applyNumberFormat="1" applyBorder="1" applyProtection="1">
      <protection locked="0"/>
    </xf>
    <xf numFmtId="2" fontId="3" fillId="0" borderId="5" xfId="1" applyNumberFormat="1" applyBorder="1" applyProtection="1">
      <protection locked="0"/>
    </xf>
    <xf numFmtId="2" fontId="3" fillId="0" borderId="27" xfId="1" applyNumberFormat="1" applyBorder="1" applyProtection="1">
      <protection locked="0"/>
    </xf>
    <xf numFmtId="0" fontId="3" fillId="0" borderId="28" xfId="1" applyBorder="1" applyAlignment="1">
      <alignment horizontal="left"/>
    </xf>
    <xf numFmtId="0" fontId="3" fillId="0" borderId="29" xfId="1" applyBorder="1"/>
    <xf numFmtId="0" fontId="3" fillId="0" borderId="30" xfId="1" applyBorder="1" applyAlignment="1">
      <alignment horizontal="left"/>
    </xf>
    <xf numFmtId="0" fontId="3" fillId="0" borderId="27" xfId="1" applyBorder="1"/>
    <xf numFmtId="0" fontId="3" fillId="0" borderId="13" xfId="1" applyBorder="1"/>
    <xf numFmtId="10" fontId="3" fillId="0" borderId="31" xfId="1" applyNumberFormat="1" applyBorder="1"/>
    <xf numFmtId="0" fontId="3" fillId="0" borderId="32" xfId="1" applyBorder="1"/>
    <xf numFmtId="172" fontId="3" fillId="0" borderId="33" xfId="1" applyNumberFormat="1" applyBorder="1"/>
    <xf numFmtId="10" fontId="3" fillId="0" borderId="34" xfId="1" applyNumberFormat="1" applyBorder="1" applyAlignment="1" applyProtection="1">
      <alignment horizontal="left"/>
      <protection locked="0"/>
    </xf>
    <xf numFmtId="0" fontId="3" fillId="0" borderId="31" xfId="1" applyBorder="1" applyAlignment="1" applyProtection="1">
      <alignment horizontal="left"/>
      <protection locked="0"/>
    </xf>
    <xf numFmtId="0" fontId="3" fillId="0" borderId="38" xfId="1" applyBorder="1" applyAlignment="1" applyProtection="1">
      <alignment horizontal="left"/>
      <protection locked="0"/>
    </xf>
    <xf numFmtId="0" fontId="3" fillId="0" borderId="39" xfId="1" applyBorder="1" applyAlignment="1" applyProtection="1">
      <alignment horizontal="left"/>
      <protection locked="0"/>
    </xf>
    <xf numFmtId="172" fontId="3" fillId="0" borderId="41" xfId="1" applyNumberFormat="1" applyBorder="1"/>
    <xf numFmtId="10" fontId="3" fillId="0" borderId="42" xfId="1" applyNumberFormat="1" applyBorder="1"/>
    <xf numFmtId="0" fontId="0" fillId="0" borderId="11" xfId="0" applyBorder="1"/>
    <xf numFmtId="0" fontId="8" fillId="0" borderId="0" xfId="0" applyFont="1"/>
    <xf numFmtId="0" fontId="0" fillId="0" borderId="9" xfId="0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6" xfId="0" applyBorder="1"/>
    <xf numFmtId="0" fontId="9" fillId="0" borderId="0" xfId="0" applyFont="1"/>
    <xf numFmtId="0" fontId="0" fillId="0" borderId="0" xfId="0" applyBorder="1"/>
    <xf numFmtId="0" fontId="0" fillId="0" borderId="44" xfId="0" applyBorder="1" applyAlignment="1">
      <alignment horizontal="center"/>
    </xf>
    <xf numFmtId="0" fontId="0" fillId="0" borderId="44" xfId="0" applyBorder="1" applyAlignment="1">
      <alignment horizontal="center" wrapText="1"/>
    </xf>
    <xf numFmtId="0" fontId="0" fillId="0" borderId="44" xfId="0" applyBorder="1" applyAlignment="1">
      <alignment horizontal="center" vertical="center"/>
    </xf>
    <xf numFmtId="0" fontId="0" fillId="0" borderId="0" xfId="0" applyAlignment="1"/>
    <xf numFmtId="0" fontId="0" fillId="2" borderId="44" xfId="0" applyFill="1" applyBorder="1" applyAlignment="1">
      <alignment horizontal="center" vertical="center"/>
    </xf>
    <xf numFmtId="0" fontId="0" fillId="2" borderId="0" xfId="0" applyFill="1" applyBorder="1"/>
    <xf numFmtId="0" fontId="0" fillId="0" borderId="0" xfId="0" applyBorder="1" applyAlignment="1">
      <alignment vertical="center"/>
    </xf>
    <xf numFmtId="0" fontId="1" fillId="0" borderId="0" xfId="0" applyFont="1" applyBorder="1"/>
    <xf numFmtId="0" fontId="0" fillId="0" borderId="8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8" xfId="0" applyFont="1" applyBorder="1" applyAlignment="1">
      <alignment horizontal="left" vertical="center"/>
    </xf>
    <xf numFmtId="0" fontId="1" fillId="0" borderId="2" xfId="0" applyFont="1" applyBorder="1"/>
    <xf numFmtId="0" fontId="0" fillId="0" borderId="2" xfId="0" applyBorder="1"/>
    <xf numFmtId="0" fontId="1" fillId="0" borderId="0" xfId="0" applyFont="1" applyBorder="1" applyAlignment="1"/>
    <xf numFmtId="167" fontId="0" fillId="0" borderId="0" xfId="0" applyNumberFormat="1" applyBorder="1" applyAlignment="1"/>
    <xf numFmtId="0" fontId="0" fillId="0" borderId="0" xfId="0" applyBorder="1" applyAlignment="1"/>
    <xf numFmtId="2" fontId="0" fillId="0" borderId="0" xfId="0" applyNumberFormat="1" applyBorder="1" applyAlignment="1"/>
    <xf numFmtId="0" fontId="3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/>
    <xf numFmtId="0" fontId="0" fillId="0" borderId="3" xfId="0" applyBorder="1"/>
    <xf numFmtId="0" fontId="0" fillId="0" borderId="0" xfId="0" applyAlignment="1">
      <alignment horizontal="left"/>
    </xf>
    <xf numFmtId="0" fontId="10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2" borderId="44" xfId="0" applyFill="1" applyBorder="1" applyAlignment="1">
      <alignment horizontal="center"/>
    </xf>
    <xf numFmtId="0" fontId="0" fillId="0" borderId="0" xfId="0" applyFont="1"/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7" xfId="0" quotePrefix="1" applyFill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0" fontId="0" fillId="0" borderId="7" xfId="0" applyBorder="1" applyAlignment="1">
      <alignment vertical="center"/>
    </xf>
    <xf numFmtId="0" fontId="0" fillId="0" borderId="2" xfId="0" applyBorder="1" applyAlignment="1"/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3" borderId="44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3" fillId="0" borderId="43" xfId="1" applyBorder="1" applyAlignment="1" applyProtection="1">
      <alignment horizontal="left"/>
      <protection locked="0"/>
    </xf>
    <xf numFmtId="0" fontId="3" fillId="0" borderId="14" xfId="1" applyBorder="1" applyAlignment="1" applyProtection="1">
      <alignment horizontal="left"/>
      <protection locked="0"/>
    </xf>
    <xf numFmtId="0" fontId="3" fillId="0" borderId="15" xfId="1" applyBorder="1" applyAlignment="1" applyProtection="1">
      <alignment horizontal="left"/>
      <protection locked="0"/>
    </xf>
    <xf numFmtId="0" fontId="6" fillId="0" borderId="16" xfId="1" applyFont="1" applyBorder="1" applyAlignment="1">
      <alignment horizontal="center"/>
    </xf>
    <xf numFmtId="0" fontId="6" fillId="0" borderId="15" xfId="1" applyFont="1" applyBorder="1" applyAlignment="1">
      <alignment horizontal="center"/>
    </xf>
    <xf numFmtId="0" fontId="7" fillId="0" borderId="16" xfId="1" applyFont="1" applyBorder="1" applyAlignment="1">
      <alignment horizontal="center"/>
    </xf>
    <xf numFmtId="0" fontId="7" fillId="0" borderId="17" xfId="1" applyFont="1" applyBorder="1" applyAlignment="1">
      <alignment horizontal="center"/>
    </xf>
    <xf numFmtId="0" fontId="3" fillId="0" borderId="33" xfId="1" applyBorder="1" applyAlignment="1">
      <alignment horizontal="right" vertical="top"/>
    </xf>
    <xf numFmtId="0" fontId="3" fillId="0" borderId="37" xfId="1" applyBorder="1" applyAlignment="1">
      <alignment horizontal="right" vertical="top"/>
    </xf>
    <xf numFmtId="10" fontId="0" fillId="3" borderId="35" xfId="2" applyNumberFormat="1" applyFont="1" applyFill="1" applyBorder="1" applyAlignment="1">
      <alignment horizontal="center"/>
    </xf>
    <xf numFmtId="10" fontId="0" fillId="3" borderId="40" xfId="2" applyNumberFormat="1" applyFont="1" applyFill="1" applyBorder="1" applyAlignment="1">
      <alignment horizontal="center"/>
    </xf>
    <xf numFmtId="2" fontId="3" fillId="3" borderId="36" xfId="1" applyNumberFormat="1" applyFill="1" applyBorder="1" applyAlignment="1">
      <alignment horizontal="center"/>
    </xf>
    <xf numFmtId="2" fontId="3" fillId="3" borderId="29" xfId="1" applyNumberFormat="1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171" fontId="0" fillId="0" borderId="8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1" fontId="0" fillId="0" borderId="7" xfId="0" applyNumberFormat="1" applyBorder="1" applyAlignment="1">
      <alignment horizontal="center" vertical="center"/>
    </xf>
    <xf numFmtId="174" fontId="0" fillId="0" borderId="8" xfId="0" applyNumberFormat="1" applyBorder="1" applyAlignment="1">
      <alignment horizontal="center" vertical="center"/>
    </xf>
    <xf numFmtId="174" fontId="0" fillId="0" borderId="0" xfId="0" applyNumberFormat="1" applyBorder="1" applyAlignment="1">
      <alignment horizontal="center" vertical="center"/>
    </xf>
    <xf numFmtId="174" fontId="0" fillId="0" borderId="7" xfId="0" applyNumberFormat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quotePrefix="1" applyFill="1" applyAlignment="1">
      <alignment horizontal="center"/>
    </xf>
    <xf numFmtId="0" fontId="0" fillId="2" borderId="7" xfId="0" quotePrefix="1" applyFill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169" fontId="0" fillId="2" borderId="7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168" fontId="0" fillId="2" borderId="0" xfId="0" quotePrefix="1" applyNumberFormat="1" applyFill="1" applyAlignment="1">
      <alignment horizontal="center"/>
    </xf>
    <xf numFmtId="168" fontId="0" fillId="2" borderId="7" xfId="0" quotePrefix="1" applyNumberFormat="1" applyFill="1" applyBorder="1" applyAlignment="1">
      <alignment horizontal="center"/>
    </xf>
    <xf numFmtId="166" fontId="0" fillId="2" borderId="0" xfId="0" quotePrefix="1" applyNumberFormat="1" applyFill="1" applyAlignment="1">
      <alignment horizontal="center"/>
    </xf>
    <xf numFmtId="166" fontId="0" fillId="2" borderId="7" xfId="0" quotePrefix="1" applyNumberFormat="1" applyFill="1" applyBorder="1" applyAlignment="1">
      <alignment horizontal="center"/>
    </xf>
    <xf numFmtId="173" fontId="0" fillId="2" borderId="2" xfId="0" quotePrefix="1" applyNumberFormat="1" applyFill="1" applyBorder="1" applyAlignment="1">
      <alignment horizontal="left" indent="2"/>
    </xf>
    <xf numFmtId="173" fontId="0" fillId="2" borderId="1" xfId="0" quotePrefix="1" applyNumberFormat="1" applyFill="1" applyBorder="1" applyAlignment="1">
      <alignment horizontal="left" indent="2"/>
    </xf>
    <xf numFmtId="0" fontId="0" fillId="2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66" fontId="0" fillId="2" borderId="2" xfId="0" quotePrefix="1" applyNumberFormat="1" applyFill="1" applyBorder="1" applyAlignment="1">
      <alignment horizontal="center"/>
    </xf>
    <xf numFmtId="166" fontId="0" fillId="2" borderId="1" xfId="0" quotePrefix="1" applyNumberFormat="1" applyFill="1" applyBorder="1" applyAlignment="1">
      <alignment horizontal="center"/>
    </xf>
    <xf numFmtId="0" fontId="0" fillId="2" borderId="0" xfId="0" quotePrefix="1" applyNumberFormat="1" applyFill="1" applyAlignment="1">
      <alignment horizontal="center"/>
    </xf>
    <xf numFmtId="0" fontId="0" fillId="2" borderId="2" xfId="0" quotePrefix="1" applyNumberFormat="1" applyFill="1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3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3" fillId="0" borderId="6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165" fontId="0" fillId="0" borderId="5" xfId="0" applyNumberFormat="1" applyBorder="1" applyAlignment="1">
      <alignment horizontal="left" indent="6"/>
    </xf>
    <xf numFmtId="165" fontId="0" fillId="0" borderId="4" xfId="0" applyNumberFormat="1" applyBorder="1" applyAlignment="1">
      <alignment horizontal="left" indent="6"/>
    </xf>
    <xf numFmtId="0" fontId="3" fillId="0" borderId="0" xfId="0" applyFont="1" applyBorder="1"/>
    <xf numFmtId="0" fontId="3" fillId="0" borderId="0" xfId="0" applyFont="1" applyBorder="1" applyAlignment="1">
      <alignment horizontal="left" vertical="center"/>
    </xf>
    <xf numFmtId="0" fontId="0" fillId="0" borderId="3" xfId="0" applyBorder="1" applyAlignment="1">
      <alignment horizontal="center"/>
    </xf>
    <xf numFmtId="0" fontId="3" fillId="0" borderId="8" xfId="0" applyFont="1" applyBorder="1"/>
    <xf numFmtId="0" fontId="3" fillId="0" borderId="7" xfId="0" applyFont="1" applyBorder="1"/>
    <xf numFmtId="0" fontId="3" fillId="0" borderId="5" xfId="0" applyFont="1" applyBorder="1"/>
    <xf numFmtId="0" fontId="3" fillId="0" borderId="5" xfId="0" applyFont="1" applyBorder="1" applyAlignment="1">
      <alignment horizontal="left" vertical="center"/>
    </xf>
    <xf numFmtId="0" fontId="3" fillId="0" borderId="0" xfId="0" applyFont="1"/>
    <xf numFmtId="0" fontId="3" fillId="0" borderId="8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165" fontId="3" fillId="0" borderId="8" xfId="0" applyNumberFormat="1" applyFont="1" applyBorder="1" applyAlignment="1">
      <alignment horizontal="left" vertical="center"/>
    </xf>
    <xf numFmtId="165" fontId="3" fillId="0" borderId="0" xfId="0" applyNumberFormat="1" applyFont="1" applyAlignment="1">
      <alignment horizontal="left" vertical="center"/>
    </xf>
    <xf numFmtId="165" fontId="3" fillId="0" borderId="7" xfId="0" applyNumberFormat="1" applyFont="1" applyBorder="1" applyAlignment="1">
      <alignment horizontal="left" vertical="center"/>
    </xf>
    <xf numFmtId="10" fontId="0" fillId="0" borderId="12" xfId="0" applyNumberFormat="1" applyBorder="1" applyAlignment="1">
      <alignment horizontal="center" vertical="center"/>
    </xf>
    <xf numFmtId="10" fontId="0" fillId="0" borderId="11" xfId="0" applyNumberFormat="1" applyBorder="1" applyAlignment="1">
      <alignment horizontal="center" vertical="center"/>
    </xf>
    <xf numFmtId="10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6" xfId="0" applyFont="1" applyBorder="1"/>
    <xf numFmtId="0" fontId="3" fillId="0" borderId="4" xfId="0" applyFont="1" applyBorder="1"/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7" fontId="0" fillId="0" borderId="6" xfId="0" applyNumberFormat="1" applyBorder="1" applyAlignment="1">
      <alignment horizontal="center"/>
    </xf>
    <xf numFmtId="167" fontId="0" fillId="0" borderId="5" xfId="0" applyNumberFormat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170" fontId="0" fillId="0" borderId="6" xfId="0" applyNumberFormat="1" applyBorder="1" applyAlignment="1">
      <alignment horizontal="center" vertical="center"/>
    </xf>
    <xf numFmtId="170" fontId="0" fillId="0" borderId="5" xfId="0" applyNumberFormat="1" applyBorder="1" applyAlignment="1">
      <alignment horizontal="center" vertical="center"/>
    </xf>
    <xf numFmtId="170" fontId="0" fillId="0" borderId="4" xfId="0" applyNumberFormat="1" applyBorder="1" applyAlignment="1">
      <alignment horizontal="center" vertical="center"/>
    </xf>
  </cellXfs>
  <cellStyles count="3">
    <cellStyle name="Normal" xfId="0" builtinId="0"/>
    <cellStyle name="Normal 3" xfId="1" xr:uid="{376FB5DB-2D5B-4841-934A-0E5770B9E993}"/>
    <cellStyle name="Percent 2" xfId="2" xr:uid="{E4FC78C9-C0D4-3C41-AE14-A669A742AAD1}"/>
  </cellStyles>
  <dxfs count="12"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009E47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812799</xdr:colOff>
      <xdr:row>10</xdr:row>
      <xdr:rowOff>168275</xdr:rowOff>
    </xdr:from>
    <xdr:to>
      <xdr:col>6</xdr:col>
      <xdr:colOff>822325</xdr:colOff>
      <xdr:row>22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2799" y="2200275"/>
          <a:ext cx="9928226" cy="2384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139700</xdr:colOff>
      <xdr:row>0</xdr:row>
      <xdr:rowOff>50800</xdr:rowOff>
    </xdr:from>
    <xdr:to>
      <xdr:col>2</xdr:col>
      <xdr:colOff>1511300</xdr:colOff>
      <xdr:row>5</xdr:row>
      <xdr:rowOff>38100</xdr:rowOff>
    </xdr:to>
    <xdr:pic>
      <xdr:nvPicPr>
        <xdr:cNvPr id="3" name="Picture 2" descr="HCBSolar_Gradient_CMYK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" y="50800"/>
          <a:ext cx="4102100" cy="1003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1409700</xdr:colOff>
          <xdr:row>16</xdr:row>
          <xdr:rowOff>152400</xdr:rowOff>
        </xdr:from>
        <xdr:to>
          <xdr:col>8</xdr:col>
          <xdr:colOff>508000</xdr:colOff>
          <xdr:row>18</xdr:row>
          <xdr:rowOff>127000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1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195750</xdr:colOff>
      <xdr:row>85</xdr:row>
      <xdr:rowOff>172381</xdr:rowOff>
    </xdr:from>
    <xdr:to>
      <xdr:col>20</xdr:col>
      <xdr:colOff>236247</xdr:colOff>
      <xdr:row>101</xdr:row>
      <xdr:rowOff>11380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2481750" y="17444381"/>
          <a:ext cx="2834497" cy="3090199"/>
          <a:chOff x="8096468" y="4201950"/>
          <a:chExt cx="2829035" cy="3053692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GrpSpPr/>
        </xdr:nvGrpSpPr>
        <xdr:grpSpPr>
          <a:xfrm>
            <a:off x="8128000" y="6041149"/>
            <a:ext cx="2797503" cy="1214493"/>
            <a:chOff x="7620876" y="3624645"/>
            <a:chExt cx="2797503" cy="1214493"/>
          </a:xfrm>
        </xdr:grpSpPr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11" name="Group 10">
                <a:extLst>
                  <a:ext uri="{FF2B5EF4-FFF2-40B4-BE49-F238E27FC236}">
                    <a16:creationId xmlns:a16="http://schemas.microsoft.com/office/drawing/2014/main" id="{00000000-0008-0000-0200-00000B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13" name="Group 12">
                  <a:extLst>
                    <a:ext uri="{FF2B5EF4-FFF2-40B4-BE49-F238E27FC236}">
                      <a16:creationId xmlns:a16="http://schemas.microsoft.com/office/drawing/2014/main" id="{00000000-0008-0000-0200-00000D00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22" name="Shape 46">
                    <a:extLst>
                      <a:ext uri="{FF2B5EF4-FFF2-40B4-BE49-F238E27FC236}">
                        <a16:creationId xmlns:a16="http://schemas.microsoft.com/office/drawing/2014/main" id="{00000000-0008-0000-0200-000016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3" name="Rectangle 22">
                    <a:extLst>
                      <a:ext uri="{FF2B5EF4-FFF2-40B4-BE49-F238E27FC236}">
                        <a16:creationId xmlns:a16="http://schemas.microsoft.com/office/drawing/2014/main" id="{00000000-0008-0000-0200-00001700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24" name="Shape 46">
                    <a:extLst>
                      <a:ext uri="{FF2B5EF4-FFF2-40B4-BE49-F238E27FC236}">
                        <a16:creationId xmlns:a16="http://schemas.microsoft.com/office/drawing/2014/main" id="{00000000-0008-0000-0200-000018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14" name="Group 13">
                  <a:extLst>
                    <a:ext uri="{FF2B5EF4-FFF2-40B4-BE49-F238E27FC236}">
                      <a16:creationId xmlns:a16="http://schemas.microsoft.com/office/drawing/2014/main" id="{00000000-0008-0000-0200-00000E00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19" name="Shape 46">
                    <a:extLst>
                      <a:ext uri="{FF2B5EF4-FFF2-40B4-BE49-F238E27FC236}">
                        <a16:creationId xmlns:a16="http://schemas.microsoft.com/office/drawing/2014/main" id="{00000000-0008-0000-0200-000013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0" name="Rectangle 19">
                    <a:extLst>
                      <a:ext uri="{FF2B5EF4-FFF2-40B4-BE49-F238E27FC236}">
                        <a16:creationId xmlns:a16="http://schemas.microsoft.com/office/drawing/2014/main" id="{00000000-0008-0000-0200-00001400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21" name="Shape 46">
                    <a:extLst>
                      <a:ext uri="{FF2B5EF4-FFF2-40B4-BE49-F238E27FC236}">
                        <a16:creationId xmlns:a16="http://schemas.microsoft.com/office/drawing/2014/main" id="{00000000-0008-0000-0200-000015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15" name="Shape 27">
                  <a:extLst>
                    <a:ext uri="{FF2B5EF4-FFF2-40B4-BE49-F238E27FC236}">
                      <a16:creationId xmlns:a16="http://schemas.microsoft.com/office/drawing/2014/main" id="{00000000-0008-0000-0200-00000F00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6" name="Shape 27">
                  <a:extLst>
                    <a:ext uri="{FF2B5EF4-FFF2-40B4-BE49-F238E27FC236}">
                      <a16:creationId xmlns:a16="http://schemas.microsoft.com/office/drawing/2014/main" id="{00000000-0008-0000-0200-00001000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7" name="Shape 27">
                  <a:extLst>
                    <a:ext uri="{FF2B5EF4-FFF2-40B4-BE49-F238E27FC236}">
                      <a16:creationId xmlns:a16="http://schemas.microsoft.com/office/drawing/2014/main" id="{00000000-0008-0000-0200-00001100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8" name="Shape 27">
                  <a:extLst>
                    <a:ext uri="{FF2B5EF4-FFF2-40B4-BE49-F238E27FC236}">
                      <a16:creationId xmlns:a16="http://schemas.microsoft.com/office/drawing/2014/main" id="{00000000-0008-0000-0200-00001200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12" name="Elbow Connector 11">
                <a:extLst>
                  <a:ext uri="{FF2B5EF4-FFF2-40B4-BE49-F238E27FC236}">
                    <a16:creationId xmlns:a16="http://schemas.microsoft.com/office/drawing/2014/main" id="{00000000-0008-0000-0200-00000C000000}"/>
                  </a:ext>
                </a:extLst>
              </xdr:cNvPr>
              <xdr:cNvCxnSpPr>
                <a:stCxn id="20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9" name="Elbow Connector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CxnSpPr/>
          </xdr:nvCxnSpPr>
          <xdr:spPr>
            <a:xfrm>
              <a:off x="7620876" y="4235668"/>
              <a:ext cx="2797503" cy="603470"/>
            </a:xfrm>
            <a:prstGeom prst="bentConnector3">
              <a:avLst>
                <a:gd name="adj1" fmla="val 27301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Straight Connector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CxnSpPr>
              <a:stCxn id="23" idx="1"/>
            </xdr:cNvCxnSpPr>
          </xdr:nvCxnSpPr>
          <xdr:spPr>
            <a:xfrm flipH="1">
              <a:off x="7874000" y="4027589"/>
              <a:ext cx="763589" cy="1377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" name="Straight Connector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 flipV="1">
            <a:off x="8128000" y="4432225"/>
            <a:ext cx="0" cy="22199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Connector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>
            <a:endCxn id="6" idx="0"/>
          </xdr:cNvCxnSpPr>
        </xdr:nvCxnSpPr>
        <xdr:spPr>
          <a:xfrm flipV="1">
            <a:off x="8381124" y="4234353"/>
            <a:ext cx="876" cy="2211116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" name="Shape 27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8351344" y="4201950"/>
            <a:ext cx="61311" cy="64805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chemeClr val="tx1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7" name="Shape 27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8096468" y="4402540"/>
            <a:ext cx="62188" cy="65732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chemeClr val="tx1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32</xdr:col>
      <xdr:colOff>46050</xdr:colOff>
      <xdr:row>108</xdr:row>
      <xdr:rowOff>172292</xdr:rowOff>
    </xdr:from>
    <xdr:to>
      <xdr:col>34</xdr:col>
      <xdr:colOff>46050</xdr:colOff>
      <xdr:row>110</xdr:row>
      <xdr:rowOff>165248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8174050" y="22117892"/>
          <a:ext cx="508000" cy="399356"/>
          <a:chOff x="10160000" y="2820276"/>
          <a:chExt cx="508000" cy="401148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28" name="Straight Connector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" name="Straight Connector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" name="Straight Connector 29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7" name="Straight Connector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202852</xdr:colOff>
      <xdr:row>119</xdr:row>
      <xdr:rowOff>1386</xdr:rowOff>
    </xdr:from>
    <xdr:to>
      <xdr:col>39</xdr:col>
      <xdr:colOff>13118</xdr:colOff>
      <xdr:row>125</xdr:row>
      <xdr:rowOff>7350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4266852" y="24182186"/>
          <a:ext cx="5652266" cy="1225164"/>
          <a:chOff x="7616162" y="5219989"/>
          <a:chExt cx="5649312" cy="1265360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GrpSpPr/>
        </xdr:nvGrpSpPr>
        <xdr:grpSpPr>
          <a:xfrm>
            <a:off x="7969888" y="5256366"/>
            <a:ext cx="514076" cy="842782"/>
            <a:chOff x="8312729" y="2242252"/>
            <a:chExt cx="516507" cy="808182"/>
          </a:xfrm>
        </xdr:grpSpPr>
        <xdr:grpSp>
          <xdr:nvGrpSpPr>
            <xdr:cNvPr id="67" name="Group 66">
              <a:extLst>
                <a:ext uri="{FF2B5EF4-FFF2-40B4-BE49-F238E27FC236}">
                  <a16:creationId xmlns:a16="http://schemas.microsoft.com/office/drawing/2014/main" id="{00000000-0008-0000-0200-000043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69" name="Shape 9">
                <a:extLst>
                  <a:ext uri="{FF2B5EF4-FFF2-40B4-BE49-F238E27FC236}">
                    <a16:creationId xmlns:a16="http://schemas.microsoft.com/office/drawing/2014/main" id="{00000000-0008-0000-0200-000045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70" name="Shape 38">
                <a:extLst>
                  <a:ext uri="{FF2B5EF4-FFF2-40B4-BE49-F238E27FC236}">
                    <a16:creationId xmlns:a16="http://schemas.microsoft.com/office/drawing/2014/main" id="{00000000-0008-0000-0200-000046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71" name="Shape 39">
                <a:extLst>
                  <a:ext uri="{FF2B5EF4-FFF2-40B4-BE49-F238E27FC236}">
                    <a16:creationId xmlns:a16="http://schemas.microsoft.com/office/drawing/2014/main" id="{00000000-0008-0000-0200-000047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72" name="Shape 13">
                <a:extLst>
                  <a:ext uri="{FF2B5EF4-FFF2-40B4-BE49-F238E27FC236}">
                    <a16:creationId xmlns:a16="http://schemas.microsoft.com/office/drawing/2014/main" id="{00000000-0008-0000-0200-000048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73" name="Shape 37">
                <a:extLst>
                  <a:ext uri="{FF2B5EF4-FFF2-40B4-BE49-F238E27FC236}">
                    <a16:creationId xmlns:a16="http://schemas.microsoft.com/office/drawing/2014/main" id="{00000000-0008-0000-0200-000049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74" name="Shape 9">
                <a:extLst>
                  <a:ext uri="{FF2B5EF4-FFF2-40B4-BE49-F238E27FC236}">
                    <a16:creationId xmlns:a16="http://schemas.microsoft.com/office/drawing/2014/main" id="{00000000-0008-0000-0200-00004A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75" name="Shape 9">
                <a:extLst>
                  <a:ext uri="{FF2B5EF4-FFF2-40B4-BE49-F238E27FC236}">
                    <a16:creationId xmlns:a16="http://schemas.microsoft.com/office/drawing/2014/main" id="{00000000-0008-0000-0200-00004B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76" name="Shape 9">
                <a:extLst>
                  <a:ext uri="{FF2B5EF4-FFF2-40B4-BE49-F238E27FC236}">
                    <a16:creationId xmlns:a16="http://schemas.microsoft.com/office/drawing/2014/main" id="{00000000-0008-0000-0200-00004C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0200-00004400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GrpSpPr/>
        </xdr:nvGrpSpPr>
        <xdr:grpSpPr>
          <a:xfrm>
            <a:off x="7616162" y="5219989"/>
            <a:ext cx="5649312" cy="1265360"/>
            <a:chOff x="4761413" y="3629024"/>
            <a:chExt cx="5652587" cy="1216296"/>
          </a:xfrm>
        </xdr:grpSpPr>
        <xdr:grpSp>
          <xdr:nvGrpSpPr>
            <xdr:cNvPr id="34" name="Group 33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GrpSpPr/>
          </xdr:nvGrpSpPr>
          <xdr:grpSpPr>
            <a:xfrm>
              <a:off x="4761413" y="3629024"/>
              <a:ext cx="5652587" cy="1216296"/>
              <a:chOff x="4765792" y="3624645"/>
              <a:chExt cx="5652587" cy="1214493"/>
            </a:xfrm>
          </xdr:grpSpPr>
          <xdr:grpSp>
            <xdr:nvGrpSpPr>
              <xdr:cNvPr id="46" name="Group 45">
                <a:extLst>
                  <a:ext uri="{FF2B5EF4-FFF2-40B4-BE49-F238E27FC236}">
                    <a16:creationId xmlns:a16="http://schemas.microsoft.com/office/drawing/2014/main" id="{00000000-0008-0000-0200-00002E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53" name="Group 52">
                  <a:extLst>
                    <a:ext uri="{FF2B5EF4-FFF2-40B4-BE49-F238E27FC236}">
                      <a16:creationId xmlns:a16="http://schemas.microsoft.com/office/drawing/2014/main" id="{00000000-0008-0000-0200-00003500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55" name="Group 54">
                    <a:extLst>
                      <a:ext uri="{FF2B5EF4-FFF2-40B4-BE49-F238E27FC236}">
                        <a16:creationId xmlns:a16="http://schemas.microsoft.com/office/drawing/2014/main" id="{00000000-0008-0000-0200-00003700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64" name="Shape 46">
                      <a:extLst>
                        <a:ext uri="{FF2B5EF4-FFF2-40B4-BE49-F238E27FC236}">
                          <a16:creationId xmlns:a16="http://schemas.microsoft.com/office/drawing/2014/main" id="{00000000-0008-0000-0200-000040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65" name="Rectangle 64">
                      <a:extLst>
                        <a:ext uri="{FF2B5EF4-FFF2-40B4-BE49-F238E27FC236}">
                          <a16:creationId xmlns:a16="http://schemas.microsoft.com/office/drawing/2014/main" id="{00000000-0008-0000-0200-00004100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66" name="Shape 46">
                      <a:extLst>
                        <a:ext uri="{FF2B5EF4-FFF2-40B4-BE49-F238E27FC236}">
                          <a16:creationId xmlns:a16="http://schemas.microsoft.com/office/drawing/2014/main" id="{00000000-0008-0000-0200-000042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56" name="Group 55">
                    <a:extLst>
                      <a:ext uri="{FF2B5EF4-FFF2-40B4-BE49-F238E27FC236}">
                        <a16:creationId xmlns:a16="http://schemas.microsoft.com/office/drawing/2014/main" id="{00000000-0008-0000-0200-00003800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61" name="Shape 46">
                      <a:extLst>
                        <a:ext uri="{FF2B5EF4-FFF2-40B4-BE49-F238E27FC236}">
                          <a16:creationId xmlns:a16="http://schemas.microsoft.com/office/drawing/2014/main" id="{00000000-0008-0000-0200-00003D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62" name="Rectangle 61">
                      <a:extLst>
                        <a:ext uri="{FF2B5EF4-FFF2-40B4-BE49-F238E27FC236}">
                          <a16:creationId xmlns:a16="http://schemas.microsoft.com/office/drawing/2014/main" id="{00000000-0008-0000-0200-00003E00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63" name="Shape 46">
                      <a:extLst>
                        <a:ext uri="{FF2B5EF4-FFF2-40B4-BE49-F238E27FC236}">
                          <a16:creationId xmlns:a16="http://schemas.microsoft.com/office/drawing/2014/main" id="{00000000-0008-0000-0200-00003F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57" name="Shape 27">
                    <a:extLst>
                      <a:ext uri="{FF2B5EF4-FFF2-40B4-BE49-F238E27FC236}">
                        <a16:creationId xmlns:a16="http://schemas.microsoft.com/office/drawing/2014/main" id="{00000000-0008-0000-0200-00003900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58" name="Shape 27">
                    <a:extLst>
                      <a:ext uri="{FF2B5EF4-FFF2-40B4-BE49-F238E27FC236}">
                        <a16:creationId xmlns:a16="http://schemas.microsoft.com/office/drawing/2014/main" id="{00000000-0008-0000-0200-00003A00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59" name="Shape 27">
                    <a:extLst>
                      <a:ext uri="{FF2B5EF4-FFF2-40B4-BE49-F238E27FC236}">
                        <a16:creationId xmlns:a16="http://schemas.microsoft.com/office/drawing/2014/main" id="{00000000-0008-0000-0200-00003B00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60" name="Shape 27">
                    <a:extLst>
                      <a:ext uri="{FF2B5EF4-FFF2-40B4-BE49-F238E27FC236}">
                        <a16:creationId xmlns:a16="http://schemas.microsoft.com/office/drawing/2014/main" id="{00000000-0008-0000-0200-00003C00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54" name="Elbow Connector 53">
                  <a:extLst>
                    <a:ext uri="{FF2B5EF4-FFF2-40B4-BE49-F238E27FC236}">
                      <a16:creationId xmlns:a16="http://schemas.microsoft.com/office/drawing/2014/main" id="{00000000-0008-0000-0200-000036000000}"/>
                    </a:ext>
                  </a:extLst>
                </xdr:cNvPr>
                <xdr:cNvCxnSpPr>
                  <a:stCxn id="62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47" name="Elbow Connector 46">
                <a:extLst>
                  <a:ext uri="{FF2B5EF4-FFF2-40B4-BE49-F238E27FC236}">
                    <a16:creationId xmlns:a16="http://schemas.microsoft.com/office/drawing/2014/main" id="{00000000-0008-0000-0200-00002F000000}"/>
                  </a:ext>
                </a:extLst>
              </xdr:cNvPr>
              <xdr:cNvCxnSpPr/>
            </xdr:nvCxnSpPr>
            <xdr:spPr>
              <a:xfrm>
                <a:off x="6907649" y="4221491"/>
                <a:ext cx="3510730" cy="617647"/>
              </a:xfrm>
              <a:prstGeom prst="bentConnector3">
                <a:avLst>
                  <a:gd name="adj1" fmla="val 40132"/>
                </a:avLst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8" name="Straight Connector 47">
                <a:extLst>
                  <a:ext uri="{FF2B5EF4-FFF2-40B4-BE49-F238E27FC236}">
                    <a16:creationId xmlns:a16="http://schemas.microsoft.com/office/drawing/2014/main" id="{00000000-0008-0000-0200-000030000000}"/>
                  </a:ext>
                </a:extLst>
              </xdr:cNvPr>
              <xdr:cNvCxnSpPr>
                <a:stCxn id="65" idx="1"/>
                <a:endCxn id="43" idx="0"/>
              </xdr:cNvCxnSpPr>
            </xdr:nvCxnSpPr>
            <xdr:spPr>
              <a:xfrm flipH="1" flipV="1">
                <a:off x="6854716" y="4025949"/>
                <a:ext cx="1782872" cy="164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9" name="Straight Connector 48">
                <a:extLst>
                  <a:ext uri="{FF2B5EF4-FFF2-40B4-BE49-F238E27FC236}">
                    <a16:creationId xmlns:a16="http://schemas.microsoft.com/office/drawing/2014/main" id="{00000000-0008-0000-0200-000031000000}"/>
                  </a:ext>
                </a:extLst>
              </xdr:cNvPr>
              <xdr:cNvCxnSpPr/>
            </xdr:nvCxnSpPr>
            <xdr:spPr>
              <a:xfrm flipH="1">
                <a:off x="4765792" y="4035225"/>
                <a:ext cx="512135" cy="1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0" name="Straight Connector 49">
                <a:extLst>
                  <a:ext uri="{FF2B5EF4-FFF2-40B4-BE49-F238E27FC236}">
                    <a16:creationId xmlns:a16="http://schemas.microsoft.com/office/drawing/2014/main" id="{00000000-0008-0000-0200-000032000000}"/>
                  </a:ext>
                </a:extLst>
              </xdr:cNvPr>
              <xdr:cNvCxnSpPr/>
            </xdr:nvCxnSpPr>
            <xdr:spPr>
              <a:xfrm flipH="1">
                <a:off x="4765792" y="4235991"/>
                <a:ext cx="512135" cy="1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1" name="Straight Connector 50">
                <a:extLst>
                  <a:ext uri="{FF2B5EF4-FFF2-40B4-BE49-F238E27FC236}">
                    <a16:creationId xmlns:a16="http://schemas.microsoft.com/office/drawing/2014/main" id="{00000000-0008-0000-0200-000033000000}"/>
                  </a:ext>
                </a:extLst>
              </xdr:cNvPr>
              <xdr:cNvCxnSpPr/>
            </xdr:nvCxnSpPr>
            <xdr:spPr>
              <a:xfrm flipH="1">
                <a:off x="5532074" y="4235992"/>
                <a:ext cx="1016589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2" name="Straight Connector 51">
                <a:extLst>
                  <a:ext uri="{FF2B5EF4-FFF2-40B4-BE49-F238E27FC236}">
                    <a16:creationId xmlns:a16="http://schemas.microsoft.com/office/drawing/2014/main" id="{00000000-0008-0000-0200-000034000000}"/>
                  </a:ext>
                </a:extLst>
              </xdr:cNvPr>
              <xdr:cNvCxnSpPr/>
            </xdr:nvCxnSpPr>
            <xdr:spPr>
              <a:xfrm flipH="1">
                <a:off x="5532074" y="4035225"/>
                <a:ext cx="1016589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35" name="Group 34">
              <a:extLst>
                <a:ext uri="{FF2B5EF4-FFF2-40B4-BE49-F238E27FC236}">
                  <a16:creationId xmlns:a16="http://schemas.microsoft.com/office/drawing/2014/main" id="{00000000-0008-0000-0200-000023000000}"/>
                </a:ext>
              </a:extLst>
            </xdr:cNvPr>
            <xdr:cNvGrpSpPr/>
          </xdr:nvGrpSpPr>
          <xdr:grpSpPr>
            <a:xfrm>
              <a:off x="6463027" y="3663974"/>
              <a:ext cx="514076" cy="812899"/>
              <a:chOff x="8312729" y="2242252"/>
              <a:chExt cx="516507" cy="808182"/>
            </a:xfrm>
          </xdr:grpSpPr>
          <xdr:grpSp>
            <xdr:nvGrpSpPr>
              <xdr:cNvPr id="36" name="Group 35">
                <a:extLst>
                  <a:ext uri="{FF2B5EF4-FFF2-40B4-BE49-F238E27FC236}">
                    <a16:creationId xmlns:a16="http://schemas.microsoft.com/office/drawing/2014/main" id="{00000000-0008-0000-0200-000024000000}"/>
                  </a:ext>
                </a:extLst>
              </xdr:cNvPr>
              <xdr:cNvGrpSpPr/>
            </xdr:nvGrpSpPr>
            <xdr:grpSpPr>
              <a:xfrm>
                <a:off x="8407084" y="2351625"/>
                <a:ext cx="337086" cy="500842"/>
                <a:chOff x="8413162" y="2400242"/>
                <a:chExt cx="337086" cy="500842"/>
              </a:xfrm>
            </xdr:grpSpPr>
            <xdr:sp macro="" textlink="">
              <xdr:nvSpPr>
                <xdr:cNvPr id="38" name="Shape 9">
                  <a:extLst>
                    <a:ext uri="{FF2B5EF4-FFF2-40B4-BE49-F238E27FC236}">
                      <a16:creationId xmlns:a16="http://schemas.microsoft.com/office/drawing/2014/main" id="{00000000-0008-0000-0200-000026000000}"/>
                    </a:ext>
                  </a:extLst>
                </xdr:cNvPr>
                <xdr:cNvSpPr/>
              </xdr:nvSpPr>
              <xdr:spPr>
                <a:xfrm>
                  <a:off x="8413162" y="2612919"/>
                  <a:ext cx="79265" cy="79264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solidFill>
                  <a:schemeClr val="bg1"/>
                </a:solidFill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9" name="Shape 38">
                  <a:extLst>
                    <a:ext uri="{FF2B5EF4-FFF2-40B4-BE49-F238E27FC236}">
                      <a16:creationId xmlns:a16="http://schemas.microsoft.com/office/drawing/2014/main" id="{00000000-0008-0000-0200-000027000000}"/>
                    </a:ext>
                  </a:extLst>
                </xdr:cNvPr>
                <xdr:cNvSpPr/>
              </xdr:nvSpPr>
              <xdr:spPr>
                <a:xfrm flipV="1">
                  <a:off x="8567942" y="2400242"/>
                  <a:ext cx="0" cy="324411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0" name="Shape 39">
                  <a:extLst>
                    <a:ext uri="{FF2B5EF4-FFF2-40B4-BE49-F238E27FC236}">
                      <a16:creationId xmlns:a16="http://schemas.microsoft.com/office/drawing/2014/main" id="{00000000-0008-0000-0200-000028000000}"/>
                    </a:ext>
                  </a:extLst>
                </xdr:cNvPr>
                <xdr:cNvSpPr/>
              </xdr:nvSpPr>
              <xdr:spPr>
                <a:xfrm flipH="1">
                  <a:off x="8519330" y="2400246"/>
                  <a:ext cx="99510" cy="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1" name="Shape 13">
                  <a:extLst>
                    <a:ext uri="{FF2B5EF4-FFF2-40B4-BE49-F238E27FC236}">
                      <a16:creationId xmlns:a16="http://schemas.microsoft.com/office/drawing/2014/main" id="{00000000-0008-0000-0200-000029000000}"/>
                    </a:ext>
                  </a:extLst>
                </xdr:cNvPr>
                <xdr:cNvSpPr/>
              </xdr:nvSpPr>
              <xdr:spPr>
                <a:xfrm flipV="1">
                  <a:off x="8467879" y="2454932"/>
                  <a:ext cx="159630" cy="15963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2" name="Shape 37">
                  <a:extLst>
                    <a:ext uri="{FF2B5EF4-FFF2-40B4-BE49-F238E27FC236}">
                      <a16:creationId xmlns:a16="http://schemas.microsoft.com/office/drawing/2014/main" id="{00000000-0008-0000-0200-00002A000000}"/>
                    </a:ext>
                  </a:extLst>
                </xdr:cNvPr>
                <xdr:cNvSpPr/>
              </xdr:nvSpPr>
              <xdr:spPr>
                <a:xfrm flipV="1">
                  <a:off x="8470717" y="2673688"/>
                  <a:ext cx="158580" cy="154246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3" name="Shape 9">
                  <a:extLst>
                    <a:ext uri="{FF2B5EF4-FFF2-40B4-BE49-F238E27FC236}">
                      <a16:creationId xmlns:a16="http://schemas.microsoft.com/office/drawing/2014/main" id="{00000000-0008-0000-0200-00002B000000}"/>
                    </a:ext>
                  </a:extLst>
                </xdr:cNvPr>
                <xdr:cNvSpPr/>
              </xdr:nvSpPr>
              <xdr:spPr>
                <a:xfrm>
                  <a:off x="8665660" y="2613400"/>
                  <a:ext cx="84578" cy="84578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solidFill>
                  <a:schemeClr val="bg1"/>
                </a:solidFill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4" name="Shape 9">
                  <a:extLst>
                    <a:ext uri="{FF2B5EF4-FFF2-40B4-BE49-F238E27FC236}">
                      <a16:creationId xmlns:a16="http://schemas.microsoft.com/office/drawing/2014/main" id="{00000000-0008-0000-0200-00002C000000}"/>
                    </a:ext>
                  </a:extLst>
                </xdr:cNvPr>
                <xdr:cNvSpPr/>
              </xdr:nvSpPr>
              <xdr:spPr>
                <a:xfrm>
                  <a:off x="8419721" y="2820012"/>
                  <a:ext cx="81072" cy="81072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solidFill>
                  <a:schemeClr val="bg1"/>
                </a:solidFill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5" name="Shape 9">
                  <a:extLst>
                    <a:ext uri="{FF2B5EF4-FFF2-40B4-BE49-F238E27FC236}">
                      <a16:creationId xmlns:a16="http://schemas.microsoft.com/office/drawing/2014/main" id="{00000000-0008-0000-0200-00002D000000}"/>
                    </a:ext>
                  </a:extLst>
                </xdr:cNvPr>
                <xdr:cNvSpPr/>
              </xdr:nvSpPr>
              <xdr:spPr>
                <a:xfrm>
                  <a:off x="8672220" y="2820493"/>
                  <a:ext cx="78028" cy="78028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solidFill>
                  <a:schemeClr val="bg1"/>
                </a:solidFill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37" name="Rectangle 36">
                <a:extLst>
                  <a:ext uri="{FF2B5EF4-FFF2-40B4-BE49-F238E27FC236}">
                    <a16:creationId xmlns:a16="http://schemas.microsoft.com/office/drawing/2014/main" id="{00000000-0008-0000-0200-000025000000}"/>
                  </a:ext>
                </a:extLst>
              </xdr:cNvPr>
              <xdr:cNvSpPr/>
            </xdr:nvSpPr>
            <xdr:spPr>
              <a:xfrm>
                <a:off x="8312729" y="2242252"/>
                <a:ext cx="516507" cy="808182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</xdr:grpSp>
    <xdr:clientData/>
  </xdr:twoCellAnchor>
  <xdr:twoCellAnchor>
    <xdr:from>
      <xdr:col>30</xdr:col>
      <xdr:colOff>161339</xdr:colOff>
      <xdr:row>79</xdr:row>
      <xdr:rowOff>66882</xdr:rowOff>
    </xdr:from>
    <xdr:to>
      <xdr:col>39</xdr:col>
      <xdr:colOff>169772</xdr:colOff>
      <xdr:row>85</xdr:row>
      <xdr:rowOff>123885</xdr:rowOff>
    </xdr:to>
    <xdr:grpSp>
      <xdr:nvGrpSpPr>
        <xdr:cNvPr id="77" name="Group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GrpSpPr/>
      </xdr:nvGrpSpPr>
      <xdr:grpSpPr>
        <a:xfrm>
          <a:off x="7781339" y="16119682"/>
          <a:ext cx="2294433" cy="1276203"/>
          <a:chOff x="5326830" y="4975411"/>
          <a:chExt cx="2294431" cy="1316399"/>
        </a:xfrm>
      </xdr:grpSpPr>
      <xdr:grpSp>
        <xdr:nvGrpSpPr>
          <xdr:cNvPr id="78" name="Group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GrpSpPr/>
        </xdr:nvGrpSpPr>
        <xdr:grpSpPr>
          <a:xfrm>
            <a:off x="6859261" y="4975411"/>
            <a:ext cx="762000" cy="1316399"/>
            <a:chOff x="5588000" y="4800600"/>
            <a:chExt cx="762000" cy="1270001"/>
          </a:xfrm>
        </xdr:grpSpPr>
        <xdr:grpSp>
          <xdr:nvGrpSpPr>
            <xdr:cNvPr id="86" name="Group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GrpSpPr/>
          </xdr:nvGrpSpPr>
          <xdr:grpSpPr>
            <a:xfrm>
              <a:off x="5600699" y="4813301"/>
              <a:ext cx="736601" cy="1257300"/>
              <a:chOff x="5600699" y="4813301"/>
              <a:chExt cx="736601" cy="1257300"/>
            </a:xfrm>
          </xdr:grpSpPr>
          <xdr:sp macro="" textlink="">
            <xdr:nvSpPr>
              <xdr:cNvPr id="88" name="Shape 5">
                <a:extLst>
                  <a:ext uri="{FF2B5EF4-FFF2-40B4-BE49-F238E27FC236}">
                    <a16:creationId xmlns:a16="http://schemas.microsoft.com/office/drawing/2014/main" id="{00000000-0008-0000-0200-000058000000}"/>
                  </a:ext>
                </a:extLst>
              </xdr:cNvPr>
              <xdr:cNvSpPr/>
            </xdr:nvSpPr>
            <xdr:spPr>
              <a:xfrm>
                <a:off x="5600699" y="4813301"/>
                <a:ext cx="736601" cy="12573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9" name="Shape 6">
                <a:extLst>
                  <a:ext uri="{FF2B5EF4-FFF2-40B4-BE49-F238E27FC236}">
                    <a16:creationId xmlns:a16="http://schemas.microsoft.com/office/drawing/2014/main" id="{00000000-0008-0000-0200-000059000000}"/>
                  </a:ext>
                </a:extLst>
              </xdr:cNvPr>
              <xdr:cNvSpPr/>
            </xdr:nvSpPr>
            <xdr:spPr>
              <a:xfrm>
                <a:off x="6027997" y="4938868"/>
                <a:ext cx="212482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90" name="Shape 7">
                <a:extLst>
                  <a:ext uri="{FF2B5EF4-FFF2-40B4-BE49-F238E27FC236}">
                    <a16:creationId xmlns:a16="http://schemas.microsoft.com/office/drawing/2014/main" id="{00000000-0008-0000-0200-00005A000000}"/>
                  </a:ext>
                </a:extLst>
              </xdr:cNvPr>
              <xdr:cNvSpPr/>
            </xdr:nvSpPr>
            <xdr:spPr>
              <a:xfrm>
                <a:off x="6018472" y="5050734"/>
                <a:ext cx="222007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91" name="Shape 8">
                <a:extLst>
                  <a:ext uri="{FF2B5EF4-FFF2-40B4-BE49-F238E27FC236}">
                    <a16:creationId xmlns:a16="http://schemas.microsoft.com/office/drawing/2014/main" id="{00000000-0008-0000-0200-00005B000000}"/>
                  </a:ext>
                </a:extLst>
              </xdr:cNvPr>
              <xdr:cNvSpPr/>
            </xdr:nvSpPr>
            <xdr:spPr>
              <a:xfrm>
                <a:off x="5716328" y="5742770"/>
                <a:ext cx="202957" cy="171450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87" name="Rectangle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SpPr/>
          </xdr:nvSpPr>
          <xdr:spPr>
            <a:xfrm>
              <a:off x="5588000" y="4800600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79" name="Group 78">
            <a:extLst>
              <a:ext uri="{FF2B5EF4-FFF2-40B4-BE49-F238E27FC236}">
                <a16:creationId xmlns:a16="http://schemas.microsoft.com/office/drawing/2014/main" id="{00000000-0008-0000-0200-00004F000000}"/>
              </a:ext>
            </a:extLst>
          </xdr:cNvPr>
          <xdr:cNvGrpSpPr/>
        </xdr:nvGrpSpPr>
        <xdr:grpSpPr>
          <a:xfrm>
            <a:off x="5326830" y="5492101"/>
            <a:ext cx="1531172" cy="564535"/>
            <a:chOff x="6858969" y="6917765"/>
            <a:chExt cx="1526730" cy="545353"/>
          </a:xfrm>
        </xdr:grpSpPr>
        <xdr:sp macro="" textlink="">
          <xdr:nvSpPr>
            <xdr:cNvPr id="80" name="Shape 27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SpPr/>
          </xdr:nvSpPr>
          <xdr:spPr>
            <a:xfrm>
              <a:off x="7112996" y="7224912"/>
              <a:ext cx="81180" cy="8463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1" name="Shape 27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SpPr/>
          </xdr:nvSpPr>
          <xdr:spPr>
            <a:xfrm>
              <a:off x="7539659" y="7223065"/>
              <a:ext cx="80343" cy="83761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2" name="Shape 26">
              <a:extLst>
                <a:ext uri="{FF2B5EF4-FFF2-40B4-BE49-F238E27FC236}">
                  <a16:creationId xmlns:a16="http://schemas.microsoft.com/office/drawing/2014/main" id="{00000000-0008-0000-0200-000052000000}"/>
                </a:ext>
              </a:extLst>
            </xdr:cNvPr>
            <xdr:cNvSpPr/>
          </xdr:nvSpPr>
          <xdr:spPr>
            <a:xfrm flipH="1" flipV="1">
              <a:off x="7209118" y="7014882"/>
              <a:ext cx="351592" cy="211269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83" name="Straight Connector 82">
              <a:extLst>
                <a:ext uri="{FF2B5EF4-FFF2-40B4-BE49-F238E27FC236}">
                  <a16:creationId xmlns:a16="http://schemas.microsoft.com/office/drawing/2014/main" id="{00000000-0008-0000-0200-000053000000}"/>
                </a:ext>
              </a:extLst>
            </xdr:cNvPr>
            <xdr:cNvCxnSpPr/>
          </xdr:nvCxnSpPr>
          <xdr:spPr>
            <a:xfrm flipH="1">
              <a:off x="6858969" y="7270910"/>
              <a:ext cx="260502" cy="1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4" name="Straight Connector 83">
              <a:extLst>
                <a:ext uri="{FF2B5EF4-FFF2-40B4-BE49-F238E27FC236}">
                  <a16:creationId xmlns:a16="http://schemas.microsoft.com/office/drawing/2014/main" id="{00000000-0008-0000-0200-000054000000}"/>
                </a:ext>
              </a:extLst>
            </xdr:cNvPr>
            <xdr:cNvCxnSpPr/>
          </xdr:nvCxnSpPr>
          <xdr:spPr>
            <a:xfrm flipH="1">
              <a:off x="7625908" y="7270208"/>
              <a:ext cx="759791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5" name="Rectangle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/>
          </xdr:nvSpPr>
          <xdr:spPr>
            <a:xfrm>
              <a:off x="6866438" y="6917765"/>
              <a:ext cx="1007561" cy="545353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10</xdr:col>
      <xdr:colOff>122081</xdr:colOff>
      <xdr:row>107</xdr:row>
      <xdr:rowOff>19351</xdr:rowOff>
    </xdr:from>
    <xdr:to>
      <xdr:col>29</xdr:col>
      <xdr:colOff>110435</xdr:colOff>
      <xdr:row>116</xdr:row>
      <xdr:rowOff>97396</xdr:rowOff>
    </xdr:to>
    <xdr:grpSp>
      <xdr:nvGrpSpPr>
        <xdr:cNvPr id="92" name="Group 91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GrpSpPr/>
      </xdr:nvGrpSpPr>
      <xdr:grpSpPr>
        <a:xfrm>
          <a:off x="2662081" y="21761751"/>
          <a:ext cx="4814354" cy="1906845"/>
          <a:chOff x="2271346" y="15410962"/>
          <a:chExt cx="4783494" cy="1979578"/>
        </a:xfrm>
      </xdr:grpSpPr>
      <xdr:grpSp>
        <xdr:nvGrpSpPr>
          <xdr:cNvPr id="93" name="Group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GrpSpPr/>
        </xdr:nvGrpSpPr>
        <xdr:grpSpPr>
          <a:xfrm>
            <a:off x="2271346" y="15671474"/>
            <a:ext cx="4783494" cy="1719066"/>
            <a:chOff x="2271346" y="15671474"/>
            <a:chExt cx="4783494" cy="1719066"/>
          </a:xfrm>
        </xdr:grpSpPr>
        <xdr:sp macro="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00000000-0008-0000-0200-00005F000000}"/>
                </a:ext>
              </a:extLst>
            </xdr:cNvPr>
            <xdr:cNvSpPr/>
          </xdr:nvSpPr>
          <xdr:spPr>
            <a:xfrm>
              <a:off x="2271346" y="15671474"/>
              <a:ext cx="504744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96" name="Rectangle 95">
              <a:extLst>
                <a:ext uri="{FF2B5EF4-FFF2-40B4-BE49-F238E27FC236}">
                  <a16:creationId xmlns:a16="http://schemas.microsoft.com/office/drawing/2014/main" id="{00000000-0008-0000-0200-000060000000}"/>
                </a:ext>
              </a:extLst>
            </xdr:cNvPr>
            <xdr:cNvSpPr/>
          </xdr:nvSpPr>
          <xdr:spPr>
            <a:xfrm>
              <a:off x="3280833" y="15671474"/>
              <a:ext cx="504744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97" name="Rectangle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/>
          </xdr:nvSpPr>
          <xdr:spPr>
            <a:xfrm>
              <a:off x="4291948" y="15671475"/>
              <a:ext cx="504743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/>
          </xdr:nvCxnSpPr>
          <xdr:spPr>
            <a:xfrm>
              <a:off x="2776090" y="15875000"/>
              <a:ext cx="2271346" cy="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/>
          </xdr:nvCxnSpPr>
          <xdr:spPr>
            <a:xfrm>
              <a:off x="5057205" y="15874023"/>
              <a:ext cx="0" cy="81508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0" name="Straight Connector 99">
              <a:extLst>
                <a:ext uri="{FF2B5EF4-FFF2-40B4-BE49-F238E27FC236}">
                  <a16:creationId xmlns:a16="http://schemas.microsoft.com/office/drawing/2014/main" id="{00000000-0008-0000-0200-000064000000}"/>
                </a:ext>
              </a:extLst>
            </xdr:cNvPr>
            <xdr:cNvCxnSpPr/>
          </xdr:nvCxnSpPr>
          <xdr:spPr>
            <a:xfrm>
              <a:off x="4783493" y="17299679"/>
              <a:ext cx="2271347" cy="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1" name="Straight Connector 100">
              <a:extLst>
                <a:ext uri="{FF2B5EF4-FFF2-40B4-BE49-F238E27FC236}">
                  <a16:creationId xmlns:a16="http://schemas.microsoft.com/office/drawing/2014/main" id="{00000000-0008-0000-0200-000065000000}"/>
                </a:ext>
              </a:extLst>
            </xdr:cNvPr>
            <xdr:cNvCxnSpPr/>
          </xdr:nvCxnSpPr>
          <xdr:spPr>
            <a:xfrm>
              <a:off x="4795064" y="17103317"/>
              <a:ext cx="0" cy="204503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02" name="TextBox 101">
              <a:extLst>
                <a:ext uri="{FF2B5EF4-FFF2-40B4-BE49-F238E27FC236}">
                  <a16:creationId xmlns:a16="http://schemas.microsoft.com/office/drawing/2014/main" id="{00000000-0008-0000-0200-000066000000}"/>
                </a:ext>
              </a:extLst>
            </xdr:cNvPr>
            <xdr:cNvSpPr txBox="1"/>
          </xdr:nvSpPr>
          <xdr:spPr>
            <a:xfrm>
              <a:off x="4355774" y="16681914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WN Meter</a:t>
              </a:r>
            </a:p>
            <a:p>
              <a:pPr algn="ctr"/>
              <a:r>
                <a:rPr lang="en-GB" sz="800"/>
                <a:t>(3 Phase)</a:t>
              </a:r>
            </a:p>
          </xdr:txBody>
        </xdr:sp>
        <xdr:sp macro="" textlink="">
          <xdr:nvSpPr>
            <xdr:cNvPr id="103" name="Rectangle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/>
          </xdr:nvSpPr>
          <xdr:spPr>
            <a:xfrm>
              <a:off x="4331026" y="16697244"/>
              <a:ext cx="724551" cy="39891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04" name="TextBox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SpPr txBox="1"/>
          </xdr:nvSpPr>
          <xdr:spPr>
            <a:xfrm>
              <a:off x="6001334" y="17000725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RS485</a:t>
              </a:r>
            </a:p>
          </xdr:txBody>
        </xdr:sp>
      </xdr:grpSp>
      <xdr:cxnSp macro="">
        <xdr:nvCxnSpPr>
          <xdr:cNvPr id="94" name="Straight Connector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CxnSpPr/>
        </xdr:nvCxnSpPr>
        <xdr:spPr>
          <a:xfrm>
            <a:off x="2279487" y="15410962"/>
            <a:ext cx="2515577" cy="0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35</xdr:col>
      <xdr:colOff>121240</xdr:colOff>
      <xdr:row>97</xdr:row>
      <xdr:rowOff>80151</xdr:rowOff>
    </xdr:from>
    <xdr:to>
      <xdr:col>38</xdr:col>
      <xdr:colOff>121242</xdr:colOff>
      <xdr:row>103</xdr:row>
      <xdr:rowOff>137154</xdr:rowOff>
    </xdr:to>
    <xdr:grpSp>
      <xdr:nvGrpSpPr>
        <xdr:cNvPr id="105" name="Group 104" descr="Inverter">
          <a:extLst>
            <a:ext uri="{FF2B5EF4-FFF2-40B4-BE49-F238E27FC236}">
              <a16:creationId xmlns:a16="http://schemas.microsoft.com/office/drawing/2014/main" id="{00000000-0008-0000-0200-000069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pSpPr/>
      </xdr:nvGrpSpPr>
      <xdr:grpSpPr>
        <a:xfrm>
          <a:off x="9011240" y="19790551"/>
          <a:ext cx="762002" cy="1276203"/>
          <a:chOff x="5588000" y="4800600"/>
          <a:chExt cx="762000" cy="1270001"/>
        </a:xfrm>
      </xdr:grpSpPr>
      <xdr:grpSp>
        <xdr:nvGrpSpPr>
          <xdr:cNvPr id="106" name="Group 105">
            <a:extLst>
              <a:ext uri="{FF2B5EF4-FFF2-40B4-BE49-F238E27FC236}">
                <a16:creationId xmlns:a16="http://schemas.microsoft.com/office/drawing/2014/main" id="{00000000-0008-0000-0200-00006A000000}"/>
              </a:ext>
            </a:extLst>
          </xdr:cNvPr>
          <xdr:cNvGrpSpPr/>
        </xdr:nvGrpSpPr>
        <xdr:grpSpPr>
          <a:xfrm>
            <a:off x="5600699" y="4813301"/>
            <a:ext cx="736601" cy="1257300"/>
            <a:chOff x="5600699" y="4813301"/>
            <a:chExt cx="736601" cy="1257300"/>
          </a:xfrm>
        </xdr:grpSpPr>
        <xdr:sp macro="" textlink="">
          <xdr:nvSpPr>
            <xdr:cNvPr id="108" name="Shape 5">
              <a:extLst>
                <a:ext uri="{FF2B5EF4-FFF2-40B4-BE49-F238E27FC236}">
                  <a16:creationId xmlns:a16="http://schemas.microsoft.com/office/drawing/2014/main" id="{00000000-0008-0000-0200-00006C000000}"/>
                </a:ext>
              </a:extLst>
            </xdr:cNvPr>
            <xdr:cNvSpPr/>
          </xdr:nvSpPr>
          <xdr:spPr>
            <a:xfrm>
              <a:off x="5600699" y="4813301"/>
              <a:ext cx="736601" cy="125730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9" name="Shape 6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/>
          </xdr:nvSpPr>
          <xdr:spPr>
            <a:xfrm>
              <a:off x="6027997" y="4938868"/>
              <a:ext cx="212482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dash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10" name="Shape 7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SpPr/>
          </xdr:nvSpPr>
          <xdr:spPr>
            <a:xfrm>
              <a:off x="6018472" y="5050734"/>
              <a:ext cx="222007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11" name="Shape 8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SpPr/>
          </xdr:nvSpPr>
          <xdr:spPr>
            <a:xfrm>
              <a:off x="5716328" y="5742770"/>
              <a:ext cx="202957" cy="171450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21600" h="21600" extrusionOk="0">
                  <a:moveTo>
                    <a:pt x="0" y="19200"/>
                  </a:moveTo>
                  <a:cubicBezTo>
                    <a:pt x="2057" y="9600"/>
                    <a:pt x="5143" y="0"/>
                    <a:pt x="7200" y="0"/>
                  </a:cubicBezTo>
                  <a:cubicBezTo>
                    <a:pt x="9257" y="0"/>
                    <a:pt x="12343" y="21600"/>
                    <a:pt x="14400" y="21600"/>
                  </a:cubicBezTo>
                  <a:cubicBezTo>
                    <a:pt x="16457" y="21600"/>
                    <a:pt x="20571" y="4800"/>
                    <a:pt x="21600" y="2400"/>
                  </a:cubicBezTo>
                </a:path>
              </a:pathLst>
            </a:cu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107" name="Rectangle 106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SpPr/>
        </xdr:nvSpPr>
        <xdr:spPr>
          <a:xfrm>
            <a:off x="5588000" y="4800600"/>
            <a:ext cx="762000" cy="127000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32</xdr:col>
      <xdr:colOff>68134</xdr:colOff>
      <xdr:row>93</xdr:row>
      <xdr:rowOff>30281</xdr:rowOff>
    </xdr:from>
    <xdr:to>
      <xdr:col>35</xdr:col>
      <xdr:colOff>92406</xdr:colOff>
      <xdr:row>99</xdr:row>
      <xdr:rowOff>30280</xdr:rowOff>
    </xdr:to>
    <xdr:grpSp>
      <xdr:nvGrpSpPr>
        <xdr:cNvPr id="112" name="Group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/>
      </xdr:nvGrpSpPr>
      <xdr:grpSpPr>
        <a:xfrm>
          <a:off x="8196134" y="18927881"/>
          <a:ext cx="786272" cy="1219199"/>
          <a:chOff x="5548785" y="5856941"/>
          <a:chExt cx="786273" cy="1255059"/>
        </a:xfrm>
      </xdr:grpSpPr>
      <xdr:grpSp>
        <xdr:nvGrpSpPr>
          <xdr:cNvPr id="113" name="Group 112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5827057" y="5856941"/>
            <a:ext cx="508001" cy="1255059"/>
            <a:chOff x="6349999" y="6484471"/>
            <a:chExt cx="508001" cy="1255059"/>
          </a:xfrm>
        </xdr:grpSpPr>
        <xdr:cxnSp macro="">
          <xdr:nvCxnSpPr>
            <xdr:cNvPr id="115" name="Straight Connector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CxnSpPr/>
          </xdr:nvCxnSpPr>
          <xdr:spPr>
            <a:xfrm>
              <a:off x="6349999" y="6484471"/>
              <a:ext cx="508000" cy="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/>
          </xdr:nvCxnSpPr>
          <xdr:spPr>
            <a:xfrm flipV="1">
              <a:off x="6350000" y="7739529"/>
              <a:ext cx="508000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/>
          </xdr:nvCxnSpPr>
          <xdr:spPr>
            <a:xfrm>
              <a:off x="6350000" y="6484471"/>
              <a:ext cx="0" cy="1255058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TextBox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 txBox="1"/>
        </xdr:nvSpPr>
        <xdr:spPr>
          <a:xfrm rot="16200000">
            <a:off x="5393765" y="6305177"/>
            <a:ext cx="696124" cy="3860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800"/>
              <a:t>RS485</a:t>
            </a:r>
          </a:p>
        </xdr:txBody>
      </xdr:sp>
    </xdr:grpSp>
    <xdr:clientData/>
  </xdr:twoCellAnchor>
  <xdr:twoCellAnchor>
    <xdr:from>
      <xdr:col>55</xdr:col>
      <xdr:colOff>179306</xdr:colOff>
      <xdr:row>103</xdr:row>
      <xdr:rowOff>176182</xdr:rowOff>
    </xdr:from>
    <xdr:to>
      <xdr:col>59</xdr:col>
      <xdr:colOff>179307</xdr:colOff>
      <xdr:row>109</xdr:row>
      <xdr:rowOff>176735</xdr:rowOff>
    </xdr:to>
    <xdr:grpSp>
      <xdr:nvGrpSpPr>
        <xdr:cNvPr id="118" name="Group 117" descr="Inverter">
          <a:extLst>
            <a:ext uri="{FF2B5EF4-FFF2-40B4-BE49-F238E27FC236}">
              <a16:creationId xmlns:a16="http://schemas.microsoft.com/office/drawing/2014/main" id="{00000000-0008-0000-0200-000076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pSpPr/>
      </xdr:nvGrpSpPr>
      <xdr:grpSpPr>
        <a:xfrm>
          <a:off x="14149306" y="21105782"/>
          <a:ext cx="1016001" cy="1219753"/>
          <a:chOff x="5588000" y="3530597"/>
          <a:chExt cx="762000" cy="2540006"/>
        </a:xfrm>
      </xdr:grpSpPr>
      <xdr:grpSp>
        <xdr:nvGrpSpPr>
          <xdr:cNvPr id="119" name="Group 118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5588000" y="4800603"/>
            <a:ext cx="762000" cy="1270000"/>
            <a:chOff x="5588000" y="4800603"/>
            <a:chExt cx="762000" cy="1270000"/>
          </a:xfrm>
        </xdr:grpSpPr>
        <xdr:sp macro="" textlink="">
          <xdr:nvSpPr>
            <xdr:cNvPr id="125" name="Shape 5">
              <a:extLst>
                <a:ext uri="{FF2B5EF4-FFF2-40B4-BE49-F238E27FC236}">
                  <a16:creationId xmlns:a16="http://schemas.microsoft.com/office/drawing/2014/main" id="{00000000-0008-0000-0200-00007D000000}"/>
                </a:ext>
              </a:extLst>
            </xdr:cNvPr>
            <xdr:cNvSpPr/>
          </xdr:nvSpPr>
          <xdr:spPr>
            <a:xfrm>
              <a:off x="5588000" y="4800603"/>
              <a:ext cx="762000" cy="127000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6" name="Shape 6">
              <a:extLst>
                <a:ext uri="{FF2B5EF4-FFF2-40B4-BE49-F238E27FC236}">
                  <a16:creationId xmlns:a16="http://schemas.microsoft.com/office/drawing/2014/main" id="{00000000-0008-0000-0200-00007E000000}"/>
                </a:ext>
              </a:extLst>
            </xdr:cNvPr>
            <xdr:cNvSpPr/>
          </xdr:nvSpPr>
          <xdr:spPr>
            <a:xfrm>
              <a:off x="6027997" y="4938868"/>
              <a:ext cx="125900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dash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7" name="Shape 7">
              <a:extLst>
                <a:ext uri="{FF2B5EF4-FFF2-40B4-BE49-F238E27FC236}">
                  <a16:creationId xmlns:a16="http://schemas.microsoft.com/office/drawing/2014/main" id="{00000000-0008-0000-0200-00007F000000}"/>
                </a:ext>
              </a:extLst>
            </xdr:cNvPr>
            <xdr:cNvSpPr/>
          </xdr:nvSpPr>
          <xdr:spPr>
            <a:xfrm>
              <a:off x="6018473" y="5050734"/>
              <a:ext cx="141028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8" name="Shape 8">
              <a:extLst>
                <a:ext uri="{FF2B5EF4-FFF2-40B4-BE49-F238E27FC236}">
                  <a16:creationId xmlns:a16="http://schemas.microsoft.com/office/drawing/2014/main" id="{00000000-0008-0000-0200-000080000000}"/>
                </a:ext>
              </a:extLst>
            </xdr:cNvPr>
            <xdr:cNvSpPr/>
          </xdr:nvSpPr>
          <xdr:spPr>
            <a:xfrm>
              <a:off x="5716329" y="5725661"/>
              <a:ext cx="123805" cy="18855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21600" h="21600" extrusionOk="0">
                  <a:moveTo>
                    <a:pt x="0" y="19200"/>
                  </a:moveTo>
                  <a:cubicBezTo>
                    <a:pt x="2057" y="9600"/>
                    <a:pt x="5143" y="0"/>
                    <a:pt x="7200" y="0"/>
                  </a:cubicBezTo>
                  <a:cubicBezTo>
                    <a:pt x="9257" y="0"/>
                    <a:pt x="12343" y="21600"/>
                    <a:pt x="14400" y="21600"/>
                  </a:cubicBezTo>
                  <a:cubicBezTo>
                    <a:pt x="16457" y="21600"/>
                    <a:pt x="20571" y="4800"/>
                    <a:pt x="21600" y="2400"/>
                  </a:cubicBezTo>
                </a:path>
              </a:pathLst>
            </a:cu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120" name="Rectangle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/>
        </xdr:nvSpPr>
        <xdr:spPr>
          <a:xfrm>
            <a:off x="5588000" y="4800600"/>
            <a:ext cx="762000" cy="127000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200-000079000000}"/>
              </a:ext>
            </a:extLst>
          </xdr:cNvPr>
          <xdr:cNvSpPr/>
        </xdr:nvSpPr>
        <xdr:spPr>
          <a:xfrm>
            <a:off x="5588000" y="3530597"/>
            <a:ext cx="762000" cy="1270001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122" name="Rectangle 121">
            <a:extLst>
              <a:ext uri="{FF2B5EF4-FFF2-40B4-BE49-F238E27FC236}">
                <a16:creationId xmlns:a16="http://schemas.microsoft.com/office/drawing/2014/main" id="{00000000-0008-0000-0200-00007A000000}"/>
              </a:ext>
            </a:extLst>
          </xdr:cNvPr>
          <xdr:cNvSpPr/>
        </xdr:nvSpPr>
        <xdr:spPr>
          <a:xfrm>
            <a:off x="5778499" y="4079153"/>
            <a:ext cx="381000" cy="533089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123" name="Rectangle 122">
            <a:extLst>
              <a:ext uri="{FF2B5EF4-FFF2-40B4-BE49-F238E27FC236}">
                <a16:creationId xmlns:a16="http://schemas.microsoft.com/office/drawing/2014/main" id="{00000000-0008-0000-0200-00007B000000}"/>
              </a:ext>
            </a:extLst>
          </xdr:cNvPr>
          <xdr:cNvSpPr/>
        </xdr:nvSpPr>
        <xdr:spPr>
          <a:xfrm>
            <a:off x="5812117" y="3922362"/>
            <a:ext cx="72838" cy="156790"/>
          </a:xfrm>
          <a:prstGeom prst="rect">
            <a:avLst/>
          </a:prstGeom>
          <a:solidFill>
            <a:schemeClr val="tx1"/>
          </a:solidFill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200-00007C000000}"/>
              </a:ext>
            </a:extLst>
          </xdr:cNvPr>
          <xdr:cNvSpPr/>
        </xdr:nvSpPr>
        <xdr:spPr>
          <a:xfrm>
            <a:off x="6050642" y="3923023"/>
            <a:ext cx="72838" cy="156790"/>
          </a:xfrm>
          <a:prstGeom prst="rect">
            <a:avLst/>
          </a:prstGeom>
          <a:solidFill>
            <a:schemeClr val="tx1"/>
          </a:solidFill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41</xdr:col>
      <xdr:colOff>220274</xdr:colOff>
      <xdr:row>99</xdr:row>
      <xdr:rowOff>68874</xdr:rowOff>
    </xdr:from>
    <xdr:to>
      <xdr:col>55</xdr:col>
      <xdr:colOff>145499</xdr:colOff>
      <xdr:row>126</xdr:row>
      <xdr:rowOff>31197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GrpSpPr/>
      </xdr:nvGrpSpPr>
      <xdr:grpSpPr>
        <a:xfrm>
          <a:off x="10634274" y="20185674"/>
          <a:ext cx="3481225" cy="5448723"/>
          <a:chOff x="1267129" y="4661839"/>
          <a:chExt cx="3559360" cy="5493134"/>
        </a:xfrm>
      </xdr:grpSpPr>
      <xdr:sp macro="" textlink="">
        <xdr:nvSpPr>
          <xdr:cNvPr id="130" name="Shape 18">
            <a:extLst>
              <a:ext uri="{FF2B5EF4-FFF2-40B4-BE49-F238E27FC236}">
                <a16:creationId xmlns:a16="http://schemas.microsoft.com/office/drawing/2014/main" id="{00000000-0008-0000-0200-000082000000}"/>
              </a:ext>
            </a:extLst>
          </xdr:cNvPr>
          <xdr:cNvSpPr/>
        </xdr:nvSpPr>
        <xdr:spPr>
          <a:xfrm flipH="1">
            <a:off x="2793998" y="9779000"/>
            <a:ext cx="0" cy="196548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131" name="Group 130">
            <a:extLst>
              <a:ext uri="{FF2B5EF4-FFF2-40B4-BE49-F238E27FC236}">
                <a16:creationId xmlns:a16="http://schemas.microsoft.com/office/drawing/2014/main" id="{00000000-0008-0000-0200-000083000000}"/>
              </a:ext>
            </a:extLst>
          </xdr:cNvPr>
          <xdr:cNvGrpSpPr/>
        </xdr:nvGrpSpPr>
        <xdr:grpSpPr>
          <a:xfrm>
            <a:off x="1267129" y="4661839"/>
            <a:ext cx="3559360" cy="5493134"/>
            <a:chOff x="1269973" y="4629787"/>
            <a:chExt cx="3556046" cy="5451865"/>
          </a:xfrm>
        </xdr:grpSpPr>
        <xdr:grpSp>
          <xdr:nvGrpSpPr>
            <xdr:cNvPr id="132" name="Group 131">
              <a:extLst>
                <a:ext uri="{FF2B5EF4-FFF2-40B4-BE49-F238E27FC236}">
                  <a16:creationId xmlns:a16="http://schemas.microsoft.com/office/drawing/2014/main" id="{00000000-0008-0000-0200-000084000000}"/>
                </a:ext>
              </a:extLst>
            </xdr:cNvPr>
            <xdr:cNvGrpSpPr/>
          </xdr:nvGrpSpPr>
          <xdr:grpSpPr>
            <a:xfrm>
              <a:off x="1272329" y="4629787"/>
              <a:ext cx="3553690" cy="5282184"/>
              <a:chOff x="1277514" y="4108878"/>
              <a:chExt cx="3574717" cy="5308132"/>
            </a:xfrm>
          </xdr:grpSpPr>
          <xdr:sp macro="" textlink="">
            <xdr:nvSpPr>
              <xdr:cNvPr id="139" name="Shape 27">
                <a:extLst>
                  <a:ext uri="{FF2B5EF4-FFF2-40B4-BE49-F238E27FC236}">
                    <a16:creationId xmlns:a16="http://schemas.microsoft.com/office/drawing/2014/main" id="{00000000-0008-0000-0200-00008B000000}"/>
                  </a:ext>
                </a:extLst>
              </xdr:cNvPr>
              <xdr:cNvSpPr/>
            </xdr:nvSpPr>
            <xdr:spPr>
              <a:xfrm>
                <a:off x="2761897" y="7543307"/>
                <a:ext cx="100297" cy="99823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40" name="Shape 27">
                <a:extLst>
                  <a:ext uri="{FF2B5EF4-FFF2-40B4-BE49-F238E27FC236}">
                    <a16:creationId xmlns:a16="http://schemas.microsoft.com/office/drawing/2014/main" id="{00000000-0008-0000-0200-00008C000000}"/>
                  </a:ext>
                </a:extLst>
              </xdr:cNvPr>
              <xdr:cNvSpPr/>
            </xdr:nvSpPr>
            <xdr:spPr>
              <a:xfrm>
                <a:off x="2762729" y="7814292"/>
                <a:ext cx="100297" cy="99823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141" name="Straight Connector 140">
                <a:extLst>
                  <a:ext uri="{FF2B5EF4-FFF2-40B4-BE49-F238E27FC236}">
                    <a16:creationId xmlns:a16="http://schemas.microsoft.com/office/drawing/2014/main" id="{00000000-0008-0000-0200-00008D000000}"/>
                  </a:ext>
                </a:extLst>
              </xdr:cNvPr>
              <xdr:cNvCxnSpPr>
                <a:endCxn id="139" idx="0"/>
              </xdr:cNvCxnSpPr>
            </xdr:nvCxnSpPr>
            <xdr:spPr>
              <a:xfrm>
                <a:off x="2812045" y="5359971"/>
                <a:ext cx="1" cy="2233249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42" name="Straight Connector 141">
                <a:extLst>
                  <a:ext uri="{FF2B5EF4-FFF2-40B4-BE49-F238E27FC236}">
                    <a16:creationId xmlns:a16="http://schemas.microsoft.com/office/drawing/2014/main" id="{00000000-0008-0000-0200-00008E000000}"/>
                  </a:ext>
                </a:extLst>
              </xdr:cNvPr>
              <xdr:cNvCxnSpPr/>
            </xdr:nvCxnSpPr>
            <xdr:spPr>
              <a:xfrm>
                <a:off x="2940999" y="7492486"/>
                <a:ext cx="0" cy="405563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43" name="Straight Connector 142">
                <a:extLst>
                  <a:ext uri="{FF2B5EF4-FFF2-40B4-BE49-F238E27FC236}">
                    <a16:creationId xmlns:a16="http://schemas.microsoft.com/office/drawing/2014/main" id="{00000000-0008-0000-0200-00008F000000}"/>
                  </a:ext>
                </a:extLst>
              </xdr:cNvPr>
              <xdr:cNvCxnSpPr>
                <a:endCxn id="144" idx="2"/>
              </xdr:cNvCxnSpPr>
            </xdr:nvCxnSpPr>
            <xdr:spPr>
              <a:xfrm flipH="1">
                <a:off x="2810532" y="7913312"/>
                <a:ext cx="2" cy="801893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44" name="Rectangle 143">
                <a:extLst>
                  <a:ext uri="{FF2B5EF4-FFF2-40B4-BE49-F238E27FC236}">
                    <a16:creationId xmlns:a16="http://schemas.microsoft.com/office/drawing/2014/main" id="{00000000-0008-0000-0200-000090000000}"/>
                  </a:ext>
                </a:extLst>
              </xdr:cNvPr>
              <xdr:cNvSpPr/>
            </xdr:nvSpPr>
            <xdr:spPr>
              <a:xfrm>
                <a:off x="1277514" y="5159123"/>
                <a:ext cx="3066035" cy="3556082"/>
              </a:xfrm>
              <a:prstGeom prst="rect">
                <a:avLst/>
              </a:prstGeom>
              <a:noFill/>
              <a:ln w="12700">
                <a:prstDash val="dash"/>
              </a:ln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cxnSp macro="">
            <xdr:nvCxnSpPr>
              <xdr:cNvPr id="145" name="Straight Connector 144">
                <a:extLst>
                  <a:ext uri="{FF2B5EF4-FFF2-40B4-BE49-F238E27FC236}">
                    <a16:creationId xmlns:a16="http://schemas.microsoft.com/office/drawing/2014/main" id="{00000000-0008-0000-0200-000091000000}"/>
                  </a:ext>
                </a:extLst>
              </xdr:cNvPr>
              <xdr:cNvCxnSpPr>
                <a:stCxn id="144" idx="2"/>
              </xdr:cNvCxnSpPr>
            </xdr:nvCxnSpPr>
            <xdr:spPr>
              <a:xfrm>
                <a:off x="2810532" y="8715205"/>
                <a:ext cx="892" cy="505299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46" name="Shape 26">
                <a:extLst>
                  <a:ext uri="{FF2B5EF4-FFF2-40B4-BE49-F238E27FC236}">
                    <a16:creationId xmlns:a16="http://schemas.microsoft.com/office/drawing/2014/main" id="{00000000-0008-0000-0200-000092000000}"/>
                  </a:ext>
                </a:extLst>
              </xdr:cNvPr>
              <xdr:cNvSpPr/>
            </xdr:nvSpPr>
            <xdr:spPr>
              <a:xfrm flipH="1">
                <a:off x="2688081" y="8799868"/>
                <a:ext cx="228615" cy="206393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47" name="Shape 26">
                <a:extLst>
                  <a:ext uri="{FF2B5EF4-FFF2-40B4-BE49-F238E27FC236}">
                    <a16:creationId xmlns:a16="http://schemas.microsoft.com/office/drawing/2014/main" id="{00000000-0008-0000-0200-000093000000}"/>
                  </a:ext>
                </a:extLst>
              </xdr:cNvPr>
              <xdr:cNvSpPr/>
            </xdr:nvSpPr>
            <xdr:spPr>
              <a:xfrm flipH="1">
                <a:off x="2689816" y="8864371"/>
                <a:ext cx="228615" cy="206393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48" name="Shape 26">
                <a:extLst>
                  <a:ext uri="{FF2B5EF4-FFF2-40B4-BE49-F238E27FC236}">
                    <a16:creationId xmlns:a16="http://schemas.microsoft.com/office/drawing/2014/main" id="{00000000-0008-0000-0200-000094000000}"/>
                  </a:ext>
                </a:extLst>
              </xdr:cNvPr>
              <xdr:cNvSpPr/>
            </xdr:nvSpPr>
            <xdr:spPr>
              <a:xfrm flipH="1">
                <a:off x="2689654" y="8923327"/>
                <a:ext cx="228615" cy="206393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149" name="Straight Connector 148">
                <a:extLst>
                  <a:ext uri="{FF2B5EF4-FFF2-40B4-BE49-F238E27FC236}">
                    <a16:creationId xmlns:a16="http://schemas.microsoft.com/office/drawing/2014/main" id="{00000000-0008-0000-0200-000095000000}"/>
                  </a:ext>
                </a:extLst>
              </xdr:cNvPr>
              <xdr:cNvCxnSpPr/>
            </xdr:nvCxnSpPr>
            <xdr:spPr>
              <a:xfrm flipH="1">
                <a:off x="2808134" y="4108878"/>
                <a:ext cx="54" cy="1514678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50" name="Shape 26">
                <a:extLst>
                  <a:ext uri="{FF2B5EF4-FFF2-40B4-BE49-F238E27FC236}">
                    <a16:creationId xmlns:a16="http://schemas.microsoft.com/office/drawing/2014/main" id="{00000000-0008-0000-0200-000096000000}"/>
                  </a:ext>
                </a:extLst>
              </xdr:cNvPr>
              <xdr:cNvSpPr/>
            </xdr:nvSpPr>
            <xdr:spPr>
              <a:xfrm flipH="1">
                <a:off x="2693130" y="4693429"/>
                <a:ext cx="228615" cy="206392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51" name="Shape 26">
                <a:extLst>
                  <a:ext uri="{FF2B5EF4-FFF2-40B4-BE49-F238E27FC236}">
                    <a16:creationId xmlns:a16="http://schemas.microsoft.com/office/drawing/2014/main" id="{00000000-0008-0000-0200-000097000000}"/>
                  </a:ext>
                </a:extLst>
              </xdr:cNvPr>
              <xdr:cNvSpPr/>
            </xdr:nvSpPr>
            <xdr:spPr>
              <a:xfrm flipH="1">
                <a:off x="2685170" y="4762178"/>
                <a:ext cx="228615" cy="206392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52" name="Shape 26">
                <a:extLst>
                  <a:ext uri="{FF2B5EF4-FFF2-40B4-BE49-F238E27FC236}">
                    <a16:creationId xmlns:a16="http://schemas.microsoft.com/office/drawing/2014/main" id="{00000000-0008-0000-0200-000098000000}"/>
                  </a:ext>
                </a:extLst>
              </xdr:cNvPr>
              <xdr:cNvSpPr/>
            </xdr:nvSpPr>
            <xdr:spPr>
              <a:xfrm flipH="1">
                <a:off x="2694634" y="4808058"/>
                <a:ext cx="228615" cy="206392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153" name="Straight Connector 152">
                <a:extLst>
                  <a:ext uri="{FF2B5EF4-FFF2-40B4-BE49-F238E27FC236}">
                    <a16:creationId xmlns:a16="http://schemas.microsoft.com/office/drawing/2014/main" id="{00000000-0008-0000-0200-000099000000}"/>
                  </a:ext>
                </a:extLst>
              </xdr:cNvPr>
              <xdr:cNvCxnSpPr/>
            </xdr:nvCxnSpPr>
            <xdr:spPr>
              <a:xfrm flipV="1">
                <a:off x="2951221" y="7681549"/>
                <a:ext cx="878962" cy="1"/>
              </a:xfrm>
              <a:prstGeom prst="line">
                <a:avLst/>
              </a:prstGeom>
              <a:ln>
                <a:prstDash val="lgDashDot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54" name="Straight Connector 153">
                <a:extLst>
                  <a:ext uri="{FF2B5EF4-FFF2-40B4-BE49-F238E27FC236}">
                    <a16:creationId xmlns:a16="http://schemas.microsoft.com/office/drawing/2014/main" id="{00000000-0008-0000-0200-00009A000000}"/>
                  </a:ext>
                </a:extLst>
              </xdr:cNvPr>
              <xdr:cNvCxnSpPr/>
            </xdr:nvCxnSpPr>
            <xdr:spPr>
              <a:xfrm flipH="1">
                <a:off x="1530675" y="8355911"/>
                <a:ext cx="2555028" cy="0"/>
              </a:xfrm>
              <a:prstGeom prst="line">
                <a:avLst/>
              </a:prstGeom>
              <a:ln w="28575"/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55" name="Shape 27">
                <a:extLst>
                  <a:ext uri="{FF2B5EF4-FFF2-40B4-BE49-F238E27FC236}">
                    <a16:creationId xmlns:a16="http://schemas.microsoft.com/office/drawing/2014/main" id="{00000000-0008-0000-0200-00009B000000}"/>
                  </a:ext>
                </a:extLst>
              </xdr:cNvPr>
              <xdr:cNvSpPr/>
            </xdr:nvSpPr>
            <xdr:spPr>
              <a:xfrm>
                <a:off x="3319195" y="5768664"/>
                <a:ext cx="442060" cy="439976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56" name="Rectangle 155">
                <a:extLst>
                  <a:ext uri="{FF2B5EF4-FFF2-40B4-BE49-F238E27FC236}">
                    <a16:creationId xmlns:a16="http://schemas.microsoft.com/office/drawing/2014/main" id="{00000000-0008-0000-0200-00009C000000}"/>
                  </a:ext>
                </a:extLst>
              </xdr:cNvPr>
              <xdr:cNvSpPr/>
            </xdr:nvSpPr>
            <xdr:spPr>
              <a:xfrm>
                <a:off x="2475628" y="5675480"/>
                <a:ext cx="1625071" cy="790052"/>
              </a:xfrm>
              <a:prstGeom prst="rect">
                <a:avLst/>
              </a:prstGeom>
              <a:noFill/>
              <a:ln w="6350">
                <a:prstDash val="dash"/>
              </a:ln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157" name="Shape 26">
                <a:extLst>
                  <a:ext uri="{FF2B5EF4-FFF2-40B4-BE49-F238E27FC236}">
                    <a16:creationId xmlns:a16="http://schemas.microsoft.com/office/drawing/2014/main" id="{00000000-0008-0000-0200-00009D000000}"/>
                  </a:ext>
                </a:extLst>
              </xdr:cNvPr>
              <xdr:cNvSpPr/>
            </xdr:nvSpPr>
            <xdr:spPr>
              <a:xfrm flipH="1">
                <a:off x="3459617" y="8870792"/>
                <a:ext cx="228615" cy="206393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158" name="Straight Connector 157">
                <a:extLst>
                  <a:ext uri="{FF2B5EF4-FFF2-40B4-BE49-F238E27FC236}">
                    <a16:creationId xmlns:a16="http://schemas.microsoft.com/office/drawing/2014/main" id="{00000000-0008-0000-0200-00009E000000}"/>
                  </a:ext>
                </a:extLst>
              </xdr:cNvPr>
              <xdr:cNvCxnSpPr/>
            </xdr:nvCxnSpPr>
            <xdr:spPr>
              <a:xfrm>
                <a:off x="3574670" y="8367468"/>
                <a:ext cx="21" cy="1049542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59" name="Straight Connector 158">
                <a:extLst>
                  <a:ext uri="{FF2B5EF4-FFF2-40B4-BE49-F238E27FC236}">
                    <a16:creationId xmlns:a16="http://schemas.microsoft.com/office/drawing/2014/main" id="{00000000-0008-0000-0200-00009F000000}"/>
                  </a:ext>
                </a:extLst>
              </xdr:cNvPr>
              <xdr:cNvCxnSpPr/>
            </xdr:nvCxnSpPr>
            <xdr:spPr>
              <a:xfrm>
                <a:off x="3830183" y="6465001"/>
                <a:ext cx="0" cy="1216547"/>
              </a:xfrm>
              <a:prstGeom prst="line">
                <a:avLst/>
              </a:prstGeom>
              <a:ln>
                <a:prstDash val="lgDashDot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60" name="Straight Connector 159">
                <a:extLst>
                  <a:ext uri="{FF2B5EF4-FFF2-40B4-BE49-F238E27FC236}">
                    <a16:creationId xmlns:a16="http://schemas.microsoft.com/office/drawing/2014/main" id="{00000000-0008-0000-0200-0000A0000000}"/>
                  </a:ext>
                </a:extLst>
              </xdr:cNvPr>
              <xdr:cNvCxnSpPr/>
            </xdr:nvCxnSpPr>
            <xdr:spPr>
              <a:xfrm flipH="1">
                <a:off x="3738198" y="5968245"/>
                <a:ext cx="1114033" cy="0"/>
              </a:xfrm>
              <a:prstGeom prst="line">
                <a:avLst/>
              </a:prstGeom>
              <a:ln>
                <a:prstDash val="lgDashDot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61" name="Straight Connector 160">
                <a:extLst>
                  <a:ext uri="{FF2B5EF4-FFF2-40B4-BE49-F238E27FC236}">
                    <a16:creationId xmlns:a16="http://schemas.microsoft.com/office/drawing/2014/main" id="{00000000-0008-0000-0200-0000A1000000}"/>
                  </a:ext>
                </a:extLst>
              </xdr:cNvPr>
              <xdr:cNvCxnSpPr/>
            </xdr:nvCxnSpPr>
            <xdr:spPr>
              <a:xfrm flipH="1">
                <a:off x="3043206" y="6049348"/>
                <a:ext cx="275953" cy="0"/>
              </a:xfrm>
              <a:prstGeom prst="line">
                <a:avLst/>
              </a:prstGeom>
              <a:ln>
                <a:prstDash val="lgDashDot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33" name="TextBox 132">
              <a:extLst>
                <a:ext uri="{FF2B5EF4-FFF2-40B4-BE49-F238E27FC236}">
                  <a16:creationId xmlns:a16="http://schemas.microsoft.com/office/drawing/2014/main" id="{00000000-0008-0000-0200-000085000000}"/>
                </a:ext>
              </a:extLst>
            </xdr:cNvPr>
            <xdr:cNvSpPr txBox="1"/>
          </xdr:nvSpPr>
          <xdr:spPr>
            <a:xfrm>
              <a:off x="3342317" y="6305650"/>
              <a:ext cx="342699" cy="28222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GB" sz="1800"/>
                <a:t>M</a:t>
              </a:r>
            </a:p>
          </xdr:txBody>
        </xdr:sp>
        <xdr:sp macro="" textlink="">
          <xdr:nvSpPr>
            <xdr:cNvPr id="134" name="TextBox 133">
              <a:extLst>
                <a:ext uri="{FF2B5EF4-FFF2-40B4-BE49-F238E27FC236}">
                  <a16:creationId xmlns:a16="http://schemas.microsoft.com/office/drawing/2014/main" id="{00000000-0008-0000-0200-000086000000}"/>
                </a:ext>
              </a:extLst>
            </xdr:cNvPr>
            <xdr:cNvSpPr txBox="1"/>
          </xdr:nvSpPr>
          <xdr:spPr>
            <a:xfrm>
              <a:off x="3148795" y="6668508"/>
              <a:ext cx="882952" cy="46768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GB" sz="900"/>
                <a:t>Tesla Energy Meter</a:t>
              </a:r>
            </a:p>
            <a:p>
              <a:endParaRPr lang="en-GB" sz="1100"/>
            </a:p>
          </xdr:txBody>
        </xdr:sp>
        <xdr:sp macro="" textlink="">
          <xdr:nvSpPr>
            <xdr:cNvPr id="135" name="TextBox 134">
              <a:extLst>
                <a:ext uri="{FF2B5EF4-FFF2-40B4-BE49-F238E27FC236}">
                  <a16:creationId xmlns:a16="http://schemas.microsoft.com/office/drawing/2014/main" id="{00000000-0008-0000-0200-000087000000}"/>
                </a:ext>
              </a:extLst>
            </xdr:cNvPr>
            <xdr:cNvSpPr txBox="1"/>
          </xdr:nvSpPr>
          <xdr:spPr>
            <a:xfrm>
              <a:off x="2531937" y="6483048"/>
              <a:ext cx="520095" cy="201587"/>
            </a:xfrm>
            <a:prstGeom prst="rect">
              <a:avLst/>
            </a:prstGeom>
            <a:solidFill>
              <a:schemeClr val="bg1"/>
            </a:solidFill>
            <a:ln w="9525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GB" sz="800"/>
                <a:t>NET CT</a:t>
              </a:r>
            </a:p>
          </xdr:txBody>
        </xdr:sp>
        <xdr:sp macro="" textlink="">
          <xdr:nvSpPr>
            <xdr:cNvPr id="136" name="TextBox 135">
              <a:extLst>
                <a:ext uri="{FF2B5EF4-FFF2-40B4-BE49-F238E27FC236}">
                  <a16:creationId xmlns:a16="http://schemas.microsoft.com/office/drawing/2014/main" id="{00000000-0008-0000-0200-000088000000}"/>
                </a:ext>
              </a:extLst>
            </xdr:cNvPr>
            <xdr:cNvSpPr txBox="1"/>
          </xdr:nvSpPr>
          <xdr:spPr>
            <a:xfrm>
              <a:off x="1269973" y="6279874"/>
              <a:ext cx="1059543" cy="46768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GB" sz="1200"/>
                <a:t>Tesla Backup Gateway</a:t>
              </a:r>
            </a:p>
            <a:p>
              <a:endParaRPr lang="en-GB" sz="1800"/>
            </a:p>
          </xdr:txBody>
        </xdr:sp>
        <xdr:sp macro="" textlink="">
          <xdr:nvSpPr>
            <xdr:cNvPr id="137" name="TextBox 136">
              <a:extLst>
                <a:ext uri="{FF2B5EF4-FFF2-40B4-BE49-F238E27FC236}">
                  <a16:creationId xmlns:a16="http://schemas.microsoft.com/office/drawing/2014/main" id="{00000000-0008-0000-0200-000089000000}"/>
                </a:ext>
              </a:extLst>
            </xdr:cNvPr>
            <xdr:cNvSpPr txBox="1"/>
          </xdr:nvSpPr>
          <xdr:spPr>
            <a:xfrm>
              <a:off x="2224373" y="9834550"/>
              <a:ext cx="1332339" cy="24710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GB" sz="1100"/>
                <a:t>Non backup circuits</a:t>
              </a:r>
            </a:p>
            <a:p>
              <a:endParaRPr lang="en-GB" sz="1800"/>
            </a:p>
          </xdr:txBody>
        </xdr:sp>
        <xdr:sp macro="" textlink="">
          <xdr:nvSpPr>
            <xdr:cNvPr id="138" name="TextBox 137">
              <a:extLst>
                <a:ext uri="{FF2B5EF4-FFF2-40B4-BE49-F238E27FC236}">
                  <a16:creationId xmlns:a16="http://schemas.microsoft.com/office/drawing/2014/main" id="{00000000-0008-0000-0200-00008A000000}"/>
                </a:ext>
              </a:extLst>
            </xdr:cNvPr>
            <xdr:cNvSpPr txBox="1"/>
          </xdr:nvSpPr>
          <xdr:spPr>
            <a:xfrm>
              <a:off x="3615982" y="9464293"/>
              <a:ext cx="617350" cy="24710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GB" sz="1100"/>
                <a:t>Backup</a:t>
              </a:r>
            </a:p>
            <a:p>
              <a:endParaRPr lang="en-GB" sz="1800"/>
            </a:p>
          </xdr:txBody>
        </xdr:sp>
      </xdr:grpSp>
    </xdr:grpSp>
    <xdr:clientData/>
  </xdr:twoCellAnchor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162" name="Rectangle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SpPr/>
      </xdr:nvSpPr>
      <xdr:spPr>
        <a:xfrm>
          <a:off x="254000" y="221606"/>
          <a:ext cx="205776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163" name="HCBSolar_Gradient_CMYK.jpg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2" y="14140329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13</xdr:col>
      <xdr:colOff>0</xdr:colOff>
      <xdr:row>122</xdr:row>
      <xdr:rowOff>0</xdr:rowOff>
    </xdr:from>
    <xdr:to>
      <xdr:col>14</xdr:col>
      <xdr:colOff>36835</xdr:colOff>
      <xdr:row>130</xdr:row>
      <xdr:rowOff>135026</xdr:rowOff>
    </xdr:to>
    <xdr:grpSp>
      <xdr:nvGrpSpPr>
        <xdr:cNvPr id="164" name="Group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GrpSpPr/>
      </xdr:nvGrpSpPr>
      <xdr:grpSpPr>
        <a:xfrm>
          <a:off x="3302000" y="24790400"/>
          <a:ext cx="290835" cy="1760626"/>
          <a:chOff x="3302000" y="24790400"/>
          <a:chExt cx="290835" cy="1760626"/>
        </a:xfrm>
      </xdr:grpSpPr>
      <xdr:cxnSp macro="">
        <xdr:nvCxnSpPr>
          <xdr:cNvPr id="165" name="Straight Connector 164">
            <a:extLst>
              <a:ext uri="{FF2B5EF4-FFF2-40B4-BE49-F238E27FC236}">
                <a16:creationId xmlns:a16="http://schemas.microsoft.com/office/drawing/2014/main" id="{00000000-0008-0000-0200-0000A5000000}"/>
              </a:ext>
            </a:extLst>
          </xdr:cNvPr>
          <xdr:cNvCxnSpPr/>
        </xdr:nvCxnSpPr>
        <xdr:spPr>
          <a:xfrm>
            <a:off x="3342686" y="24790400"/>
            <a:ext cx="0" cy="28205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6" name="Shape 27">
            <a:extLst>
              <a:ext uri="{FF2B5EF4-FFF2-40B4-BE49-F238E27FC236}">
                <a16:creationId xmlns:a16="http://schemas.microsoft.com/office/drawing/2014/main" id="{00000000-0008-0000-0200-0000A6000000}"/>
              </a:ext>
            </a:extLst>
          </xdr:cNvPr>
          <xdr:cNvSpPr/>
        </xdr:nvSpPr>
        <xdr:spPr>
          <a:xfrm>
            <a:off x="3302000" y="25081365"/>
            <a:ext cx="98794" cy="10012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67" name="Shape 27">
            <a:extLst>
              <a:ext uri="{FF2B5EF4-FFF2-40B4-BE49-F238E27FC236}">
                <a16:creationId xmlns:a16="http://schemas.microsoft.com/office/drawing/2014/main" id="{00000000-0008-0000-0200-0000A7000000}"/>
              </a:ext>
            </a:extLst>
          </xdr:cNvPr>
          <xdr:cNvSpPr/>
        </xdr:nvSpPr>
        <xdr:spPr>
          <a:xfrm>
            <a:off x="3302832" y="25464467"/>
            <a:ext cx="98794" cy="10012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68" name="Shape 26"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/>
        </xdr:nvSpPr>
        <xdr:spPr>
          <a:xfrm flipH="1">
            <a:off x="3364220" y="25256863"/>
            <a:ext cx="228615" cy="20669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69" name="Straight Connector 168"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CxnSpPr/>
        </xdr:nvCxnSpPr>
        <xdr:spPr>
          <a:xfrm>
            <a:off x="3349035" y="25560049"/>
            <a:ext cx="0" cy="990977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203050</xdr:colOff>
      <xdr:row>2</xdr:row>
      <xdr:rowOff>70456</xdr:rowOff>
    </xdr:from>
    <xdr:to>
      <xdr:col>16</xdr:col>
      <xdr:colOff>29129</xdr:colOff>
      <xdr:row>21</xdr:row>
      <xdr:rowOff>58132</xdr:rowOff>
    </xdr:to>
    <xdr:grpSp>
      <xdr:nvGrpSpPr>
        <xdr:cNvPr id="170" name="Group 16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GrpSpPr/>
      </xdr:nvGrpSpPr>
      <xdr:grpSpPr>
        <a:xfrm>
          <a:off x="3505050" y="476856"/>
          <a:ext cx="588079" cy="3848476"/>
          <a:chOff x="7112000" y="6908800"/>
          <a:chExt cx="588079" cy="3848476"/>
        </a:xfrm>
      </xdr:grpSpPr>
      <xdr:sp macro="" textlink="">
        <xdr:nvSpPr>
          <xdr:cNvPr id="171" name="Oval 170">
            <a:extLst>
              <a:ext uri="{FF2B5EF4-FFF2-40B4-BE49-F238E27FC236}">
                <a16:creationId xmlns:a16="http://schemas.microsoft.com/office/drawing/2014/main" id="{00000000-0008-0000-0200-0000AB000000}"/>
              </a:ext>
            </a:extLst>
          </xdr:cNvPr>
          <xdr:cNvSpPr/>
        </xdr:nvSpPr>
        <xdr:spPr>
          <a:xfrm>
            <a:off x="7112000" y="8496769"/>
            <a:ext cx="588079" cy="568021"/>
          </a:xfrm>
          <a:prstGeom prst="ellipse">
            <a:avLst/>
          </a:prstGeom>
          <a:solidFill>
            <a:schemeClr val="bg1"/>
          </a:solidFill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2" name="Shape 27">
            <a:extLst>
              <a:ext uri="{FF2B5EF4-FFF2-40B4-BE49-F238E27FC236}">
                <a16:creationId xmlns:a16="http://schemas.microsoft.com/office/drawing/2014/main" id="{00000000-0008-0000-0200-0000AC000000}"/>
              </a:ext>
            </a:extLst>
          </xdr:cNvPr>
          <xdr:cNvSpPr/>
        </xdr:nvSpPr>
        <xdr:spPr>
          <a:xfrm>
            <a:off x="7358337" y="6908800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73" name="Shape 22">
            <a:extLst>
              <a:ext uri="{FF2B5EF4-FFF2-40B4-BE49-F238E27FC236}">
                <a16:creationId xmlns:a16="http://schemas.microsoft.com/office/drawing/2014/main" id="{00000000-0008-0000-0200-0000AD000000}"/>
              </a:ext>
            </a:extLst>
          </xdr:cNvPr>
          <xdr:cNvSpPr/>
        </xdr:nvSpPr>
        <xdr:spPr>
          <a:xfrm>
            <a:off x="7309832" y="8677734"/>
            <a:ext cx="228922" cy="20609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="" val="1"/>
            </a:ext>
          </a:extLst>
        </xdr:spPr>
        <xdr:txBody>
          <a:bodyPr wrap="square" lIns="50800" tIns="50800" rIns="50800" bIns="50800" numCol="1" anchor="ctr">
            <a:noAutofit/>
          </a:bodyPr>
          <a:lstStyle/>
          <a:p>
            <a:pPr marL="0" marR="0" lvl="0" indent="0" algn="ctr" defTabSz="45720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r>
              <a:rPr sz="1400" b="1" i="0" u="none" strike="noStrike" cap="none" spc="0" baseline="0">
                <a:ln>
                  <a:noFill/>
                </a:ln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Helvetica"/>
              </a:rPr>
              <a:t>M</a:t>
            </a:r>
          </a:p>
        </xdr:txBody>
      </xdr:sp>
      <xdr:sp macro="" textlink="">
        <xdr:nvSpPr>
          <xdr:cNvPr id="174" name="Shape 27">
            <a:extLst>
              <a:ext uri="{FF2B5EF4-FFF2-40B4-BE49-F238E27FC236}">
                <a16:creationId xmlns:a16="http://schemas.microsoft.com/office/drawing/2014/main" id="{00000000-0008-0000-0200-0000AE000000}"/>
              </a:ext>
            </a:extLst>
          </xdr:cNvPr>
          <xdr:cNvSpPr/>
        </xdr:nvSpPr>
        <xdr:spPr>
          <a:xfrm>
            <a:off x="7356129" y="9462384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75" name="Shape 27"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/>
        </xdr:nvSpPr>
        <xdr:spPr>
          <a:xfrm>
            <a:off x="7356964" y="9845220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76" name="Shape 26"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 flipH="1">
            <a:off x="7418578" y="9637760"/>
            <a:ext cx="229456" cy="20654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77" name="Shape 18">
            <a:extLst>
              <a:ext uri="{FF2B5EF4-FFF2-40B4-BE49-F238E27FC236}">
                <a16:creationId xmlns:a16="http://schemas.microsoft.com/office/drawing/2014/main" id="{00000000-0008-0000-0200-0000B1000000}"/>
              </a:ext>
            </a:extLst>
          </xdr:cNvPr>
          <xdr:cNvSpPr/>
        </xdr:nvSpPr>
        <xdr:spPr>
          <a:xfrm>
            <a:off x="7403435" y="9944472"/>
            <a:ext cx="0" cy="81199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78" name="Shape 18">
            <a:extLst>
              <a:ext uri="{FF2B5EF4-FFF2-40B4-BE49-F238E27FC236}">
                <a16:creationId xmlns:a16="http://schemas.microsoft.com/office/drawing/2014/main" id="{00000000-0008-0000-0200-0000B2000000}"/>
              </a:ext>
            </a:extLst>
          </xdr:cNvPr>
          <xdr:cNvSpPr/>
        </xdr:nvSpPr>
        <xdr:spPr>
          <a:xfrm>
            <a:off x="7659276" y="10342390"/>
            <a:ext cx="0" cy="414886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79" name="Straight Connector 178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CxnSpPr/>
        </xdr:nvCxnSpPr>
        <xdr:spPr>
          <a:xfrm>
            <a:off x="7403435" y="7013882"/>
            <a:ext cx="1" cy="1482889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0" name="Straight Connector 179">
            <a:extLst>
              <a:ext uri="{FF2B5EF4-FFF2-40B4-BE49-F238E27FC236}">
                <a16:creationId xmlns:a16="http://schemas.microsoft.com/office/drawing/2014/main" id="{00000000-0008-0000-0200-0000B4000000}"/>
              </a:ext>
            </a:extLst>
          </xdr:cNvPr>
          <xdr:cNvCxnSpPr/>
        </xdr:nvCxnSpPr>
        <xdr:spPr>
          <a:xfrm>
            <a:off x="7404269" y="9065597"/>
            <a:ext cx="0" cy="40133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1" name="Straight Connector 180">
            <a:extLst>
              <a:ext uri="{FF2B5EF4-FFF2-40B4-BE49-F238E27FC236}">
                <a16:creationId xmlns:a16="http://schemas.microsoft.com/office/drawing/2014/main" id="{00000000-0008-0000-0200-0000B5000000}"/>
              </a:ext>
            </a:extLst>
          </xdr:cNvPr>
          <xdr:cNvCxnSpPr>
            <a:endCxn id="178" idx="0"/>
          </xdr:cNvCxnSpPr>
        </xdr:nvCxnSpPr>
        <xdr:spPr>
          <a:xfrm>
            <a:off x="7403435" y="10342390"/>
            <a:ext cx="255841" cy="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2" name="Rectangle 181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7158835" y="7400942"/>
            <a:ext cx="499608" cy="789198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3</xdr:col>
      <xdr:colOff>34149</xdr:colOff>
      <xdr:row>5</xdr:row>
      <xdr:rowOff>110066</xdr:rowOff>
    </xdr:from>
    <xdr:to>
      <xdr:col>9</xdr:col>
      <xdr:colOff>93749</xdr:colOff>
      <xdr:row>21</xdr:row>
      <xdr:rowOff>134604</xdr:rowOff>
    </xdr:to>
    <xdr:grpSp>
      <xdr:nvGrpSpPr>
        <xdr:cNvPr id="184" name="Group 183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GrpSpPr/>
      </xdr:nvGrpSpPr>
      <xdr:grpSpPr>
        <a:xfrm>
          <a:off x="796149" y="1126066"/>
          <a:ext cx="1583600" cy="3275738"/>
          <a:chOff x="4859880" y="7112000"/>
          <a:chExt cx="1583868" cy="3275738"/>
        </a:xfrm>
      </xdr:grpSpPr>
      <xdr:sp macro="" textlink="">
        <xdr:nvSpPr>
          <xdr:cNvPr id="198" name="TextBox 197">
            <a:extLst>
              <a:ext uri="{FF2B5EF4-FFF2-40B4-BE49-F238E27FC236}">
                <a16:creationId xmlns:a16="http://schemas.microsoft.com/office/drawing/2014/main" id="{00000000-0008-0000-0200-0000C6000000}"/>
              </a:ext>
            </a:extLst>
          </xdr:cNvPr>
          <xdr:cNvSpPr txBox="1"/>
        </xdr:nvSpPr>
        <xdr:spPr>
          <a:xfrm>
            <a:off x="4868351" y="7112000"/>
            <a:ext cx="1575397" cy="2777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Service Fuses</a:t>
            </a:r>
          </a:p>
        </xdr:txBody>
      </xdr:sp>
      <xdr:sp macro="" textlink="">
        <xdr:nvSpPr>
          <xdr:cNvPr id="199" name="TextBox 198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SpPr txBox="1"/>
        </xdr:nvSpPr>
        <xdr:spPr>
          <a:xfrm>
            <a:off x="4859881" y="7953401"/>
            <a:ext cx="1575397" cy="816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Metering</a:t>
            </a:r>
            <a:r>
              <a:rPr lang="en-GB" sz="1200" baseline="0"/>
              <a:t> as</a:t>
            </a:r>
          </a:p>
          <a:p>
            <a:pPr algn="l"/>
            <a:r>
              <a:rPr lang="en-GB" sz="1200" baseline="0"/>
              <a:t>agreed with </a:t>
            </a:r>
          </a:p>
          <a:p>
            <a:pPr algn="l"/>
            <a:r>
              <a:rPr lang="en-GB" sz="1200" baseline="0"/>
              <a:t>the electricity</a:t>
            </a:r>
          </a:p>
          <a:p>
            <a:pPr algn="l"/>
            <a:r>
              <a:rPr lang="en-GB" sz="1200" baseline="0"/>
              <a:t>distributer</a:t>
            </a:r>
            <a:endParaRPr lang="en-GB" sz="1200"/>
          </a:p>
          <a:p>
            <a:pPr algn="l"/>
            <a:endParaRPr lang="en-GB" sz="1200"/>
          </a:p>
        </xdr:txBody>
      </xdr:sp>
      <xdr:sp macro="" textlink="">
        <xdr:nvSpPr>
          <xdr:cNvPr id="201" name="TextBox 200">
            <a:extLst>
              <a:ext uri="{FF2B5EF4-FFF2-40B4-BE49-F238E27FC236}">
                <a16:creationId xmlns:a16="http://schemas.microsoft.com/office/drawing/2014/main" id="{00000000-0008-0000-0200-0000C9000000}"/>
              </a:ext>
            </a:extLst>
          </xdr:cNvPr>
          <xdr:cNvSpPr txBox="1"/>
        </xdr:nvSpPr>
        <xdr:spPr>
          <a:xfrm>
            <a:off x="4859880" y="9856758"/>
            <a:ext cx="1575397" cy="530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Customer's Final</a:t>
            </a:r>
          </a:p>
          <a:p>
            <a:pPr algn="l"/>
            <a:r>
              <a:rPr lang="en-GB" sz="1200"/>
              <a:t>Subcircuits</a:t>
            </a:r>
          </a:p>
        </xdr:txBody>
      </xdr:sp>
    </xdr:grpSp>
    <xdr:clientData/>
  </xdr:twoCellAnchor>
  <xdr:twoCellAnchor>
    <xdr:from>
      <xdr:col>10</xdr:col>
      <xdr:colOff>203206</xdr:colOff>
      <xdr:row>2</xdr:row>
      <xdr:rowOff>71590</xdr:rowOff>
    </xdr:from>
    <xdr:to>
      <xdr:col>13</xdr:col>
      <xdr:colOff>29285</xdr:colOff>
      <xdr:row>21</xdr:row>
      <xdr:rowOff>59266</xdr:rowOff>
    </xdr:to>
    <xdr:grpSp>
      <xdr:nvGrpSpPr>
        <xdr:cNvPr id="185" name="3PL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GrpSpPr/>
      </xdr:nvGrpSpPr>
      <xdr:grpSpPr>
        <a:xfrm>
          <a:off x="2743206" y="477990"/>
          <a:ext cx="588079" cy="3848476"/>
          <a:chOff x="7112000" y="6908800"/>
          <a:chExt cx="588079" cy="3848476"/>
        </a:xfrm>
      </xdr:grpSpPr>
      <xdr:sp macro="" textlink="">
        <xdr:nvSpPr>
          <xdr:cNvPr id="186" name="Oval 185">
            <a:extLst>
              <a:ext uri="{FF2B5EF4-FFF2-40B4-BE49-F238E27FC236}">
                <a16:creationId xmlns:a16="http://schemas.microsoft.com/office/drawing/2014/main" id="{00000000-0008-0000-0200-0000BA000000}"/>
              </a:ext>
            </a:extLst>
          </xdr:cNvPr>
          <xdr:cNvSpPr/>
        </xdr:nvSpPr>
        <xdr:spPr>
          <a:xfrm>
            <a:off x="7112000" y="8496769"/>
            <a:ext cx="588079" cy="568021"/>
          </a:xfrm>
          <a:prstGeom prst="ellipse">
            <a:avLst/>
          </a:prstGeom>
          <a:solidFill>
            <a:schemeClr val="bg1"/>
          </a:solidFill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7" name="Shape 27">
            <a:extLst>
              <a:ext uri="{FF2B5EF4-FFF2-40B4-BE49-F238E27FC236}">
                <a16:creationId xmlns:a16="http://schemas.microsoft.com/office/drawing/2014/main" id="{00000000-0008-0000-0200-0000BB000000}"/>
              </a:ext>
            </a:extLst>
          </xdr:cNvPr>
          <xdr:cNvSpPr/>
        </xdr:nvSpPr>
        <xdr:spPr>
          <a:xfrm>
            <a:off x="7358337" y="6908800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88" name="Shape 22">
            <a:extLst>
              <a:ext uri="{FF2B5EF4-FFF2-40B4-BE49-F238E27FC236}">
                <a16:creationId xmlns:a16="http://schemas.microsoft.com/office/drawing/2014/main" id="{00000000-0008-0000-0200-0000BC000000}"/>
              </a:ext>
            </a:extLst>
          </xdr:cNvPr>
          <xdr:cNvSpPr/>
        </xdr:nvSpPr>
        <xdr:spPr>
          <a:xfrm>
            <a:off x="7309832" y="8677734"/>
            <a:ext cx="228922" cy="20609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="" val="1"/>
            </a:ext>
          </a:extLst>
        </xdr:spPr>
        <xdr:txBody>
          <a:bodyPr wrap="square" lIns="50800" tIns="50800" rIns="50800" bIns="50800" numCol="1" anchor="ctr">
            <a:noAutofit/>
          </a:bodyPr>
          <a:lstStyle/>
          <a:p>
            <a:pPr marL="0" marR="0" lvl="0" indent="0" algn="ctr" defTabSz="45720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r>
              <a:rPr sz="1400" b="1" i="0" u="none" strike="noStrike" cap="none" spc="0" baseline="0">
                <a:ln>
                  <a:noFill/>
                </a:ln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Helvetica"/>
              </a:rPr>
              <a:t>M</a:t>
            </a:r>
          </a:p>
        </xdr:txBody>
      </xdr:sp>
      <xdr:sp macro="" textlink="">
        <xdr:nvSpPr>
          <xdr:cNvPr id="189" name="Shape 27"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SpPr/>
        </xdr:nvSpPr>
        <xdr:spPr>
          <a:xfrm>
            <a:off x="7356129" y="9462384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90" name="Shape 27"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SpPr/>
        </xdr:nvSpPr>
        <xdr:spPr>
          <a:xfrm>
            <a:off x="7356964" y="9845220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91" name="Shape 26">
            <a:extLst>
              <a:ext uri="{FF2B5EF4-FFF2-40B4-BE49-F238E27FC236}">
                <a16:creationId xmlns:a16="http://schemas.microsoft.com/office/drawing/2014/main" id="{00000000-0008-0000-0200-0000BF000000}"/>
              </a:ext>
            </a:extLst>
          </xdr:cNvPr>
          <xdr:cNvSpPr/>
        </xdr:nvSpPr>
        <xdr:spPr>
          <a:xfrm flipH="1">
            <a:off x="7418578" y="9637760"/>
            <a:ext cx="229456" cy="20654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92" name="Shape 18">
            <a:extLst>
              <a:ext uri="{FF2B5EF4-FFF2-40B4-BE49-F238E27FC236}">
                <a16:creationId xmlns:a16="http://schemas.microsoft.com/office/drawing/2014/main" id="{00000000-0008-0000-0200-0000C0000000}"/>
              </a:ext>
            </a:extLst>
          </xdr:cNvPr>
          <xdr:cNvSpPr/>
        </xdr:nvSpPr>
        <xdr:spPr>
          <a:xfrm>
            <a:off x="7403435" y="9944472"/>
            <a:ext cx="0" cy="81199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93" name="Shape 18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SpPr/>
        </xdr:nvSpPr>
        <xdr:spPr>
          <a:xfrm>
            <a:off x="7659276" y="10342390"/>
            <a:ext cx="0" cy="414886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94" name="Straight Connector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CxnSpPr/>
        </xdr:nvCxnSpPr>
        <xdr:spPr>
          <a:xfrm>
            <a:off x="7403435" y="7013882"/>
            <a:ext cx="1" cy="1482889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5" name="Straight Connector 194">
            <a:extLst>
              <a:ext uri="{FF2B5EF4-FFF2-40B4-BE49-F238E27FC236}">
                <a16:creationId xmlns:a16="http://schemas.microsoft.com/office/drawing/2014/main" id="{00000000-0008-0000-0200-0000C3000000}"/>
              </a:ext>
            </a:extLst>
          </xdr:cNvPr>
          <xdr:cNvCxnSpPr/>
        </xdr:nvCxnSpPr>
        <xdr:spPr>
          <a:xfrm>
            <a:off x="7404269" y="9065597"/>
            <a:ext cx="0" cy="40133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6" name="Straight Connector 195">
            <a:extLst>
              <a:ext uri="{FF2B5EF4-FFF2-40B4-BE49-F238E27FC236}">
                <a16:creationId xmlns:a16="http://schemas.microsoft.com/office/drawing/2014/main" id="{00000000-0008-0000-0200-0000C4000000}"/>
              </a:ext>
            </a:extLst>
          </xdr:cNvPr>
          <xdr:cNvCxnSpPr>
            <a:endCxn id="193" idx="0"/>
          </xdr:cNvCxnSpPr>
        </xdr:nvCxnSpPr>
        <xdr:spPr>
          <a:xfrm>
            <a:off x="7403435" y="10342390"/>
            <a:ext cx="255841" cy="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7" name="Rectangle 196">
            <a:extLst>
              <a:ext uri="{FF2B5EF4-FFF2-40B4-BE49-F238E27FC236}">
                <a16:creationId xmlns:a16="http://schemas.microsoft.com/office/drawing/2014/main" id="{00000000-0008-0000-0200-0000C5000000}"/>
              </a:ext>
            </a:extLst>
          </xdr:cNvPr>
          <xdr:cNvSpPr/>
        </xdr:nvSpPr>
        <xdr:spPr>
          <a:xfrm>
            <a:off x="7158835" y="7400942"/>
            <a:ext cx="499608" cy="789198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16</xdr:col>
      <xdr:colOff>173921</xdr:colOff>
      <xdr:row>2</xdr:row>
      <xdr:rowOff>70456</xdr:rowOff>
    </xdr:from>
    <xdr:to>
      <xdr:col>19</xdr:col>
      <xdr:colOff>0</xdr:colOff>
      <xdr:row>21</xdr:row>
      <xdr:rowOff>58132</xdr:rowOff>
    </xdr:to>
    <xdr:grpSp>
      <xdr:nvGrpSpPr>
        <xdr:cNvPr id="202" name="3PR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GrpSpPr/>
      </xdr:nvGrpSpPr>
      <xdr:grpSpPr>
        <a:xfrm>
          <a:off x="4237921" y="476856"/>
          <a:ext cx="588079" cy="3848476"/>
          <a:chOff x="7112000" y="6908800"/>
          <a:chExt cx="588079" cy="3848476"/>
        </a:xfrm>
      </xdr:grpSpPr>
      <xdr:sp macro="" textlink="">
        <xdr:nvSpPr>
          <xdr:cNvPr id="203" name="Oval 202">
            <a:extLst>
              <a:ext uri="{FF2B5EF4-FFF2-40B4-BE49-F238E27FC236}">
                <a16:creationId xmlns:a16="http://schemas.microsoft.com/office/drawing/2014/main" id="{00000000-0008-0000-0200-0000CB000000}"/>
              </a:ext>
            </a:extLst>
          </xdr:cNvPr>
          <xdr:cNvSpPr/>
        </xdr:nvSpPr>
        <xdr:spPr>
          <a:xfrm>
            <a:off x="7112000" y="8496769"/>
            <a:ext cx="588079" cy="568021"/>
          </a:xfrm>
          <a:prstGeom prst="ellipse">
            <a:avLst/>
          </a:prstGeom>
          <a:solidFill>
            <a:schemeClr val="bg1"/>
          </a:solidFill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4" name="Shape 27">
            <a:extLst>
              <a:ext uri="{FF2B5EF4-FFF2-40B4-BE49-F238E27FC236}">
                <a16:creationId xmlns:a16="http://schemas.microsoft.com/office/drawing/2014/main" id="{00000000-0008-0000-0200-0000CC000000}"/>
              </a:ext>
            </a:extLst>
          </xdr:cNvPr>
          <xdr:cNvSpPr/>
        </xdr:nvSpPr>
        <xdr:spPr>
          <a:xfrm>
            <a:off x="7358337" y="6908800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205" name="Shape 2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SpPr/>
        </xdr:nvSpPr>
        <xdr:spPr>
          <a:xfrm>
            <a:off x="7309832" y="8677734"/>
            <a:ext cx="228922" cy="20609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="" val="1"/>
            </a:ext>
          </a:extLst>
        </xdr:spPr>
        <xdr:txBody>
          <a:bodyPr wrap="square" lIns="50800" tIns="50800" rIns="50800" bIns="50800" numCol="1" anchor="ctr">
            <a:noAutofit/>
          </a:bodyPr>
          <a:lstStyle/>
          <a:p>
            <a:pPr marL="0" marR="0" lvl="0" indent="0" algn="ctr" defTabSz="45720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r>
              <a:rPr sz="1400" b="1" i="0" u="none" strike="noStrike" cap="none" spc="0" baseline="0">
                <a:ln>
                  <a:noFill/>
                </a:ln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Helvetica"/>
              </a:rPr>
              <a:t>M</a:t>
            </a:r>
          </a:p>
        </xdr:txBody>
      </xdr:sp>
      <xdr:sp macro="" textlink="">
        <xdr:nvSpPr>
          <xdr:cNvPr id="206" name="Shape 27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/>
        </xdr:nvSpPr>
        <xdr:spPr>
          <a:xfrm>
            <a:off x="7356129" y="9462384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207" name="Shape 27">
            <a:extLst>
              <a:ext uri="{FF2B5EF4-FFF2-40B4-BE49-F238E27FC236}">
                <a16:creationId xmlns:a16="http://schemas.microsoft.com/office/drawing/2014/main" id="{00000000-0008-0000-0200-0000CF000000}"/>
              </a:ext>
            </a:extLst>
          </xdr:cNvPr>
          <xdr:cNvSpPr/>
        </xdr:nvSpPr>
        <xdr:spPr>
          <a:xfrm>
            <a:off x="7356964" y="9845220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208" name="Shape 26">
            <a:extLst>
              <a:ext uri="{FF2B5EF4-FFF2-40B4-BE49-F238E27FC236}">
                <a16:creationId xmlns:a16="http://schemas.microsoft.com/office/drawing/2014/main" id="{00000000-0008-0000-0200-0000D0000000}"/>
              </a:ext>
            </a:extLst>
          </xdr:cNvPr>
          <xdr:cNvSpPr/>
        </xdr:nvSpPr>
        <xdr:spPr>
          <a:xfrm flipH="1">
            <a:off x="7418578" y="9637760"/>
            <a:ext cx="229456" cy="20654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209" name="Shape 18">
            <a:extLst>
              <a:ext uri="{FF2B5EF4-FFF2-40B4-BE49-F238E27FC236}">
                <a16:creationId xmlns:a16="http://schemas.microsoft.com/office/drawing/2014/main" id="{00000000-0008-0000-0200-0000D1000000}"/>
              </a:ext>
            </a:extLst>
          </xdr:cNvPr>
          <xdr:cNvSpPr/>
        </xdr:nvSpPr>
        <xdr:spPr>
          <a:xfrm>
            <a:off x="7403435" y="9944472"/>
            <a:ext cx="0" cy="81199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210" name="Shape 18">
            <a:extLst>
              <a:ext uri="{FF2B5EF4-FFF2-40B4-BE49-F238E27FC236}">
                <a16:creationId xmlns:a16="http://schemas.microsoft.com/office/drawing/2014/main" id="{00000000-0008-0000-0200-0000D2000000}"/>
              </a:ext>
            </a:extLst>
          </xdr:cNvPr>
          <xdr:cNvSpPr/>
        </xdr:nvSpPr>
        <xdr:spPr>
          <a:xfrm>
            <a:off x="7659276" y="10342390"/>
            <a:ext cx="0" cy="414886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211" name="Straight Connector 210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CxnSpPr/>
        </xdr:nvCxnSpPr>
        <xdr:spPr>
          <a:xfrm>
            <a:off x="7403435" y="7013882"/>
            <a:ext cx="1" cy="1482889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2" name="Straight Connector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CxnSpPr/>
        </xdr:nvCxnSpPr>
        <xdr:spPr>
          <a:xfrm>
            <a:off x="7404269" y="9065597"/>
            <a:ext cx="0" cy="40133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3" name="Straight Connector 212">
            <a:extLst>
              <a:ext uri="{FF2B5EF4-FFF2-40B4-BE49-F238E27FC236}">
                <a16:creationId xmlns:a16="http://schemas.microsoft.com/office/drawing/2014/main" id="{00000000-0008-0000-0200-0000D5000000}"/>
              </a:ext>
            </a:extLst>
          </xdr:cNvPr>
          <xdr:cNvCxnSpPr>
            <a:endCxn id="210" idx="0"/>
          </xdr:cNvCxnSpPr>
        </xdr:nvCxnSpPr>
        <xdr:spPr>
          <a:xfrm>
            <a:off x="7403435" y="10342390"/>
            <a:ext cx="255841" cy="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200-0000D6000000}"/>
              </a:ext>
            </a:extLst>
          </xdr:cNvPr>
          <xdr:cNvSpPr/>
        </xdr:nvSpPr>
        <xdr:spPr>
          <a:xfrm>
            <a:off x="7158835" y="7400942"/>
            <a:ext cx="499608" cy="789198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</xdr:col>
      <xdr:colOff>96964</xdr:colOff>
      <xdr:row>3</xdr:row>
      <xdr:rowOff>87325</xdr:rowOff>
    </xdr:from>
    <xdr:to>
      <xdr:col>24</xdr:col>
      <xdr:colOff>186267</xdr:colOff>
      <xdr:row>31</xdr:row>
      <xdr:rowOff>135466</xdr:rowOff>
    </xdr:to>
    <xdr:sp macro="" textlink="">
      <xdr:nvSpPr>
        <xdr:cNvPr id="215" name="MsbDash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SpPr/>
      </xdr:nvSpPr>
      <xdr:spPr>
        <a:xfrm>
          <a:off x="604964" y="696925"/>
          <a:ext cx="5677303" cy="5737741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64850</xdr:colOff>
      <xdr:row>21</xdr:row>
      <xdr:rowOff>127001</xdr:rowOff>
    </xdr:from>
    <xdr:to>
      <xdr:col>15</xdr:col>
      <xdr:colOff>64850</xdr:colOff>
      <xdr:row>25</xdr:row>
      <xdr:rowOff>150709</xdr:rowOff>
    </xdr:to>
    <xdr:cxnSp macro="">
      <xdr:nvCxnSpPr>
        <xdr:cNvPr id="226" name="Straight Connector 225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CxnSpPr/>
      </xdr:nvCxnSpPr>
      <xdr:spPr>
        <a:xfrm>
          <a:off x="3874850" y="4329546"/>
          <a:ext cx="0" cy="82419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201809</xdr:colOff>
      <xdr:row>22</xdr:row>
      <xdr:rowOff>40123</xdr:rowOff>
    </xdr:from>
    <xdr:to>
      <xdr:col>15</xdr:col>
      <xdr:colOff>178682</xdr:colOff>
      <xdr:row>23</xdr:row>
      <xdr:rowOff>43321</xdr:rowOff>
    </xdr:to>
    <xdr:sp macro="" textlink="">
      <xdr:nvSpPr>
        <xdr:cNvPr id="227" name="Shape 26">
          <a:extLst>
            <a:ext uri="{FF2B5EF4-FFF2-40B4-BE49-F238E27FC236}">
              <a16:creationId xmlns:a16="http://schemas.microsoft.com/office/drawing/2014/main" id="{00000000-0008-0000-0200-0000E3000000}"/>
            </a:ext>
          </a:extLst>
        </xdr:cNvPr>
        <xdr:cNvSpPr/>
      </xdr:nvSpPr>
      <xdr:spPr>
        <a:xfrm flipH="1">
          <a:off x="3757809" y="4442790"/>
          <a:ext cx="230873" cy="203319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11</xdr:col>
      <xdr:colOff>182880</xdr:colOff>
      <xdr:row>21</xdr:row>
      <xdr:rowOff>127000</xdr:rowOff>
    </xdr:from>
    <xdr:to>
      <xdr:col>18</xdr:col>
      <xdr:colOff>246380</xdr:colOff>
      <xdr:row>21</xdr:row>
      <xdr:rowOff>127000</xdr:rowOff>
    </xdr:to>
    <xdr:cxnSp macro="">
      <xdr:nvCxnSpPr>
        <xdr:cNvPr id="221" name="Straight Connector 220">
          <a:extLst>
            <a:ext uri="{FF2B5EF4-FFF2-40B4-BE49-F238E27FC236}">
              <a16:creationId xmlns:a16="http://schemas.microsoft.com/office/drawing/2014/main" id="{00000000-0008-0000-0200-0000DD000000}"/>
            </a:ext>
          </a:extLst>
        </xdr:cNvPr>
        <xdr:cNvCxnSpPr/>
      </xdr:nvCxnSpPr>
      <xdr:spPr>
        <a:xfrm>
          <a:off x="2976880" y="4329545"/>
          <a:ext cx="1841500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20320</xdr:colOff>
      <xdr:row>85</xdr:row>
      <xdr:rowOff>3811</xdr:rowOff>
    </xdr:from>
    <xdr:to>
      <xdr:col>24</xdr:col>
      <xdr:colOff>251460</xdr:colOff>
      <xdr:row>98</xdr:row>
      <xdr:rowOff>148648</xdr:rowOff>
    </xdr:to>
    <xdr:grpSp>
      <xdr:nvGrpSpPr>
        <xdr:cNvPr id="269" name="Group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GrpSpPr/>
      </xdr:nvGrpSpPr>
      <xdr:grpSpPr>
        <a:xfrm>
          <a:off x="6116320" y="17275811"/>
          <a:ext cx="231140" cy="2786437"/>
          <a:chOff x="5588000" y="11068050"/>
          <a:chExt cx="231140" cy="2786201"/>
        </a:xfrm>
      </xdr:grpSpPr>
      <xdr:cxnSp macro="">
        <xdr:nvCxnSpPr>
          <xdr:cNvPr id="270" name="Straight Connector 269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CxnSpPr/>
        </xdr:nvCxnSpPr>
        <xdr:spPr>
          <a:xfrm>
            <a:off x="5819140" y="11068050"/>
            <a:ext cx="0" cy="23495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1" name="Straight Connector 270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CxnSpPr/>
        </xdr:nvCxnSpPr>
        <xdr:spPr>
          <a:xfrm>
            <a:off x="5588000" y="11068050"/>
            <a:ext cx="0" cy="27862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167428</xdr:colOff>
      <xdr:row>111</xdr:row>
      <xdr:rowOff>166458</xdr:rowOff>
    </xdr:from>
    <xdr:to>
      <xdr:col>39</xdr:col>
      <xdr:colOff>128774</xdr:colOff>
      <xdr:row>115</xdr:row>
      <xdr:rowOff>32699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GrpSpPr/>
      </xdr:nvGrpSpPr>
      <xdr:grpSpPr>
        <a:xfrm>
          <a:off x="7279428" y="22721658"/>
          <a:ext cx="2755346" cy="679041"/>
          <a:chOff x="8026401" y="12019303"/>
          <a:chExt cx="2755346" cy="669568"/>
        </a:xfrm>
      </xdr:grpSpPr>
      <xdr:grpSp>
        <xdr:nvGrpSpPr>
          <xdr:cNvPr id="273" name="Group 272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/>
        </xdr:nvGrpSpPr>
        <xdr:grpSpPr>
          <a:xfrm>
            <a:off x="8026401" y="12019303"/>
            <a:ext cx="2755346" cy="669568"/>
            <a:chOff x="7550855" y="9562492"/>
            <a:chExt cx="2723494" cy="678716"/>
          </a:xfrm>
        </xdr:grpSpPr>
        <xdr:cxnSp macro="">
          <xdr:nvCxnSpPr>
            <xdr:cNvPr id="275" name="Straight Connector 274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CxnSpPr/>
          </xdr:nvCxnSpPr>
          <xdr:spPr>
            <a:xfrm>
              <a:off x="10268472" y="10005316"/>
              <a:ext cx="0" cy="235892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276" name="Group 275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GrpSpPr/>
          </xdr:nvGrpSpPr>
          <xdr:grpSpPr>
            <a:xfrm>
              <a:off x="8535581" y="9562492"/>
              <a:ext cx="1601228" cy="556917"/>
              <a:chOff x="8535581" y="9562492"/>
              <a:chExt cx="1601228" cy="556917"/>
            </a:xfrm>
          </xdr:grpSpPr>
          <xdr:sp macro="" textlink="">
            <xdr:nvSpPr>
              <xdr:cNvPr id="281" name="Shape 27">
                <a:extLst>
                  <a:ext uri="{FF2B5EF4-FFF2-40B4-BE49-F238E27FC236}">
                    <a16:creationId xmlns:a16="http://schemas.microsoft.com/office/drawing/2014/main" id="{00000000-0008-0000-0200-000019010000}"/>
                  </a:ext>
                </a:extLst>
              </xdr:cNvPr>
              <xdr:cNvSpPr/>
            </xdr:nvSpPr>
            <xdr:spPr>
              <a:xfrm>
                <a:off x="9542382" y="9961988"/>
                <a:ext cx="71879" cy="855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82" name="Shape 27">
                <a:extLst>
                  <a:ext uri="{FF2B5EF4-FFF2-40B4-BE49-F238E27FC236}">
                    <a16:creationId xmlns:a16="http://schemas.microsoft.com/office/drawing/2014/main" id="{00000000-0008-0000-0200-00001A010000}"/>
                  </a:ext>
                </a:extLst>
              </xdr:cNvPr>
              <xdr:cNvSpPr/>
            </xdr:nvSpPr>
            <xdr:spPr>
              <a:xfrm>
                <a:off x="9676816" y="9965740"/>
                <a:ext cx="73896" cy="855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283" name="Group 282">
                <a:extLst>
                  <a:ext uri="{FF2B5EF4-FFF2-40B4-BE49-F238E27FC236}">
                    <a16:creationId xmlns:a16="http://schemas.microsoft.com/office/drawing/2014/main" id="{00000000-0008-0000-0200-00001B010000}"/>
                  </a:ext>
                </a:extLst>
              </xdr:cNvPr>
              <xdr:cNvGrpSpPr/>
            </xdr:nvGrpSpPr>
            <xdr:grpSpPr>
              <a:xfrm>
                <a:off x="8535581" y="9562492"/>
                <a:ext cx="1601228" cy="556917"/>
                <a:chOff x="8535581" y="9562492"/>
                <a:chExt cx="1601228" cy="556917"/>
              </a:xfrm>
            </xdr:grpSpPr>
            <xdr:sp macro="" textlink="">
              <xdr:nvSpPr>
                <xdr:cNvPr id="284" name="Shape 46">
                  <a:extLst>
                    <a:ext uri="{FF2B5EF4-FFF2-40B4-BE49-F238E27FC236}">
                      <a16:creationId xmlns:a16="http://schemas.microsoft.com/office/drawing/2014/main" id="{00000000-0008-0000-0200-00001C010000}"/>
                    </a:ext>
                  </a:extLst>
                </xdr:cNvPr>
                <xdr:cNvSpPr/>
              </xdr:nvSpPr>
              <xdr:spPr>
                <a:xfrm flipH="1" flipV="1">
                  <a:off x="8540268" y="9562492"/>
                  <a:ext cx="170403" cy="200987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85" name="Rectangle 284">
                  <a:extLst>
                    <a:ext uri="{FF2B5EF4-FFF2-40B4-BE49-F238E27FC236}">
                      <a16:creationId xmlns:a16="http://schemas.microsoft.com/office/drawing/2014/main" id="{00000000-0008-0000-0200-00001D010000}"/>
                    </a:ext>
                  </a:extLst>
                </xdr:cNvPr>
                <xdr:cNvSpPr/>
              </xdr:nvSpPr>
              <xdr:spPr>
                <a:xfrm>
                  <a:off x="8535581" y="9564630"/>
                  <a:ext cx="339958" cy="554776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286" name="Shape 46">
                  <a:extLst>
                    <a:ext uri="{FF2B5EF4-FFF2-40B4-BE49-F238E27FC236}">
                      <a16:creationId xmlns:a16="http://schemas.microsoft.com/office/drawing/2014/main" id="{00000000-0008-0000-0200-00001E010000}"/>
                    </a:ext>
                  </a:extLst>
                </xdr:cNvPr>
                <xdr:cNvSpPr/>
              </xdr:nvSpPr>
              <xdr:spPr>
                <a:xfrm flipH="1" flipV="1">
                  <a:off x="9029599" y="9562494"/>
                  <a:ext cx="168387" cy="200987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87" name="Rectangle 286">
                  <a:extLst>
                    <a:ext uri="{FF2B5EF4-FFF2-40B4-BE49-F238E27FC236}">
                      <a16:creationId xmlns:a16="http://schemas.microsoft.com/office/drawing/2014/main" id="{00000000-0008-0000-0200-00001F010000}"/>
                    </a:ext>
                  </a:extLst>
                </xdr:cNvPr>
                <xdr:cNvSpPr/>
              </xdr:nvSpPr>
              <xdr:spPr>
                <a:xfrm>
                  <a:off x="9029597" y="9564632"/>
                  <a:ext cx="337942" cy="554777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288" name="Shape 46">
                  <a:extLst>
                    <a:ext uri="{FF2B5EF4-FFF2-40B4-BE49-F238E27FC236}">
                      <a16:creationId xmlns:a16="http://schemas.microsoft.com/office/drawing/2014/main" id="{00000000-0008-0000-0200-000020010000}"/>
                    </a:ext>
                  </a:extLst>
                </xdr:cNvPr>
                <xdr:cNvSpPr/>
              </xdr:nvSpPr>
              <xdr:spPr>
                <a:xfrm rot="5040000" flipH="1" flipV="1">
                  <a:off x="9191135" y="9572418"/>
                  <a:ext cx="183050" cy="186804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89" name="Shape 46">
                  <a:extLst>
                    <a:ext uri="{FF2B5EF4-FFF2-40B4-BE49-F238E27FC236}">
                      <a16:creationId xmlns:a16="http://schemas.microsoft.com/office/drawing/2014/main" id="{00000000-0008-0000-0200-000021010000}"/>
                    </a:ext>
                  </a:extLst>
                </xdr:cNvPr>
                <xdr:cNvSpPr/>
              </xdr:nvSpPr>
              <xdr:spPr>
                <a:xfrm rot="5040000" flipH="1" flipV="1">
                  <a:off x="8695746" y="9572420"/>
                  <a:ext cx="183050" cy="186804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90" name="Shape 46">
                  <a:extLst>
                    <a:ext uri="{FF2B5EF4-FFF2-40B4-BE49-F238E27FC236}">
                      <a16:creationId xmlns:a16="http://schemas.microsoft.com/office/drawing/2014/main" id="{00000000-0008-0000-0200-000022010000}"/>
                    </a:ext>
                  </a:extLst>
                </xdr:cNvPr>
                <xdr:cNvSpPr/>
              </xdr:nvSpPr>
              <xdr:spPr>
                <a:xfrm flipH="1" flipV="1">
                  <a:off x="9790348" y="9562494"/>
                  <a:ext cx="168387" cy="200987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91" name="Rectangle 290">
                  <a:extLst>
                    <a:ext uri="{FF2B5EF4-FFF2-40B4-BE49-F238E27FC236}">
                      <a16:creationId xmlns:a16="http://schemas.microsoft.com/office/drawing/2014/main" id="{00000000-0008-0000-0200-000023010000}"/>
                    </a:ext>
                  </a:extLst>
                </xdr:cNvPr>
                <xdr:cNvSpPr/>
              </xdr:nvSpPr>
              <xdr:spPr>
                <a:xfrm>
                  <a:off x="9790346" y="9564632"/>
                  <a:ext cx="337942" cy="554777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292" name="Shape 46">
                  <a:extLst>
                    <a:ext uri="{FF2B5EF4-FFF2-40B4-BE49-F238E27FC236}">
                      <a16:creationId xmlns:a16="http://schemas.microsoft.com/office/drawing/2014/main" id="{00000000-0008-0000-0200-000024010000}"/>
                    </a:ext>
                  </a:extLst>
                </xdr:cNvPr>
                <xdr:cNvSpPr/>
              </xdr:nvSpPr>
              <xdr:spPr>
                <a:xfrm rot="5040000" flipH="1" flipV="1">
                  <a:off x="9951882" y="9572418"/>
                  <a:ext cx="183050" cy="186804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</xdr:grpSp>
        <xdr:cxnSp macro="">
          <xdr:nvCxnSpPr>
            <xdr:cNvPr id="277" name="Straight Connector 276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CxnSpPr/>
          </xdr:nvCxnSpPr>
          <xdr:spPr>
            <a:xfrm>
              <a:off x="8872667" y="10003173"/>
              <a:ext cx="146365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8" name="Straight Connector 277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CxnSpPr/>
          </xdr:nvCxnSpPr>
          <xdr:spPr>
            <a:xfrm>
              <a:off x="7550855" y="10239435"/>
              <a:ext cx="2716644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" name="Straight Connector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CxnSpPr/>
          </xdr:nvCxnSpPr>
          <xdr:spPr>
            <a:xfrm>
              <a:off x="7738427" y="10009608"/>
              <a:ext cx="799158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" name="Straight Connector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CxnSpPr/>
          </xdr:nvCxnSpPr>
          <xdr:spPr>
            <a:xfrm>
              <a:off x="10127984" y="10003173"/>
              <a:ext cx="146365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74" name="Shape 27">
            <a:extLst>
              <a:ext uri="{FF2B5EF4-FFF2-40B4-BE49-F238E27FC236}">
                <a16:creationId xmlns:a16="http://schemas.microsoft.com/office/drawing/2014/main" id="{00000000-0008-0000-0200-000012010000}"/>
              </a:ext>
            </a:extLst>
          </xdr:cNvPr>
          <xdr:cNvSpPr/>
        </xdr:nvSpPr>
        <xdr:spPr>
          <a:xfrm>
            <a:off x="9912886" y="12415543"/>
            <a:ext cx="74760" cy="84375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chemeClr val="tx1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24</xdr:col>
      <xdr:colOff>20544</xdr:colOff>
      <xdr:row>86</xdr:row>
      <xdr:rowOff>30458</xdr:rowOff>
    </xdr:from>
    <xdr:to>
      <xdr:col>25</xdr:col>
      <xdr:colOff>182370</xdr:colOff>
      <xdr:row>98</xdr:row>
      <xdr:rowOff>147206</xdr:rowOff>
    </xdr:to>
    <xdr:grpSp>
      <xdr:nvGrpSpPr>
        <xdr:cNvPr id="293" name="Group 292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/>
      </xdr:nvGrpSpPr>
      <xdr:grpSpPr>
        <a:xfrm>
          <a:off x="6116544" y="17505658"/>
          <a:ext cx="415826" cy="2555148"/>
          <a:chOff x="10595892" y="9956800"/>
          <a:chExt cx="417033" cy="2554921"/>
        </a:xfrm>
      </xdr:grpSpPr>
      <xdr:grpSp>
        <xdr:nvGrpSpPr>
          <xdr:cNvPr id="294" name="Group 293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668000" y="9956800"/>
            <a:ext cx="344925" cy="2398528"/>
            <a:chOff x="10668000" y="9956800"/>
            <a:chExt cx="344925" cy="2398528"/>
          </a:xfrm>
        </xdr:grpSpPr>
        <xdr:grpSp>
          <xdr:nvGrpSpPr>
            <xdr:cNvPr id="298" name="Group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GrpSpPr/>
          </xdr:nvGrpSpPr>
          <xdr:grpSpPr>
            <a:xfrm>
              <a:off x="10668000" y="9956800"/>
              <a:ext cx="344925" cy="2398528"/>
              <a:chOff x="10668000" y="9956800"/>
              <a:chExt cx="344925" cy="2398528"/>
            </a:xfrm>
          </xdr:grpSpPr>
          <xdr:grpSp>
            <xdr:nvGrpSpPr>
              <xdr:cNvPr id="303" name="Group 302">
                <a:extLst>
                  <a:ext uri="{FF2B5EF4-FFF2-40B4-BE49-F238E27FC236}">
                    <a16:creationId xmlns:a16="http://schemas.microsoft.com/office/drawing/2014/main" id="{00000000-0008-0000-0200-00002F010000}"/>
                  </a:ext>
                </a:extLst>
              </xdr:cNvPr>
              <xdr:cNvGrpSpPr/>
            </xdr:nvGrpSpPr>
            <xdr:grpSpPr>
              <a:xfrm>
                <a:off x="10668000" y="11805920"/>
                <a:ext cx="344925" cy="549408"/>
                <a:chOff x="10668000" y="11785600"/>
                <a:chExt cx="344925" cy="549408"/>
              </a:xfrm>
            </xdr:grpSpPr>
            <xdr:sp macro="" textlink="">
              <xdr:nvSpPr>
                <xdr:cNvPr id="312" name="Shape 46">
                  <a:extLst>
                    <a:ext uri="{FF2B5EF4-FFF2-40B4-BE49-F238E27FC236}">
                      <a16:creationId xmlns:a16="http://schemas.microsoft.com/office/drawing/2014/main" id="{00000000-0008-0000-0200-000038010000}"/>
                    </a:ext>
                  </a:extLst>
                </xdr:cNvPr>
                <xdr:cNvSpPr/>
              </xdr:nvSpPr>
              <xdr:spPr>
                <a:xfrm flipH="1" flipV="1">
                  <a:off x="10672742" y="11785600"/>
                  <a:ext cx="172396" cy="198278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13" name="Rectangle 312">
                  <a:extLst>
                    <a:ext uri="{FF2B5EF4-FFF2-40B4-BE49-F238E27FC236}">
                      <a16:creationId xmlns:a16="http://schemas.microsoft.com/office/drawing/2014/main" id="{00000000-0008-0000-0200-000039010000}"/>
                    </a:ext>
                  </a:extLst>
                </xdr:cNvPr>
                <xdr:cNvSpPr/>
              </xdr:nvSpPr>
              <xdr:spPr>
                <a:xfrm>
                  <a:off x="10668000" y="11787709"/>
                  <a:ext cx="343934" cy="547299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314" name="Shape 46">
                  <a:extLst>
                    <a:ext uri="{FF2B5EF4-FFF2-40B4-BE49-F238E27FC236}">
                      <a16:creationId xmlns:a16="http://schemas.microsoft.com/office/drawing/2014/main" id="{00000000-0008-0000-0200-00003A010000}"/>
                    </a:ext>
                  </a:extLst>
                </xdr:cNvPr>
                <xdr:cNvSpPr/>
              </xdr:nvSpPr>
              <xdr:spPr>
                <a:xfrm rot="5040000" flipH="1" flipV="1">
                  <a:off x="10828139" y="11797246"/>
                  <a:ext cx="188989" cy="180583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grpSp>
            <xdr:nvGrpSpPr>
              <xdr:cNvPr id="304" name="Group 303">
                <a:extLst>
                  <a:ext uri="{FF2B5EF4-FFF2-40B4-BE49-F238E27FC236}">
                    <a16:creationId xmlns:a16="http://schemas.microsoft.com/office/drawing/2014/main" id="{00000000-0008-0000-0200-000030010000}"/>
                  </a:ext>
                </a:extLst>
              </xdr:cNvPr>
              <xdr:cNvGrpSpPr/>
            </xdr:nvGrpSpPr>
            <xdr:grpSpPr>
              <a:xfrm>
                <a:off x="10668000" y="11093952"/>
                <a:ext cx="344925" cy="549408"/>
                <a:chOff x="10668000" y="11785600"/>
                <a:chExt cx="344925" cy="549408"/>
              </a:xfrm>
            </xdr:grpSpPr>
            <xdr:sp macro="" textlink="">
              <xdr:nvSpPr>
                <xdr:cNvPr id="309" name="Shape 46">
                  <a:extLst>
                    <a:ext uri="{FF2B5EF4-FFF2-40B4-BE49-F238E27FC236}">
                      <a16:creationId xmlns:a16="http://schemas.microsoft.com/office/drawing/2014/main" id="{00000000-0008-0000-0200-000035010000}"/>
                    </a:ext>
                  </a:extLst>
                </xdr:cNvPr>
                <xdr:cNvSpPr/>
              </xdr:nvSpPr>
              <xdr:spPr>
                <a:xfrm flipH="1" flipV="1">
                  <a:off x="10672742" y="11785600"/>
                  <a:ext cx="172396" cy="198278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10" name="Rectangle 309">
                  <a:extLst>
                    <a:ext uri="{FF2B5EF4-FFF2-40B4-BE49-F238E27FC236}">
                      <a16:creationId xmlns:a16="http://schemas.microsoft.com/office/drawing/2014/main" id="{00000000-0008-0000-0200-000036010000}"/>
                    </a:ext>
                  </a:extLst>
                </xdr:cNvPr>
                <xdr:cNvSpPr/>
              </xdr:nvSpPr>
              <xdr:spPr>
                <a:xfrm>
                  <a:off x="10668000" y="11787709"/>
                  <a:ext cx="343934" cy="547299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311" name="Shape 46">
                  <a:extLst>
                    <a:ext uri="{FF2B5EF4-FFF2-40B4-BE49-F238E27FC236}">
                      <a16:creationId xmlns:a16="http://schemas.microsoft.com/office/drawing/2014/main" id="{00000000-0008-0000-0200-000037010000}"/>
                    </a:ext>
                  </a:extLst>
                </xdr:cNvPr>
                <xdr:cNvSpPr/>
              </xdr:nvSpPr>
              <xdr:spPr>
                <a:xfrm rot="5040000" flipH="1" flipV="1">
                  <a:off x="10828139" y="11797246"/>
                  <a:ext cx="188989" cy="180583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grpSp>
            <xdr:nvGrpSpPr>
              <xdr:cNvPr id="305" name="Group 304">
                <a:extLst>
                  <a:ext uri="{FF2B5EF4-FFF2-40B4-BE49-F238E27FC236}">
                    <a16:creationId xmlns:a16="http://schemas.microsoft.com/office/drawing/2014/main" id="{00000000-0008-0000-0200-000031010000}"/>
                  </a:ext>
                </a:extLst>
              </xdr:cNvPr>
              <xdr:cNvGrpSpPr/>
            </xdr:nvGrpSpPr>
            <xdr:grpSpPr>
              <a:xfrm>
                <a:off x="10668000" y="9956800"/>
                <a:ext cx="344925" cy="549408"/>
                <a:chOff x="10668000" y="11785600"/>
                <a:chExt cx="344925" cy="549408"/>
              </a:xfrm>
            </xdr:grpSpPr>
            <xdr:sp macro="" textlink="">
              <xdr:nvSpPr>
                <xdr:cNvPr id="306" name="Shape 46">
                  <a:extLst>
                    <a:ext uri="{FF2B5EF4-FFF2-40B4-BE49-F238E27FC236}">
                      <a16:creationId xmlns:a16="http://schemas.microsoft.com/office/drawing/2014/main" id="{00000000-0008-0000-0200-000032010000}"/>
                    </a:ext>
                  </a:extLst>
                </xdr:cNvPr>
                <xdr:cNvSpPr/>
              </xdr:nvSpPr>
              <xdr:spPr>
                <a:xfrm flipH="1" flipV="1">
                  <a:off x="10672742" y="11785600"/>
                  <a:ext cx="172396" cy="198278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7" name="Rectangle 306">
                  <a:extLst>
                    <a:ext uri="{FF2B5EF4-FFF2-40B4-BE49-F238E27FC236}">
                      <a16:creationId xmlns:a16="http://schemas.microsoft.com/office/drawing/2014/main" id="{00000000-0008-0000-0200-000033010000}"/>
                    </a:ext>
                  </a:extLst>
                </xdr:cNvPr>
                <xdr:cNvSpPr/>
              </xdr:nvSpPr>
              <xdr:spPr>
                <a:xfrm>
                  <a:off x="10668000" y="11787709"/>
                  <a:ext cx="343934" cy="547299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308" name="Shape 46">
                  <a:extLst>
                    <a:ext uri="{FF2B5EF4-FFF2-40B4-BE49-F238E27FC236}">
                      <a16:creationId xmlns:a16="http://schemas.microsoft.com/office/drawing/2014/main" id="{00000000-0008-0000-0200-000034010000}"/>
                    </a:ext>
                  </a:extLst>
                </xdr:cNvPr>
                <xdr:cNvSpPr/>
              </xdr:nvSpPr>
              <xdr:spPr>
                <a:xfrm rot="5040000" flipH="1" flipV="1">
                  <a:off x="10828139" y="11797246"/>
                  <a:ext cx="188989" cy="180583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</xdr:grpSp>
        <xdr:grpSp>
          <xdr:nvGrpSpPr>
            <xdr:cNvPr id="299" name="Group 298">
              <a:extLst>
                <a:ext uri="{FF2B5EF4-FFF2-40B4-BE49-F238E27FC236}">
                  <a16:creationId xmlns:a16="http://schemas.microsoft.com/office/drawing/2014/main" id="{00000000-0008-0000-0200-00002B010000}"/>
                </a:ext>
              </a:extLst>
            </xdr:cNvPr>
            <xdr:cNvGrpSpPr/>
          </xdr:nvGrpSpPr>
          <xdr:grpSpPr>
            <a:xfrm rot="5400000">
              <a:off x="10660176" y="10764341"/>
              <a:ext cx="332304" cy="78278"/>
              <a:chOff x="10671398" y="12807563"/>
              <a:chExt cx="332304" cy="78278"/>
            </a:xfrm>
          </xdr:grpSpPr>
          <xdr:sp macro="" textlink="">
            <xdr:nvSpPr>
              <xdr:cNvPr id="300" name="Shape 27">
                <a:extLst>
                  <a:ext uri="{FF2B5EF4-FFF2-40B4-BE49-F238E27FC236}">
                    <a16:creationId xmlns:a16="http://schemas.microsoft.com/office/drawing/2014/main" id="{00000000-0008-0000-0200-00002C010000}"/>
                  </a:ext>
                </a:extLst>
              </xdr:cNvPr>
              <xdr:cNvSpPr/>
            </xdr:nvSpPr>
            <xdr:spPr>
              <a:xfrm>
                <a:off x="10796334" y="12808921"/>
                <a:ext cx="72720" cy="6973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01" name="Shape 27">
                <a:extLst>
                  <a:ext uri="{FF2B5EF4-FFF2-40B4-BE49-F238E27FC236}">
                    <a16:creationId xmlns:a16="http://schemas.microsoft.com/office/drawing/2014/main" id="{00000000-0008-0000-0200-00002D010000}"/>
                  </a:ext>
                </a:extLst>
              </xdr:cNvPr>
              <xdr:cNvSpPr/>
            </xdr:nvSpPr>
            <xdr:spPr>
              <a:xfrm>
                <a:off x="10935738" y="12809136"/>
                <a:ext cx="67964" cy="76705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02" name="Shape 27">
                <a:extLst>
                  <a:ext uri="{FF2B5EF4-FFF2-40B4-BE49-F238E27FC236}">
                    <a16:creationId xmlns:a16="http://schemas.microsoft.com/office/drawing/2014/main" id="{00000000-0008-0000-0200-00002E010000}"/>
                  </a:ext>
                </a:extLst>
              </xdr:cNvPr>
              <xdr:cNvSpPr/>
            </xdr:nvSpPr>
            <xdr:spPr>
              <a:xfrm>
                <a:off x="10671398" y="12807563"/>
                <a:ext cx="67964" cy="76705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</xdr:grpSp>
      <xdr:cxnSp macro="">
        <xdr:nvCxnSpPr>
          <xdr:cNvPr id="295" name="Straight Connector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CxnSpPr/>
        </xdr:nvCxnSpPr>
        <xdr:spPr>
          <a:xfrm>
            <a:off x="10840720" y="11639603"/>
            <a:ext cx="0" cy="158946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6" name="Straight Connector 295">
            <a:extLst>
              <a:ext uri="{FF2B5EF4-FFF2-40B4-BE49-F238E27FC236}">
                <a16:creationId xmlns:a16="http://schemas.microsoft.com/office/drawing/2014/main" id="{00000000-0008-0000-0200-000028010000}"/>
              </a:ext>
            </a:extLst>
          </xdr:cNvPr>
          <xdr:cNvCxnSpPr/>
        </xdr:nvCxnSpPr>
        <xdr:spPr>
          <a:xfrm>
            <a:off x="10840720" y="12352775"/>
            <a:ext cx="0" cy="158946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7" name="Straight Connector 296">
            <a:extLst>
              <a:ext uri="{FF2B5EF4-FFF2-40B4-BE49-F238E27FC236}">
                <a16:creationId xmlns:a16="http://schemas.microsoft.com/office/drawing/2014/main" id="{00000000-0008-0000-0200-000029010000}"/>
              </a:ext>
            </a:extLst>
          </xdr:cNvPr>
          <xdr:cNvCxnSpPr/>
        </xdr:nvCxnSpPr>
        <xdr:spPr>
          <a:xfrm flipH="1">
            <a:off x="10595892" y="12507888"/>
            <a:ext cx="24300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213257</xdr:colOff>
      <xdr:row>22</xdr:row>
      <xdr:rowOff>114068</xdr:rowOff>
    </xdr:from>
    <xdr:to>
      <xdr:col>15</xdr:col>
      <xdr:colOff>190342</xdr:colOff>
      <xdr:row>23</xdr:row>
      <xdr:rowOff>197380</xdr:rowOff>
    </xdr:to>
    <xdr:grpSp>
      <xdr:nvGrpSpPr>
        <xdr:cNvPr id="32794" name="3PCables">
          <a:extLst>
            <a:ext uri="{FF2B5EF4-FFF2-40B4-BE49-F238E27FC236}">
              <a16:creationId xmlns:a16="http://schemas.microsoft.com/office/drawing/2014/main" id="{00000000-0008-0000-0200-00001A800000}"/>
            </a:ext>
          </a:extLst>
        </xdr:cNvPr>
        <xdr:cNvGrpSpPr/>
      </xdr:nvGrpSpPr>
      <xdr:grpSpPr>
        <a:xfrm>
          <a:off x="3769257" y="4584468"/>
          <a:ext cx="231085" cy="286512"/>
          <a:chOff x="3726273" y="4644879"/>
          <a:chExt cx="228797" cy="289258"/>
        </a:xfrm>
      </xdr:grpSpPr>
      <xdr:sp macro="" textlink="">
        <xdr:nvSpPr>
          <xdr:cNvPr id="228" name="Shape 26">
            <a:extLst>
              <a:ext uri="{FF2B5EF4-FFF2-40B4-BE49-F238E27FC236}">
                <a16:creationId xmlns:a16="http://schemas.microsoft.com/office/drawing/2014/main" id="{00000000-0008-0000-0200-0000E4000000}"/>
              </a:ext>
            </a:extLst>
          </xdr:cNvPr>
          <xdr:cNvSpPr/>
        </xdr:nvSpPr>
        <xdr:spPr>
          <a:xfrm flipH="1">
            <a:off x="3726273" y="4644879"/>
            <a:ext cx="228794" cy="20846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229" name="Shape 26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SpPr/>
        </xdr:nvSpPr>
        <xdr:spPr>
          <a:xfrm flipH="1">
            <a:off x="3726276" y="4725673"/>
            <a:ext cx="228794" cy="20846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48</xdr:col>
      <xdr:colOff>175462</xdr:colOff>
      <xdr:row>86</xdr:row>
      <xdr:rowOff>6870</xdr:rowOff>
    </xdr:from>
    <xdr:to>
      <xdr:col>74</xdr:col>
      <xdr:colOff>40066</xdr:colOff>
      <xdr:row>98</xdr:row>
      <xdr:rowOff>147378</xdr:rowOff>
    </xdr:to>
    <xdr:grpSp>
      <xdr:nvGrpSpPr>
        <xdr:cNvPr id="374" name="Group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GrpSpPr/>
      </xdr:nvGrpSpPr>
      <xdr:grpSpPr>
        <a:xfrm rot="16200000">
          <a:off x="14312310" y="15537222"/>
          <a:ext cx="2578908" cy="6468604"/>
          <a:chOff x="4876799" y="6604000"/>
          <a:chExt cx="2575363" cy="6465650"/>
        </a:xfrm>
      </xdr:grpSpPr>
      <xdr:grpSp>
        <xdr:nvGrpSpPr>
          <xdr:cNvPr id="375" name="Group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GrpSpPr/>
        </xdr:nvGrpSpPr>
        <xdr:grpSpPr>
          <a:xfrm>
            <a:off x="4876799" y="6604000"/>
            <a:ext cx="2575363" cy="3688946"/>
            <a:chOff x="7071391" y="6050644"/>
            <a:chExt cx="2572468" cy="3614143"/>
          </a:xfrm>
        </xdr:grpSpPr>
        <xdr:grpSp>
          <xdr:nvGrpSpPr>
            <xdr:cNvPr id="428" name="Group 427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GrpSpPr/>
          </xdr:nvGrpSpPr>
          <xdr:grpSpPr>
            <a:xfrm>
              <a:off x="7745607" y="6050644"/>
              <a:ext cx="293720" cy="1710870"/>
              <a:chOff x="7356129" y="8629644"/>
              <a:chExt cx="291905" cy="1739405"/>
            </a:xfrm>
          </xdr:grpSpPr>
          <xdr:sp macro="" textlink="">
            <xdr:nvSpPr>
              <xdr:cNvPr id="451" name="Shape 27">
                <a:extLst>
                  <a:ext uri="{FF2B5EF4-FFF2-40B4-BE49-F238E27FC236}">
                    <a16:creationId xmlns:a16="http://schemas.microsoft.com/office/drawing/2014/main" id="{00000000-0008-0000-0200-0000C3010000}"/>
                  </a:ext>
                </a:extLst>
              </xdr:cNvPr>
              <xdr:cNvSpPr/>
            </xdr:nvSpPr>
            <xdr:spPr>
              <a:xfrm>
                <a:off x="7356129" y="9462384"/>
                <a:ext cx="99157" cy="10005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52" name="Shape 27">
                <a:extLst>
                  <a:ext uri="{FF2B5EF4-FFF2-40B4-BE49-F238E27FC236}">
                    <a16:creationId xmlns:a16="http://schemas.microsoft.com/office/drawing/2014/main" id="{00000000-0008-0000-0200-0000C4010000}"/>
                  </a:ext>
                </a:extLst>
              </xdr:cNvPr>
              <xdr:cNvSpPr/>
            </xdr:nvSpPr>
            <xdr:spPr>
              <a:xfrm>
                <a:off x="7356964" y="9845220"/>
                <a:ext cx="99157" cy="10005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53" name="Shape 26">
                <a:extLst>
                  <a:ext uri="{FF2B5EF4-FFF2-40B4-BE49-F238E27FC236}">
                    <a16:creationId xmlns:a16="http://schemas.microsoft.com/office/drawing/2014/main" id="{00000000-0008-0000-0200-0000C5010000}"/>
                  </a:ext>
                </a:extLst>
              </xdr:cNvPr>
              <xdr:cNvSpPr/>
            </xdr:nvSpPr>
            <xdr:spPr>
              <a:xfrm flipH="1">
                <a:off x="7418578" y="9637760"/>
                <a:ext cx="229456" cy="20654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54" name="Shape 18">
                <a:extLst>
                  <a:ext uri="{FF2B5EF4-FFF2-40B4-BE49-F238E27FC236}">
                    <a16:creationId xmlns:a16="http://schemas.microsoft.com/office/drawing/2014/main" id="{00000000-0008-0000-0200-0000C6010000}"/>
                  </a:ext>
                </a:extLst>
              </xdr:cNvPr>
              <xdr:cNvSpPr/>
            </xdr:nvSpPr>
            <xdr:spPr>
              <a:xfrm>
                <a:off x="7403435" y="9944472"/>
                <a:ext cx="0" cy="424577"/>
              </a:xfrm>
              <a:prstGeom prst="line">
                <a:avLst/>
              </a:prstGeom>
              <a:ln>
                <a:headEnd type="none" w="med" len="med"/>
                <a:tailEnd type="none" w="med" len="med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455" name="Straight Connector 454">
                <a:extLst>
                  <a:ext uri="{FF2B5EF4-FFF2-40B4-BE49-F238E27FC236}">
                    <a16:creationId xmlns:a16="http://schemas.microsoft.com/office/drawing/2014/main" id="{00000000-0008-0000-0200-0000C7010000}"/>
                  </a:ext>
                </a:extLst>
              </xdr:cNvPr>
              <xdr:cNvCxnSpPr/>
            </xdr:nvCxnSpPr>
            <xdr:spPr>
              <a:xfrm>
                <a:off x="7404269" y="8629644"/>
                <a:ext cx="0" cy="835368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429" name="Group 428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GrpSpPr/>
          </xdr:nvGrpSpPr>
          <xdr:grpSpPr>
            <a:xfrm>
              <a:off x="7071391" y="7761513"/>
              <a:ext cx="2572468" cy="1903274"/>
              <a:chOff x="7071391" y="7899400"/>
              <a:chExt cx="2572468" cy="1939581"/>
            </a:xfrm>
          </xdr:grpSpPr>
          <xdr:grpSp>
            <xdr:nvGrpSpPr>
              <xdr:cNvPr id="430" name="Group 429">
                <a:extLst>
                  <a:ext uri="{FF2B5EF4-FFF2-40B4-BE49-F238E27FC236}">
                    <a16:creationId xmlns:a16="http://schemas.microsoft.com/office/drawing/2014/main" id="{00000000-0008-0000-0200-0000AE010000}"/>
                  </a:ext>
                </a:extLst>
              </xdr:cNvPr>
              <xdr:cNvGrpSpPr/>
            </xdr:nvGrpSpPr>
            <xdr:grpSpPr>
              <a:xfrm>
                <a:off x="7071391" y="7899400"/>
                <a:ext cx="1254169" cy="1939581"/>
                <a:chOff x="6873836" y="7882467"/>
                <a:chExt cx="1254169" cy="1939581"/>
              </a:xfrm>
            </xdr:grpSpPr>
            <xdr:grpSp>
              <xdr:nvGrpSpPr>
                <xdr:cNvPr id="432" name="Group 431" descr="Inverter">
                  <a:extLst>
                    <a:ext uri="{FF2B5EF4-FFF2-40B4-BE49-F238E27FC236}">
                      <a16:creationId xmlns:a16="http://schemas.microsoft.com/office/drawing/2014/main" id="{00000000-0008-0000-0200-0000B0010000}"/>
                    </a:ext>
                    <a:ext uri="{C183D7F6-B498-43B3-948B-1728B52AA6E4}">
                      <adec:decorative xmlns:adec="http://schemas.microsoft.com/office/drawing/2017/decorative" val="0"/>
                    </a:ext>
                  </a:extLst>
                </xdr:cNvPr>
                <xdr:cNvGrpSpPr/>
              </xdr:nvGrpSpPr>
              <xdr:grpSpPr>
                <a:xfrm>
                  <a:off x="7104215" y="7882467"/>
                  <a:ext cx="1023790" cy="1938212"/>
                  <a:chOff x="5585032" y="3022536"/>
                  <a:chExt cx="764968" cy="4032685"/>
                </a:xfrm>
              </xdr:grpSpPr>
              <xdr:grpSp>
                <xdr:nvGrpSpPr>
                  <xdr:cNvPr id="437" name="Group 436">
                    <a:extLst>
                      <a:ext uri="{FF2B5EF4-FFF2-40B4-BE49-F238E27FC236}">
                        <a16:creationId xmlns:a16="http://schemas.microsoft.com/office/drawing/2014/main" id="{00000000-0008-0000-0200-0000B5010000}"/>
                      </a:ext>
                    </a:extLst>
                  </xdr:cNvPr>
                  <xdr:cNvGrpSpPr/>
                </xdr:nvGrpSpPr>
                <xdr:grpSpPr>
                  <a:xfrm>
                    <a:off x="5588000" y="4800603"/>
                    <a:ext cx="762000" cy="1270000"/>
                    <a:chOff x="5588000" y="4800603"/>
                    <a:chExt cx="762000" cy="1270000"/>
                  </a:xfrm>
                </xdr:grpSpPr>
                <xdr:sp macro="" textlink="">
                  <xdr:nvSpPr>
                    <xdr:cNvPr id="447" name="Shape 5">
                      <a:extLst>
                        <a:ext uri="{FF2B5EF4-FFF2-40B4-BE49-F238E27FC236}">
                          <a16:creationId xmlns:a16="http://schemas.microsoft.com/office/drawing/2014/main" id="{00000000-0008-0000-0200-0000BF010000}"/>
                        </a:ext>
                      </a:extLst>
                    </xdr:cNvPr>
                    <xdr:cNvSpPr/>
                  </xdr:nvSpPr>
                  <xdr:spPr>
                    <a:xfrm>
                      <a:off x="5588000" y="4800603"/>
                      <a:ext cx="762000" cy="127000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48" name="Shape 6">
                      <a:extLst>
                        <a:ext uri="{FF2B5EF4-FFF2-40B4-BE49-F238E27FC236}">
                          <a16:creationId xmlns:a16="http://schemas.microsoft.com/office/drawing/2014/main" id="{00000000-0008-0000-0200-0000C0010000}"/>
                        </a:ext>
                      </a:extLst>
                    </xdr:cNvPr>
                    <xdr:cNvSpPr/>
                  </xdr:nvSpPr>
                  <xdr:spPr>
                    <a:xfrm>
                      <a:off x="6027997" y="4938868"/>
                      <a:ext cx="125900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dash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49" name="Shape 7">
                      <a:extLst>
                        <a:ext uri="{FF2B5EF4-FFF2-40B4-BE49-F238E27FC236}">
                          <a16:creationId xmlns:a16="http://schemas.microsoft.com/office/drawing/2014/main" id="{00000000-0008-0000-0200-0000C1010000}"/>
                        </a:ext>
                      </a:extLst>
                    </xdr:cNvPr>
                    <xdr:cNvSpPr/>
                  </xdr:nvSpPr>
                  <xdr:spPr>
                    <a:xfrm>
                      <a:off x="6018473" y="5050734"/>
                      <a:ext cx="141028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50" name="Shape 8">
                      <a:extLst>
                        <a:ext uri="{FF2B5EF4-FFF2-40B4-BE49-F238E27FC236}">
                          <a16:creationId xmlns:a16="http://schemas.microsoft.com/office/drawing/2014/main" id="{00000000-0008-0000-0200-0000C2010000}"/>
                        </a:ext>
                      </a:extLst>
                    </xdr:cNvPr>
                    <xdr:cNvSpPr/>
                  </xdr:nvSpPr>
                  <xdr:spPr>
                    <a:xfrm>
                      <a:off x="5716329" y="5725661"/>
                      <a:ext cx="123805" cy="188558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438" name="Rectangle 437">
                    <a:extLst>
                      <a:ext uri="{FF2B5EF4-FFF2-40B4-BE49-F238E27FC236}">
                        <a16:creationId xmlns:a16="http://schemas.microsoft.com/office/drawing/2014/main" id="{00000000-0008-0000-0200-0000B6010000}"/>
                      </a:ext>
                    </a:extLst>
                  </xdr:cNvPr>
                  <xdr:cNvSpPr/>
                </xdr:nvSpPr>
                <xdr:spPr>
                  <a:xfrm>
                    <a:off x="5588000" y="4800600"/>
                    <a:ext cx="762000" cy="1270000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39" name="Rectangle 438">
                    <a:extLst>
                      <a:ext uri="{FF2B5EF4-FFF2-40B4-BE49-F238E27FC236}">
                        <a16:creationId xmlns:a16="http://schemas.microsoft.com/office/drawing/2014/main" id="{00000000-0008-0000-0200-0000B7010000}"/>
                      </a:ext>
                    </a:extLst>
                  </xdr:cNvPr>
                  <xdr:cNvSpPr/>
                </xdr:nvSpPr>
                <xdr:spPr>
                  <a:xfrm>
                    <a:off x="5588000" y="3530597"/>
                    <a:ext cx="762000" cy="1270001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40" name="Rectangle 439">
                    <a:extLst>
                      <a:ext uri="{FF2B5EF4-FFF2-40B4-BE49-F238E27FC236}">
                        <a16:creationId xmlns:a16="http://schemas.microsoft.com/office/drawing/2014/main" id="{00000000-0008-0000-0200-0000B8010000}"/>
                      </a:ext>
                    </a:extLst>
                  </xdr:cNvPr>
                  <xdr:cNvSpPr/>
                </xdr:nvSpPr>
                <xdr:spPr>
                  <a:xfrm>
                    <a:off x="5778499" y="4079153"/>
                    <a:ext cx="381000" cy="533089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41" name="Rectangle 440">
                    <a:extLst>
                      <a:ext uri="{FF2B5EF4-FFF2-40B4-BE49-F238E27FC236}">
                        <a16:creationId xmlns:a16="http://schemas.microsoft.com/office/drawing/2014/main" id="{00000000-0008-0000-0200-0000B9010000}"/>
                      </a:ext>
                    </a:extLst>
                  </xdr:cNvPr>
                  <xdr:cNvSpPr/>
                </xdr:nvSpPr>
                <xdr:spPr>
                  <a:xfrm>
                    <a:off x="5812117" y="3922362"/>
                    <a:ext cx="72838" cy="156790"/>
                  </a:xfrm>
                  <a:prstGeom prst="rect">
                    <a:avLst/>
                  </a:prstGeom>
                  <a:solidFill>
                    <a:schemeClr val="tx1"/>
                  </a:solidFill>
                  <a:ln w="6350">
                    <a:solidFill>
                      <a:schemeClr val="tx1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42" name="Rectangle 441">
                    <a:extLst>
                      <a:ext uri="{FF2B5EF4-FFF2-40B4-BE49-F238E27FC236}">
                        <a16:creationId xmlns:a16="http://schemas.microsoft.com/office/drawing/2014/main" id="{00000000-0008-0000-0200-0000BA010000}"/>
                      </a:ext>
                    </a:extLst>
                  </xdr:cNvPr>
                  <xdr:cNvSpPr/>
                </xdr:nvSpPr>
                <xdr:spPr>
                  <a:xfrm>
                    <a:off x="6050642" y="3923023"/>
                    <a:ext cx="72838" cy="156790"/>
                  </a:xfrm>
                  <a:prstGeom prst="rect">
                    <a:avLst/>
                  </a:prstGeom>
                  <a:solidFill>
                    <a:schemeClr val="tx1"/>
                  </a:solidFill>
                  <a:ln w="6350">
                    <a:solidFill>
                      <a:schemeClr val="tx1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43" name="Rectangle 442">
                    <a:extLst>
                      <a:ext uri="{FF2B5EF4-FFF2-40B4-BE49-F238E27FC236}">
                        <a16:creationId xmlns:a16="http://schemas.microsoft.com/office/drawing/2014/main" id="{00000000-0008-0000-0200-0000BB010000}"/>
                      </a:ext>
                    </a:extLst>
                  </xdr:cNvPr>
                  <xdr:cNvSpPr/>
                </xdr:nvSpPr>
                <xdr:spPr>
                  <a:xfrm>
                    <a:off x="5588000" y="6064784"/>
                    <a:ext cx="762000" cy="493663"/>
                  </a:xfrm>
                  <a:prstGeom prst="rect">
                    <a:avLst/>
                  </a:prstGeom>
                  <a:noFill/>
                  <a:ln w="6350">
                    <a:solidFill>
                      <a:sysClr val="windowText" lastClr="000000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44" name="Rectangle 443">
                    <a:extLst>
                      <a:ext uri="{FF2B5EF4-FFF2-40B4-BE49-F238E27FC236}">
                        <a16:creationId xmlns:a16="http://schemas.microsoft.com/office/drawing/2014/main" id="{00000000-0008-0000-0200-0000BC010000}"/>
                      </a:ext>
                    </a:extLst>
                  </xdr:cNvPr>
                  <xdr:cNvSpPr/>
                </xdr:nvSpPr>
                <xdr:spPr>
                  <a:xfrm>
                    <a:off x="5588000" y="6561558"/>
                    <a:ext cx="762000" cy="493663"/>
                  </a:xfrm>
                  <a:prstGeom prst="rect">
                    <a:avLst/>
                  </a:prstGeom>
                  <a:noFill/>
                  <a:ln w="6350">
                    <a:solidFill>
                      <a:sysClr val="windowText" lastClr="000000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45" name="Rectangle 444">
                    <a:extLst>
                      <a:ext uri="{FF2B5EF4-FFF2-40B4-BE49-F238E27FC236}">
                        <a16:creationId xmlns:a16="http://schemas.microsoft.com/office/drawing/2014/main" id="{00000000-0008-0000-0200-0000BD010000}"/>
                      </a:ext>
                    </a:extLst>
                  </xdr:cNvPr>
                  <xdr:cNvSpPr/>
                </xdr:nvSpPr>
                <xdr:spPr>
                  <a:xfrm>
                    <a:off x="5585032" y="6561543"/>
                    <a:ext cx="382766" cy="493663"/>
                  </a:xfrm>
                  <a:prstGeom prst="rect">
                    <a:avLst/>
                  </a:prstGeom>
                  <a:noFill/>
                  <a:ln w="6350">
                    <a:solidFill>
                      <a:sysClr val="windowText" lastClr="000000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46" name="Rectangle 445">
                    <a:extLst>
                      <a:ext uri="{FF2B5EF4-FFF2-40B4-BE49-F238E27FC236}">
                        <a16:creationId xmlns:a16="http://schemas.microsoft.com/office/drawing/2014/main" id="{00000000-0008-0000-0200-0000BE010000}"/>
                      </a:ext>
                    </a:extLst>
                  </xdr:cNvPr>
                  <xdr:cNvSpPr/>
                </xdr:nvSpPr>
                <xdr:spPr>
                  <a:xfrm>
                    <a:off x="5588000" y="3022536"/>
                    <a:ext cx="762000" cy="493663"/>
                  </a:xfrm>
                  <a:prstGeom prst="rect">
                    <a:avLst/>
                  </a:prstGeom>
                  <a:noFill/>
                  <a:ln w="6350">
                    <a:solidFill>
                      <a:sysClr val="windowText" lastClr="000000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</xdr:grpSp>
            <xdr:sp macro="" textlink="">
              <xdr:nvSpPr>
                <xdr:cNvPr id="433" name="TextBox 432">
                  <a:extLst>
                    <a:ext uri="{FF2B5EF4-FFF2-40B4-BE49-F238E27FC236}">
                      <a16:creationId xmlns:a16="http://schemas.microsoft.com/office/drawing/2014/main" id="{00000000-0008-0000-0200-0000B1010000}"/>
                    </a:ext>
                  </a:extLst>
                </xdr:cNvPr>
                <xdr:cNvSpPr txBox="1"/>
              </xdr:nvSpPr>
              <xdr:spPr>
                <a:xfrm>
                  <a:off x="7276008" y="9329033"/>
                  <a:ext cx="693680" cy="2550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1100"/>
                    <a:t>MPPT</a:t>
                  </a:r>
                </a:p>
              </xdr:txBody>
            </xdr:sp>
            <xdr:sp macro="" textlink="">
              <xdr:nvSpPr>
                <xdr:cNvPr id="434" name="TextBox 433">
                  <a:extLst>
                    <a:ext uri="{FF2B5EF4-FFF2-40B4-BE49-F238E27FC236}">
                      <a16:creationId xmlns:a16="http://schemas.microsoft.com/office/drawing/2014/main" id="{00000000-0008-0000-0200-0000B2010000}"/>
                    </a:ext>
                  </a:extLst>
                </xdr:cNvPr>
                <xdr:cNvSpPr txBox="1"/>
              </xdr:nvSpPr>
              <xdr:spPr>
                <a:xfrm>
                  <a:off x="7110317" y="9584040"/>
                  <a:ext cx="1016001" cy="23684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1100"/>
                    <a:t>A              B</a:t>
                  </a:r>
                </a:p>
              </xdr:txBody>
            </xdr:sp>
            <xdr:sp macro="" textlink="">
              <xdr:nvSpPr>
                <xdr:cNvPr id="435" name="TextBox 434">
                  <a:extLst>
                    <a:ext uri="{FF2B5EF4-FFF2-40B4-BE49-F238E27FC236}">
                      <a16:creationId xmlns:a16="http://schemas.microsoft.com/office/drawing/2014/main" id="{00000000-0008-0000-0200-0000B3010000}"/>
                    </a:ext>
                  </a:extLst>
                </xdr:cNvPr>
                <xdr:cNvSpPr txBox="1"/>
              </xdr:nvSpPr>
              <xdr:spPr>
                <a:xfrm>
                  <a:off x="7276008" y="7907867"/>
                  <a:ext cx="693680" cy="2550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1100"/>
                    <a:t>AC OUT</a:t>
                  </a:r>
                </a:p>
              </xdr:txBody>
            </xdr:sp>
            <xdr:sp macro="" textlink="">
              <xdr:nvSpPr>
                <xdr:cNvPr id="436" name="TextBox 435">
                  <a:extLst>
                    <a:ext uri="{FF2B5EF4-FFF2-40B4-BE49-F238E27FC236}">
                      <a16:creationId xmlns:a16="http://schemas.microsoft.com/office/drawing/2014/main" id="{00000000-0008-0000-0200-0000B4010000}"/>
                    </a:ext>
                  </a:extLst>
                </xdr:cNvPr>
                <xdr:cNvSpPr txBox="1"/>
              </xdr:nvSpPr>
              <xdr:spPr>
                <a:xfrm rot="5400000">
                  <a:off x="6021433" y="8747533"/>
                  <a:ext cx="1926918" cy="22211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1100"/>
                    <a:t>Sonnen hybrid 9.53,  5kW, </a:t>
                  </a:r>
                  <a:r>
                    <a:rPr lang="en-GB" sz="1100" baseline="0"/>
                    <a:t> 1</a:t>
                  </a:r>
                  <a:r>
                    <a:rPr lang="el-GR" sz="1100" baseline="0"/>
                    <a:t>Φ</a:t>
                  </a:r>
                  <a:endParaRPr lang="en-GB" sz="1100"/>
                </a:p>
              </xdr:txBody>
            </xdr:sp>
          </xdr:grpSp>
          <xdr:cxnSp macro="">
            <xdr:nvCxnSpPr>
              <xdr:cNvPr id="431" name="Straight Connector 430">
                <a:extLst>
                  <a:ext uri="{FF2B5EF4-FFF2-40B4-BE49-F238E27FC236}">
                    <a16:creationId xmlns:a16="http://schemas.microsoft.com/office/drawing/2014/main" id="{00000000-0008-0000-0200-0000AF010000}"/>
                  </a:ext>
                </a:extLst>
              </xdr:cNvPr>
              <xdr:cNvCxnSpPr/>
            </xdr:nvCxnSpPr>
            <xdr:spPr>
              <a:xfrm>
                <a:off x="8331200" y="9042400"/>
                <a:ext cx="1312659" cy="0"/>
              </a:xfrm>
              <a:prstGeom prst="line">
                <a:avLst/>
              </a:prstGeom>
              <a:ln>
                <a:solidFill>
                  <a:schemeClr val="tx1"/>
                </a:solidFill>
                <a:prstDash val="lgDashDot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376" name="Group 375">
            <a:extLst>
              <a:ext uri="{FF2B5EF4-FFF2-40B4-BE49-F238E27FC236}">
                <a16:creationId xmlns:a16="http://schemas.microsoft.com/office/drawing/2014/main" id="{00000000-0008-0000-0200-000078010000}"/>
              </a:ext>
            </a:extLst>
          </xdr:cNvPr>
          <xdr:cNvGrpSpPr/>
        </xdr:nvGrpSpPr>
        <xdr:grpSpPr>
          <a:xfrm>
            <a:off x="5172937" y="10292683"/>
            <a:ext cx="416050" cy="2776967"/>
            <a:chOff x="5019040" y="10885171"/>
            <a:chExt cx="416050" cy="2786437"/>
          </a:xfrm>
        </xdr:grpSpPr>
        <xdr:grpSp>
          <xdr:nvGrpSpPr>
            <xdr:cNvPr id="403" name="Group 402">
              <a:extLst>
                <a:ext uri="{FF2B5EF4-FFF2-40B4-BE49-F238E27FC236}">
                  <a16:creationId xmlns:a16="http://schemas.microsoft.com/office/drawing/2014/main" id="{00000000-0008-0000-0200-000093010000}"/>
                </a:ext>
              </a:extLst>
            </xdr:cNvPr>
            <xdr:cNvGrpSpPr/>
          </xdr:nvGrpSpPr>
          <xdr:grpSpPr>
            <a:xfrm>
              <a:off x="5019040" y="10885171"/>
              <a:ext cx="231140" cy="2786437"/>
              <a:chOff x="5588000" y="11068050"/>
              <a:chExt cx="231140" cy="2786201"/>
            </a:xfrm>
          </xdr:grpSpPr>
          <xdr:cxnSp macro="">
            <xdr:nvCxnSpPr>
              <xdr:cNvPr id="426" name="Straight Connector 425">
                <a:extLst>
                  <a:ext uri="{FF2B5EF4-FFF2-40B4-BE49-F238E27FC236}">
                    <a16:creationId xmlns:a16="http://schemas.microsoft.com/office/drawing/2014/main" id="{00000000-0008-0000-0200-0000AA010000}"/>
                  </a:ext>
                </a:extLst>
              </xdr:cNvPr>
              <xdr:cNvCxnSpPr/>
            </xdr:nvCxnSpPr>
            <xdr:spPr>
              <a:xfrm>
                <a:off x="5819140" y="11068050"/>
                <a:ext cx="0" cy="23495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27" name="Straight Connector 426">
                <a:extLst>
                  <a:ext uri="{FF2B5EF4-FFF2-40B4-BE49-F238E27FC236}">
                    <a16:creationId xmlns:a16="http://schemas.microsoft.com/office/drawing/2014/main" id="{00000000-0008-0000-0200-0000AB010000}"/>
                  </a:ext>
                </a:extLst>
              </xdr:cNvPr>
              <xdr:cNvCxnSpPr/>
            </xdr:nvCxnSpPr>
            <xdr:spPr>
              <a:xfrm>
                <a:off x="5588000" y="11068050"/>
                <a:ext cx="0" cy="2786201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404" name="Group 403">
              <a:extLst>
                <a:ext uri="{FF2B5EF4-FFF2-40B4-BE49-F238E27FC236}">
                  <a16:creationId xmlns:a16="http://schemas.microsoft.com/office/drawing/2014/main" id="{00000000-0008-0000-0200-000094010000}"/>
                </a:ext>
              </a:extLst>
            </xdr:cNvPr>
            <xdr:cNvGrpSpPr/>
          </xdr:nvGrpSpPr>
          <xdr:grpSpPr>
            <a:xfrm>
              <a:off x="5019264" y="11115018"/>
              <a:ext cx="415826" cy="2555148"/>
              <a:chOff x="10595892" y="9956800"/>
              <a:chExt cx="417033" cy="2554921"/>
            </a:xfrm>
          </xdr:grpSpPr>
          <xdr:grpSp>
            <xdr:nvGrpSpPr>
              <xdr:cNvPr id="405" name="Group 404">
                <a:extLst>
                  <a:ext uri="{FF2B5EF4-FFF2-40B4-BE49-F238E27FC236}">
                    <a16:creationId xmlns:a16="http://schemas.microsoft.com/office/drawing/2014/main" id="{00000000-0008-0000-0200-000095010000}"/>
                  </a:ext>
                </a:extLst>
              </xdr:cNvPr>
              <xdr:cNvGrpSpPr/>
            </xdr:nvGrpSpPr>
            <xdr:grpSpPr>
              <a:xfrm>
                <a:off x="10668000" y="9956800"/>
                <a:ext cx="344925" cy="2398528"/>
                <a:chOff x="10668000" y="9956800"/>
                <a:chExt cx="344925" cy="2398528"/>
              </a:xfrm>
            </xdr:grpSpPr>
            <xdr:grpSp>
              <xdr:nvGrpSpPr>
                <xdr:cNvPr id="409" name="Group 408">
                  <a:extLst>
                    <a:ext uri="{FF2B5EF4-FFF2-40B4-BE49-F238E27FC236}">
                      <a16:creationId xmlns:a16="http://schemas.microsoft.com/office/drawing/2014/main" id="{00000000-0008-0000-0200-000099010000}"/>
                    </a:ext>
                  </a:extLst>
                </xdr:cNvPr>
                <xdr:cNvGrpSpPr/>
              </xdr:nvGrpSpPr>
              <xdr:grpSpPr>
                <a:xfrm>
                  <a:off x="10668000" y="9956800"/>
                  <a:ext cx="344925" cy="2398528"/>
                  <a:chOff x="10668000" y="9956800"/>
                  <a:chExt cx="344925" cy="2398528"/>
                </a:xfrm>
              </xdr:grpSpPr>
              <xdr:grpSp>
                <xdr:nvGrpSpPr>
                  <xdr:cNvPr id="414" name="Group 413">
                    <a:extLst>
                      <a:ext uri="{FF2B5EF4-FFF2-40B4-BE49-F238E27FC236}">
                        <a16:creationId xmlns:a16="http://schemas.microsoft.com/office/drawing/2014/main" id="{00000000-0008-0000-0200-00009E010000}"/>
                      </a:ext>
                    </a:extLst>
                  </xdr:cNvPr>
                  <xdr:cNvGrpSpPr/>
                </xdr:nvGrpSpPr>
                <xdr:grpSpPr>
                  <a:xfrm>
                    <a:off x="10668000" y="11805920"/>
                    <a:ext cx="344925" cy="549408"/>
                    <a:chOff x="10668000" y="11785600"/>
                    <a:chExt cx="344925" cy="549408"/>
                  </a:xfrm>
                </xdr:grpSpPr>
                <xdr:sp macro="" textlink="">
                  <xdr:nvSpPr>
                    <xdr:cNvPr id="423" name="Shape 46">
                      <a:extLst>
                        <a:ext uri="{FF2B5EF4-FFF2-40B4-BE49-F238E27FC236}">
                          <a16:creationId xmlns:a16="http://schemas.microsoft.com/office/drawing/2014/main" id="{00000000-0008-0000-0200-0000A7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672742" y="11785600"/>
                      <a:ext cx="172396" cy="19827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24" name="Rectangle 423">
                      <a:extLst>
                        <a:ext uri="{FF2B5EF4-FFF2-40B4-BE49-F238E27FC236}">
                          <a16:creationId xmlns:a16="http://schemas.microsoft.com/office/drawing/2014/main" id="{00000000-0008-0000-0200-0000A8010000}"/>
                        </a:ext>
                      </a:extLst>
                    </xdr:cNvPr>
                    <xdr:cNvSpPr/>
                  </xdr:nvSpPr>
                  <xdr:spPr>
                    <a:xfrm>
                      <a:off x="10668000" y="11787709"/>
                      <a:ext cx="343934" cy="547299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425" name="Shape 46">
                      <a:extLst>
                        <a:ext uri="{FF2B5EF4-FFF2-40B4-BE49-F238E27FC236}">
                          <a16:creationId xmlns:a16="http://schemas.microsoft.com/office/drawing/2014/main" id="{00000000-0008-0000-0200-0000A9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828139" y="11797246"/>
                      <a:ext cx="188989" cy="180583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415" name="Group 414">
                    <a:extLst>
                      <a:ext uri="{FF2B5EF4-FFF2-40B4-BE49-F238E27FC236}">
                        <a16:creationId xmlns:a16="http://schemas.microsoft.com/office/drawing/2014/main" id="{00000000-0008-0000-0200-00009F010000}"/>
                      </a:ext>
                    </a:extLst>
                  </xdr:cNvPr>
                  <xdr:cNvGrpSpPr/>
                </xdr:nvGrpSpPr>
                <xdr:grpSpPr>
                  <a:xfrm>
                    <a:off x="10668000" y="11093952"/>
                    <a:ext cx="344925" cy="549408"/>
                    <a:chOff x="10668000" y="11785600"/>
                    <a:chExt cx="344925" cy="549408"/>
                  </a:xfrm>
                </xdr:grpSpPr>
                <xdr:sp macro="" textlink="">
                  <xdr:nvSpPr>
                    <xdr:cNvPr id="420" name="Shape 46">
                      <a:extLst>
                        <a:ext uri="{FF2B5EF4-FFF2-40B4-BE49-F238E27FC236}">
                          <a16:creationId xmlns:a16="http://schemas.microsoft.com/office/drawing/2014/main" id="{00000000-0008-0000-0200-0000A4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672742" y="11785600"/>
                      <a:ext cx="172396" cy="19827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21" name="Rectangle 420">
                      <a:extLst>
                        <a:ext uri="{FF2B5EF4-FFF2-40B4-BE49-F238E27FC236}">
                          <a16:creationId xmlns:a16="http://schemas.microsoft.com/office/drawing/2014/main" id="{00000000-0008-0000-0200-0000A5010000}"/>
                        </a:ext>
                      </a:extLst>
                    </xdr:cNvPr>
                    <xdr:cNvSpPr/>
                  </xdr:nvSpPr>
                  <xdr:spPr>
                    <a:xfrm>
                      <a:off x="10668000" y="11787709"/>
                      <a:ext cx="343934" cy="547299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422" name="Shape 46">
                      <a:extLst>
                        <a:ext uri="{FF2B5EF4-FFF2-40B4-BE49-F238E27FC236}">
                          <a16:creationId xmlns:a16="http://schemas.microsoft.com/office/drawing/2014/main" id="{00000000-0008-0000-0200-0000A6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828139" y="11797246"/>
                      <a:ext cx="188989" cy="180583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416" name="Group 415">
                    <a:extLst>
                      <a:ext uri="{FF2B5EF4-FFF2-40B4-BE49-F238E27FC236}">
                        <a16:creationId xmlns:a16="http://schemas.microsoft.com/office/drawing/2014/main" id="{00000000-0008-0000-0200-0000A0010000}"/>
                      </a:ext>
                    </a:extLst>
                  </xdr:cNvPr>
                  <xdr:cNvGrpSpPr/>
                </xdr:nvGrpSpPr>
                <xdr:grpSpPr>
                  <a:xfrm>
                    <a:off x="10668000" y="9956800"/>
                    <a:ext cx="344925" cy="549408"/>
                    <a:chOff x="10668000" y="11785600"/>
                    <a:chExt cx="344925" cy="549408"/>
                  </a:xfrm>
                </xdr:grpSpPr>
                <xdr:sp macro="" textlink="">
                  <xdr:nvSpPr>
                    <xdr:cNvPr id="417" name="Shape 46">
                      <a:extLst>
                        <a:ext uri="{FF2B5EF4-FFF2-40B4-BE49-F238E27FC236}">
                          <a16:creationId xmlns:a16="http://schemas.microsoft.com/office/drawing/2014/main" id="{00000000-0008-0000-0200-0000A1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672742" y="11785600"/>
                      <a:ext cx="172396" cy="19827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18" name="Rectangle 417">
                      <a:extLst>
                        <a:ext uri="{FF2B5EF4-FFF2-40B4-BE49-F238E27FC236}">
                          <a16:creationId xmlns:a16="http://schemas.microsoft.com/office/drawing/2014/main" id="{00000000-0008-0000-0200-0000A2010000}"/>
                        </a:ext>
                      </a:extLst>
                    </xdr:cNvPr>
                    <xdr:cNvSpPr/>
                  </xdr:nvSpPr>
                  <xdr:spPr>
                    <a:xfrm>
                      <a:off x="10668000" y="11787709"/>
                      <a:ext cx="343934" cy="547299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419" name="Shape 46">
                      <a:extLst>
                        <a:ext uri="{FF2B5EF4-FFF2-40B4-BE49-F238E27FC236}">
                          <a16:creationId xmlns:a16="http://schemas.microsoft.com/office/drawing/2014/main" id="{00000000-0008-0000-0200-0000A3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828139" y="11797246"/>
                      <a:ext cx="188989" cy="180583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</xdr:grpSp>
            <xdr:grpSp>
              <xdr:nvGrpSpPr>
                <xdr:cNvPr id="410" name="Group 409">
                  <a:extLst>
                    <a:ext uri="{FF2B5EF4-FFF2-40B4-BE49-F238E27FC236}">
                      <a16:creationId xmlns:a16="http://schemas.microsoft.com/office/drawing/2014/main" id="{00000000-0008-0000-0200-00009A010000}"/>
                    </a:ext>
                  </a:extLst>
                </xdr:cNvPr>
                <xdr:cNvGrpSpPr/>
              </xdr:nvGrpSpPr>
              <xdr:grpSpPr>
                <a:xfrm rot="5400000">
                  <a:off x="10660176" y="10764341"/>
                  <a:ext cx="332304" cy="78278"/>
                  <a:chOff x="10671398" y="12807563"/>
                  <a:chExt cx="332304" cy="78278"/>
                </a:xfrm>
              </xdr:grpSpPr>
              <xdr:sp macro="" textlink="">
                <xdr:nvSpPr>
                  <xdr:cNvPr id="411" name="Shape 27">
                    <a:extLst>
                      <a:ext uri="{FF2B5EF4-FFF2-40B4-BE49-F238E27FC236}">
                        <a16:creationId xmlns:a16="http://schemas.microsoft.com/office/drawing/2014/main" id="{00000000-0008-0000-0200-00009B010000}"/>
                      </a:ext>
                    </a:extLst>
                  </xdr:cNvPr>
                  <xdr:cNvSpPr/>
                </xdr:nvSpPr>
                <xdr:spPr>
                  <a:xfrm>
                    <a:off x="10796334" y="12808921"/>
                    <a:ext cx="72720" cy="69732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12" name="Shape 27">
                    <a:extLst>
                      <a:ext uri="{FF2B5EF4-FFF2-40B4-BE49-F238E27FC236}">
                        <a16:creationId xmlns:a16="http://schemas.microsoft.com/office/drawing/2014/main" id="{00000000-0008-0000-0200-00009C010000}"/>
                      </a:ext>
                    </a:extLst>
                  </xdr:cNvPr>
                  <xdr:cNvSpPr/>
                </xdr:nvSpPr>
                <xdr:spPr>
                  <a:xfrm>
                    <a:off x="10935738" y="12809136"/>
                    <a:ext cx="67964" cy="76705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13" name="Shape 27">
                    <a:extLst>
                      <a:ext uri="{FF2B5EF4-FFF2-40B4-BE49-F238E27FC236}">
                        <a16:creationId xmlns:a16="http://schemas.microsoft.com/office/drawing/2014/main" id="{00000000-0008-0000-0200-00009D010000}"/>
                      </a:ext>
                    </a:extLst>
                  </xdr:cNvPr>
                  <xdr:cNvSpPr/>
                </xdr:nvSpPr>
                <xdr:spPr>
                  <a:xfrm>
                    <a:off x="10671398" y="12807563"/>
                    <a:ext cx="67964" cy="76705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</xdr:grpSp>
          <xdr:cxnSp macro="">
            <xdr:nvCxnSpPr>
              <xdr:cNvPr id="406" name="Straight Connector 405">
                <a:extLst>
                  <a:ext uri="{FF2B5EF4-FFF2-40B4-BE49-F238E27FC236}">
                    <a16:creationId xmlns:a16="http://schemas.microsoft.com/office/drawing/2014/main" id="{00000000-0008-0000-0200-000096010000}"/>
                  </a:ext>
                </a:extLst>
              </xdr:cNvPr>
              <xdr:cNvCxnSpPr/>
            </xdr:nvCxnSpPr>
            <xdr:spPr>
              <a:xfrm>
                <a:off x="10840720" y="11639603"/>
                <a:ext cx="0" cy="15894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7" name="Straight Connector 406">
                <a:extLst>
                  <a:ext uri="{FF2B5EF4-FFF2-40B4-BE49-F238E27FC236}">
                    <a16:creationId xmlns:a16="http://schemas.microsoft.com/office/drawing/2014/main" id="{00000000-0008-0000-0200-000097010000}"/>
                  </a:ext>
                </a:extLst>
              </xdr:cNvPr>
              <xdr:cNvCxnSpPr/>
            </xdr:nvCxnSpPr>
            <xdr:spPr>
              <a:xfrm>
                <a:off x="10840720" y="12352775"/>
                <a:ext cx="0" cy="15894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Straight Connector 407">
                <a:extLst>
                  <a:ext uri="{FF2B5EF4-FFF2-40B4-BE49-F238E27FC236}">
                    <a16:creationId xmlns:a16="http://schemas.microsoft.com/office/drawing/2014/main" id="{00000000-0008-0000-0200-000098010000}"/>
                  </a:ext>
                </a:extLst>
              </xdr:cNvPr>
              <xdr:cNvCxnSpPr/>
            </xdr:nvCxnSpPr>
            <xdr:spPr>
              <a:xfrm flipH="1">
                <a:off x="10595892" y="12507888"/>
                <a:ext cx="243009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377" name="Group 376">
            <a:extLst>
              <a:ext uri="{FF2B5EF4-FFF2-40B4-BE49-F238E27FC236}">
                <a16:creationId xmlns:a16="http://schemas.microsoft.com/office/drawing/2014/main" id="{00000000-0008-0000-0200-000079010000}"/>
              </a:ext>
            </a:extLst>
          </xdr:cNvPr>
          <xdr:cNvGrpSpPr/>
        </xdr:nvGrpSpPr>
        <xdr:grpSpPr>
          <a:xfrm>
            <a:off x="5680937" y="10292683"/>
            <a:ext cx="416050" cy="2776967"/>
            <a:chOff x="5019040" y="10885171"/>
            <a:chExt cx="416050" cy="2786437"/>
          </a:xfrm>
        </xdr:grpSpPr>
        <xdr:grpSp>
          <xdr:nvGrpSpPr>
            <xdr:cNvPr id="378" name="Group 377">
              <a:extLst>
                <a:ext uri="{FF2B5EF4-FFF2-40B4-BE49-F238E27FC236}">
                  <a16:creationId xmlns:a16="http://schemas.microsoft.com/office/drawing/2014/main" id="{00000000-0008-0000-0200-00007A010000}"/>
                </a:ext>
              </a:extLst>
            </xdr:cNvPr>
            <xdr:cNvGrpSpPr/>
          </xdr:nvGrpSpPr>
          <xdr:grpSpPr>
            <a:xfrm>
              <a:off x="5019040" y="10885171"/>
              <a:ext cx="231140" cy="2786437"/>
              <a:chOff x="5588000" y="11068050"/>
              <a:chExt cx="231140" cy="2786201"/>
            </a:xfrm>
          </xdr:grpSpPr>
          <xdr:cxnSp macro="">
            <xdr:nvCxnSpPr>
              <xdr:cNvPr id="401" name="Straight Connector 400">
                <a:extLst>
                  <a:ext uri="{FF2B5EF4-FFF2-40B4-BE49-F238E27FC236}">
                    <a16:creationId xmlns:a16="http://schemas.microsoft.com/office/drawing/2014/main" id="{00000000-0008-0000-0200-000091010000}"/>
                  </a:ext>
                </a:extLst>
              </xdr:cNvPr>
              <xdr:cNvCxnSpPr/>
            </xdr:nvCxnSpPr>
            <xdr:spPr>
              <a:xfrm>
                <a:off x="5819140" y="11068050"/>
                <a:ext cx="0" cy="23495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2" name="Straight Connector 401">
                <a:extLst>
                  <a:ext uri="{FF2B5EF4-FFF2-40B4-BE49-F238E27FC236}">
                    <a16:creationId xmlns:a16="http://schemas.microsoft.com/office/drawing/2014/main" id="{00000000-0008-0000-0200-000092010000}"/>
                  </a:ext>
                </a:extLst>
              </xdr:cNvPr>
              <xdr:cNvCxnSpPr/>
            </xdr:nvCxnSpPr>
            <xdr:spPr>
              <a:xfrm>
                <a:off x="5588000" y="11068050"/>
                <a:ext cx="0" cy="2786201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379" name="Group 378">
              <a:extLst>
                <a:ext uri="{FF2B5EF4-FFF2-40B4-BE49-F238E27FC236}">
                  <a16:creationId xmlns:a16="http://schemas.microsoft.com/office/drawing/2014/main" id="{00000000-0008-0000-0200-00007B010000}"/>
                </a:ext>
              </a:extLst>
            </xdr:cNvPr>
            <xdr:cNvGrpSpPr/>
          </xdr:nvGrpSpPr>
          <xdr:grpSpPr>
            <a:xfrm>
              <a:off x="5019264" y="11115018"/>
              <a:ext cx="415826" cy="2555148"/>
              <a:chOff x="10595892" y="9956800"/>
              <a:chExt cx="417033" cy="2554921"/>
            </a:xfrm>
          </xdr:grpSpPr>
          <xdr:grpSp>
            <xdr:nvGrpSpPr>
              <xdr:cNvPr id="380" name="Group 379">
                <a:extLst>
                  <a:ext uri="{FF2B5EF4-FFF2-40B4-BE49-F238E27FC236}">
                    <a16:creationId xmlns:a16="http://schemas.microsoft.com/office/drawing/2014/main" id="{00000000-0008-0000-0200-00007C010000}"/>
                  </a:ext>
                </a:extLst>
              </xdr:cNvPr>
              <xdr:cNvGrpSpPr/>
            </xdr:nvGrpSpPr>
            <xdr:grpSpPr>
              <a:xfrm>
                <a:off x="10668000" y="9956800"/>
                <a:ext cx="344925" cy="2398528"/>
                <a:chOff x="10668000" y="9956800"/>
                <a:chExt cx="344925" cy="2398528"/>
              </a:xfrm>
            </xdr:grpSpPr>
            <xdr:grpSp>
              <xdr:nvGrpSpPr>
                <xdr:cNvPr id="384" name="Group 383">
                  <a:extLst>
                    <a:ext uri="{FF2B5EF4-FFF2-40B4-BE49-F238E27FC236}">
                      <a16:creationId xmlns:a16="http://schemas.microsoft.com/office/drawing/2014/main" id="{00000000-0008-0000-0200-000080010000}"/>
                    </a:ext>
                  </a:extLst>
                </xdr:cNvPr>
                <xdr:cNvGrpSpPr/>
              </xdr:nvGrpSpPr>
              <xdr:grpSpPr>
                <a:xfrm>
                  <a:off x="10668000" y="9956800"/>
                  <a:ext cx="344925" cy="2398528"/>
                  <a:chOff x="10668000" y="9956800"/>
                  <a:chExt cx="344925" cy="2398528"/>
                </a:xfrm>
              </xdr:grpSpPr>
              <xdr:grpSp>
                <xdr:nvGrpSpPr>
                  <xdr:cNvPr id="389" name="Group 388">
                    <a:extLst>
                      <a:ext uri="{FF2B5EF4-FFF2-40B4-BE49-F238E27FC236}">
                        <a16:creationId xmlns:a16="http://schemas.microsoft.com/office/drawing/2014/main" id="{00000000-0008-0000-0200-000085010000}"/>
                      </a:ext>
                    </a:extLst>
                  </xdr:cNvPr>
                  <xdr:cNvGrpSpPr/>
                </xdr:nvGrpSpPr>
                <xdr:grpSpPr>
                  <a:xfrm>
                    <a:off x="10668000" y="11805920"/>
                    <a:ext cx="344925" cy="549408"/>
                    <a:chOff x="10668000" y="11785600"/>
                    <a:chExt cx="344925" cy="549408"/>
                  </a:xfrm>
                </xdr:grpSpPr>
                <xdr:sp macro="" textlink="">
                  <xdr:nvSpPr>
                    <xdr:cNvPr id="398" name="Shape 46">
                      <a:extLst>
                        <a:ext uri="{FF2B5EF4-FFF2-40B4-BE49-F238E27FC236}">
                          <a16:creationId xmlns:a16="http://schemas.microsoft.com/office/drawing/2014/main" id="{00000000-0008-0000-0200-00008E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672742" y="11785600"/>
                      <a:ext cx="172396" cy="19827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99" name="Rectangle 398">
                      <a:extLst>
                        <a:ext uri="{FF2B5EF4-FFF2-40B4-BE49-F238E27FC236}">
                          <a16:creationId xmlns:a16="http://schemas.microsoft.com/office/drawing/2014/main" id="{00000000-0008-0000-0200-00008F010000}"/>
                        </a:ext>
                      </a:extLst>
                    </xdr:cNvPr>
                    <xdr:cNvSpPr/>
                  </xdr:nvSpPr>
                  <xdr:spPr>
                    <a:xfrm>
                      <a:off x="10668000" y="11787709"/>
                      <a:ext cx="343934" cy="547299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400" name="Shape 46">
                      <a:extLst>
                        <a:ext uri="{FF2B5EF4-FFF2-40B4-BE49-F238E27FC236}">
                          <a16:creationId xmlns:a16="http://schemas.microsoft.com/office/drawing/2014/main" id="{00000000-0008-0000-0200-000090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828139" y="11797246"/>
                      <a:ext cx="188989" cy="180583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390" name="Group 389">
                    <a:extLst>
                      <a:ext uri="{FF2B5EF4-FFF2-40B4-BE49-F238E27FC236}">
                        <a16:creationId xmlns:a16="http://schemas.microsoft.com/office/drawing/2014/main" id="{00000000-0008-0000-0200-000086010000}"/>
                      </a:ext>
                    </a:extLst>
                  </xdr:cNvPr>
                  <xdr:cNvGrpSpPr/>
                </xdr:nvGrpSpPr>
                <xdr:grpSpPr>
                  <a:xfrm>
                    <a:off x="10668000" y="11093952"/>
                    <a:ext cx="344925" cy="549408"/>
                    <a:chOff x="10668000" y="11785600"/>
                    <a:chExt cx="344925" cy="549408"/>
                  </a:xfrm>
                </xdr:grpSpPr>
                <xdr:sp macro="" textlink="">
                  <xdr:nvSpPr>
                    <xdr:cNvPr id="395" name="Shape 46">
                      <a:extLst>
                        <a:ext uri="{FF2B5EF4-FFF2-40B4-BE49-F238E27FC236}">
                          <a16:creationId xmlns:a16="http://schemas.microsoft.com/office/drawing/2014/main" id="{00000000-0008-0000-0200-00008B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672742" y="11785600"/>
                      <a:ext cx="172396" cy="19827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96" name="Rectangle 395">
                      <a:extLst>
                        <a:ext uri="{FF2B5EF4-FFF2-40B4-BE49-F238E27FC236}">
                          <a16:creationId xmlns:a16="http://schemas.microsoft.com/office/drawing/2014/main" id="{00000000-0008-0000-0200-00008C010000}"/>
                        </a:ext>
                      </a:extLst>
                    </xdr:cNvPr>
                    <xdr:cNvSpPr/>
                  </xdr:nvSpPr>
                  <xdr:spPr>
                    <a:xfrm>
                      <a:off x="10668000" y="11787709"/>
                      <a:ext cx="343934" cy="547299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397" name="Shape 46">
                      <a:extLst>
                        <a:ext uri="{FF2B5EF4-FFF2-40B4-BE49-F238E27FC236}">
                          <a16:creationId xmlns:a16="http://schemas.microsoft.com/office/drawing/2014/main" id="{00000000-0008-0000-0200-00008D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828139" y="11797246"/>
                      <a:ext cx="188989" cy="180583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391" name="Group 390">
                    <a:extLst>
                      <a:ext uri="{FF2B5EF4-FFF2-40B4-BE49-F238E27FC236}">
                        <a16:creationId xmlns:a16="http://schemas.microsoft.com/office/drawing/2014/main" id="{00000000-0008-0000-0200-000087010000}"/>
                      </a:ext>
                    </a:extLst>
                  </xdr:cNvPr>
                  <xdr:cNvGrpSpPr/>
                </xdr:nvGrpSpPr>
                <xdr:grpSpPr>
                  <a:xfrm>
                    <a:off x="10668000" y="9956800"/>
                    <a:ext cx="344925" cy="549408"/>
                    <a:chOff x="10668000" y="11785600"/>
                    <a:chExt cx="344925" cy="549408"/>
                  </a:xfrm>
                </xdr:grpSpPr>
                <xdr:sp macro="" textlink="">
                  <xdr:nvSpPr>
                    <xdr:cNvPr id="392" name="Shape 46">
                      <a:extLst>
                        <a:ext uri="{FF2B5EF4-FFF2-40B4-BE49-F238E27FC236}">
                          <a16:creationId xmlns:a16="http://schemas.microsoft.com/office/drawing/2014/main" id="{00000000-0008-0000-0200-000088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672742" y="11785600"/>
                      <a:ext cx="172396" cy="19827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93" name="Rectangle 392">
                      <a:extLst>
                        <a:ext uri="{FF2B5EF4-FFF2-40B4-BE49-F238E27FC236}">
                          <a16:creationId xmlns:a16="http://schemas.microsoft.com/office/drawing/2014/main" id="{00000000-0008-0000-0200-000089010000}"/>
                        </a:ext>
                      </a:extLst>
                    </xdr:cNvPr>
                    <xdr:cNvSpPr/>
                  </xdr:nvSpPr>
                  <xdr:spPr>
                    <a:xfrm>
                      <a:off x="10668000" y="11787709"/>
                      <a:ext cx="343934" cy="547299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394" name="Shape 46">
                      <a:extLst>
                        <a:ext uri="{FF2B5EF4-FFF2-40B4-BE49-F238E27FC236}">
                          <a16:creationId xmlns:a16="http://schemas.microsoft.com/office/drawing/2014/main" id="{00000000-0008-0000-0200-00008A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828139" y="11797246"/>
                      <a:ext cx="188989" cy="180583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</xdr:grpSp>
            <xdr:grpSp>
              <xdr:nvGrpSpPr>
                <xdr:cNvPr id="385" name="Group 384">
                  <a:extLst>
                    <a:ext uri="{FF2B5EF4-FFF2-40B4-BE49-F238E27FC236}">
                      <a16:creationId xmlns:a16="http://schemas.microsoft.com/office/drawing/2014/main" id="{00000000-0008-0000-0200-000081010000}"/>
                    </a:ext>
                  </a:extLst>
                </xdr:cNvPr>
                <xdr:cNvGrpSpPr/>
              </xdr:nvGrpSpPr>
              <xdr:grpSpPr>
                <a:xfrm rot="5400000">
                  <a:off x="10660176" y="10764341"/>
                  <a:ext cx="332304" cy="78278"/>
                  <a:chOff x="10671398" y="12807563"/>
                  <a:chExt cx="332304" cy="78278"/>
                </a:xfrm>
              </xdr:grpSpPr>
              <xdr:sp macro="" textlink="">
                <xdr:nvSpPr>
                  <xdr:cNvPr id="386" name="Shape 27">
                    <a:extLst>
                      <a:ext uri="{FF2B5EF4-FFF2-40B4-BE49-F238E27FC236}">
                        <a16:creationId xmlns:a16="http://schemas.microsoft.com/office/drawing/2014/main" id="{00000000-0008-0000-0200-000082010000}"/>
                      </a:ext>
                    </a:extLst>
                  </xdr:cNvPr>
                  <xdr:cNvSpPr/>
                </xdr:nvSpPr>
                <xdr:spPr>
                  <a:xfrm>
                    <a:off x="10796334" y="12808921"/>
                    <a:ext cx="72720" cy="69732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87" name="Shape 27">
                    <a:extLst>
                      <a:ext uri="{FF2B5EF4-FFF2-40B4-BE49-F238E27FC236}">
                        <a16:creationId xmlns:a16="http://schemas.microsoft.com/office/drawing/2014/main" id="{00000000-0008-0000-0200-000083010000}"/>
                      </a:ext>
                    </a:extLst>
                  </xdr:cNvPr>
                  <xdr:cNvSpPr/>
                </xdr:nvSpPr>
                <xdr:spPr>
                  <a:xfrm>
                    <a:off x="10935738" y="12809136"/>
                    <a:ext cx="67964" cy="76705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88" name="Shape 27">
                    <a:extLst>
                      <a:ext uri="{FF2B5EF4-FFF2-40B4-BE49-F238E27FC236}">
                        <a16:creationId xmlns:a16="http://schemas.microsoft.com/office/drawing/2014/main" id="{00000000-0008-0000-0200-000084010000}"/>
                      </a:ext>
                    </a:extLst>
                  </xdr:cNvPr>
                  <xdr:cNvSpPr/>
                </xdr:nvSpPr>
                <xdr:spPr>
                  <a:xfrm>
                    <a:off x="10671398" y="12807563"/>
                    <a:ext cx="67964" cy="76705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</xdr:grpSp>
          <xdr:cxnSp macro="">
            <xdr:nvCxnSpPr>
              <xdr:cNvPr id="381" name="Straight Connector 380">
                <a:extLst>
                  <a:ext uri="{FF2B5EF4-FFF2-40B4-BE49-F238E27FC236}">
                    <a16:creationId xmlns:a16="http://schemas.microsoft.com/office/drawing/2014/main" id="{00000000-0008-0000-0200-00007D010000}"/>
                  </a:ext>
                </a:extLst>
              </xdr:cNvPr>
              <xdr:cNvCxnSpPr/>
            </xdr:nvCxnSpPr>
            <xdr:spPr>
              <a:xfrm>
                <a:off x="10840720" y="11639603"/>
                <a:ext cx="0" cy="15894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2" name="Straight Connector 381">
                <a:extLst>
                  <a:ext uri="{FF2B5EF4-FFF2-40B4-BE49-F238E27FC236}">
                    <a16:creationId xmlns:a16="http://schemas.microsoft.com/office/drawing/2014/main" id="{00000000-0008-0000-0200-00007E010000}"/>
                  </a:ext>
                </a:extLst>
              </xdr:cNvPr>
              <xdr:cNvCxnSpPr/>
            </xdr:nvCxnSpPr>
            <xdr:spPr>
              <a:xfrm>
                <a:off x="10840720" y="12352775"/>
                <a:ext cx="0" cy="15894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3" name="Straight Connector 382">
                <a:extLst>
                  <a:ext uri="{FF2B5EF4-FFF2-40B4-BE49-F238E27FC236}">
                    <a16:creationId xmlns:a16="http://schemas.microsoft.com/office/drawing/2014/main" id="{00000000-0008-0000-0200-00007F010000}"/>
                  </a:ext>
                </a:extLst>
              </xdr:cNvPr>
              <xdr:cNvCxnSpPr/>
            </xdr:nvCxnSpPr>
            <xdr:spPr>
              <a:xfrm flipH="1">
                <a:off x="10595892" y="12507888"/>
                <a:ext cx="243009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</xdr:grpSp>
    <xdr:clientData/>
  </xdr:twoCellAnchor>
  <xdr:twoCellAnchor>
    <xdr:from>
      <xdr:col>3</xdr:col>
      <xdr:colOff>23477</xdr:colOff>
      <xdr:row>14</xdr:row>
      <xdr:rowOff>142083</xdr:rowOff>
    </xdr:from>
    <xdr:to>
      <xdr:col>9</xdr:col>
      <xdr:colOff>76412</xdr:colOff>
      <xdr:row>19</xdr:row>
      <xdr:rowOff>14668</xdr:rowOff>
    </xdr:to>
    <xdr:sp macro="" textlink="">
      <xdr:nvSpPr>
        <xdr:cNvPr id="474" name="TextBox 473">
          <a:extLst>
            <a:ext uri="{FF2B5EF4-FFF2-40B4-BE49-F238E27FC236}">
              <a16:creationId xmlns:a16="http://schemas.microsoft.com/office/drawing/2014/main" id="{00000000-0008-0000-0200-0000DA010000}"/>
            </a:ext>
          </a:extLst>
        </xdr:cNvPr>
        <xdr:cNvSpPr txBox="1"/>
      </xdr:nvSpPr>
      <xdr:spPr>
        <a:xfrm>
          <a:off x="791880" y="2980907"/>
          <a:ext cx="1589742" cy="886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Main Switch</a:t>
          </a:r>
        </a:p>
        <a:p>
          <a:pPr algn="l"/>
          <a:r>
            <a:rPr lang="en-GB" sz="1200"/>
            <a:t>Grid</a:t>
          </a:r>
          <a:r>
            <a:rPr lang="en-GB" sz="1200" baseline="0"/>
            <a:t> supply</a:t>
          </a:r>
          <a:endParaRPr lang="en-GB" sz="1200"/>
        </a:p>
      </xdr:txBody>
    </xdr:sp>
    <xdr:clientData/>
  </xdr:twoCellAnchor>
  <xdr:twoCellAnchor>
    <xdr:from>
      <xdr:col>28</xdr:col>
      <xdr:colOff>154012</xdr:colOff>
      <xdr:row>50</xdr:row>
      <xdr:rowOff>68499</xdr:rowOff>
    </xdr:from>
    <xdr:to>
      <xdr:col>29</xdr:col>
      <xdr:colOff>137947</xdr:colOff>
      <xdr:row>54</xdr:row>
      <xdr:rowOff>25717</xdr:rowOff>
    </xdr:to>
    <xdr:sp macro="" textlink="">
      <xdr:nvSpPr>
        <xdr:cNvPr id="492" name="Rectangl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/>
      </xdr:nvSpPr>
      <xdr:spPr>
        <a:xfrm rot="16200000">
          <a:off x="6487647" y="10606949"/>
          <a:ext cx="778665" cy="237935"/>
        </a:xfrm>
        <a:prstGeom prst="rect">
          <a:avLst/>
        </a:prstGeom>
        <a:noFill/>
        <a:ln w="6350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26</xdr:col>
      <xdr:colOff>166634</xdr:colOff>
      <xdr:row>48</xdr:row>
      <xdr:rowOff>82652</xdr:rowOff>
    </xdr:from>
    <xdr:to>
      <xdr:col>29</xdr:col>
      <xdr:colOff>105425</xdr:colOff>
      <xdr:row>52</xdr:row>
      <xdr:rowOff>21727</xdr:rowOff>
    </xdr:to>
    <xdr:sp macro="" textlink="">
      <xdr:nvSpPr>
        <xdr:cNvPr id="493" name="TextBox 492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 txBox="1"/>
      </xdr:nvSpPr>
      <xdr:spPr>
        <a:xfrm rot="16200000">
          <a:off x="6232769" y="9969879"/>
          <a:ext cx="760522" cy="70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MPPT</a:t>
          </a:r>
        </a:p>
      </xdr:txBody>
    </xdr:sp>
    <xdr:clientData/>
  </xdr:twoCellAnchor>
  <xdr:twoCellAnchor>
    <xdr:from>
      <xdr:col>27</xdr:col>
      <xdr:colOff>195697</xdr:colOff>
      <xdr:row>46</xdr:row>
      <xdr:rowOff>138890</xdr:rowOff>
    </xdr:from>
    <xdr:to>
      <xdr:col>30</xdr:col>
      <xdr:colOff>81746</xdr:colOff>
      <xdr:row>53</xdr:row>
      <xdr:rowOff>119840</xdr:rowOff>
    </xdr:to>
    <xdr:sp macro="" textlink="">
      <xdr:nvSpPr>
        <xdr:cNvPr id="494" name="TextBox 493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 txBox="1"/>
      </xdr:nvSpPr>
      <xdr:spPr>
        <a:xfrm rot="16200000">
          <a:off x="6844611" y="9797931"/>
          <a:ext cx="1395268" cy="665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B                         A</a:t>
          </a:r>
        </a:p>
      </xdr:txBody>
    </xdr:sp>
    <xdr:clientData/>
  </xdr:twoCellAnchor>
  <xdr:twoCellAnchor>
    <xdr:from>
      <xdr:col>7</xdr:col>
      <xdr:colOff>175286</xdr:colOff>
      <xdr:row>26</xdr:row>
      <xdr:rowOff>78825</xdr:rowOff>
    </xdr:from>
    <xdr:to>
      <xdr:col>8</xdr:col>
      <xdr:colOff>152159</xdr:colOff>
      <xdr:row>27</xdr:row>
      <xdr:rowOff>81124</xdr:rowOff>
    </xdr:to>
    <xdr:sp macro="" textlink="">
      <xdr:nvSpPr>
        <xdr:cNvPr id="495" name="Shape 26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/>
      </xdr:nvSpPr>
      <xdr:spPr>
        <a:xfrm flipH="1">
          <a:off x="1972201" y="5347974"/>
          <a:ext cx="233575" cy="204959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22</xdr:col>
      <xdr:colOff>140511</xdr:colOff>
      <xdr:row>58</xdr:row>
      <xdr:rowOff>101601</xdr:rowOff>
    </xdr:from>
    <xdr:to>
      <xdr:col>27</xdr:col>
      <xdr:colOff>110067</xdr:colOff>
      <xdr:row>62</xdr:row>
      <xdr:rowOff>21619</xdr:rowOff>
    </xdr:to>
    <xdr:sp macro="" textlink="">
      <xdr:nvSpPr>
        <xdr:cNvPr id="496" name="Rectangl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/>
      </xdr:nvSpPr>
      <xdr:spPr>
        <a:xfrm>
          <a:off x="5220511" y="11887201"/>
          <a:ext cx="1239556" cy="732818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23</xdr:col>
      <xdr:colOff>204926</xdr:colOff>
      <xdr:row>59</xdr:row>
      <xdr:rowOff>143386</xdr:rowOff>
    </xdr:from>
    <xdr:to>
      <xdr:col>25</xdr:col>
      <xdr:colOff>183744</xdr:colOff>
      <xdr:row>61</xdr:row>
      <xdr:rowOff>121990</xdr:rowOff>
    </xdr:to>
    <xdr:sp macro="" textlink="">
      <xdr:nvSpPr>
        <xdr:cNvPr id="497" name="Rectangle 496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SpPr/>
      </xdr:nvSpPr>
      <xdr:spPr>
        <a:xfrm>
          <a:off x="5538926" y="12259726"/>
          <a:ext cx="486818" cy="389328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24</xdr:col>
      <xdr:colOff>58841</xdr:colOff>
      <xdr:row>59</xdr:row>
      <xdr:rowOff>21227</xdr:rowOff>
    </xdr:from>
    <xdr:to>
      <xdr:col>24</xdr:col>
      <xdr:colOff>159024</xdr:colOff>
      <xdr:row>59</xdr:row>
      <xdr:rowOff>140339</xdr:rowOff>
    </xdr:to>
    <xdr:sp macro="" textlink="">
      <xdr:nvSpPr>
        <xdr:cNvPr id="498" name="Rectangle 497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/>
      </xdr:nvSpPr>
      <xdr:spPr>
        <a:xfrm>
          <a:off x="5646841" y="12137567"/>
          <a:ext cx="100183" cy="119112"/>
        </a:xfrm>
        <a:prstGeom prst="rect">
          <a:avLst/>
        </a:prstGeom>
        <a:solidFill>
          <a:schemeClr val="tx1"/>
        </a:solidFill>
        <a:ln w="63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24</xdr:col>
      <xdr:colOff>250985</xdr:colOff>
      <xdr:row>59</xdr:row>
      <xdr:rowOff>15027</xdr:rowOff>
    </xdr:from>
    <xdr:to>
      <xdr:col>25</xdr:col>
      <xdr:colOff>91912</xdr:colOff>
      <xdr:row>59</xdr:row>
      <xdr:rowOff>134139</xdr:rowOff>
    </xdr:to>
    <xdr:sp macro="" textlink="">
      <xdr:nvSpPr>
        <xdr:cNvPr id="499" name="Rectangle 498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/>
      </xdr:nvSpPr>
      <xdr:spPr>
        <a:xfrm>
          <a:off x="5838985" y="12131367"/>
          <a:ext cx="94927" cy="119112"/>
        </a:xfrm>
        <a:prstGeom prst="rect">
          <a:avLst/>
        </a:prstGeom>
        <a:solidFill>
          <a:schemeClr val="tx1"/>
        </a:solidFill>
        <a:ln w="63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20</xdr:col>
      <xdr:colOff>245080</xdr:colOff>
      <xdr:row>43</xdr:row>
      <xdr:rowOff>99069</xdr:rowOff>
    </xdr:from>
    <xdr:to>
      <xdr:col>31</xdr:col>
      <xdr:colOff>129886</xdr:colOff>
      <xdr:row>45</xdr:row>
      <xdr:rowOff>43296</xdr:rowOff>
    </xdr:to>
    <xdr:sp macro="" textlink="">
      <xdr:nvSpPr>
        <xdr:cNvPr id="520" name="TextBox 519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SpPr txBox="1"/>
      </xdr:nvSpPr>
      <xdr:spPr>
        <a:xfrm>
          <a:off x="5440535" y="8787024"/>
          <a:ext cx="2742306" cy="3483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/>
            <a:t>Sonnen hybrid 9.53,  4.6kW</a:t>
          </a:r>
        </a:p>
      </xdr:txBody>
    </xdr:sp>
    <xdr:clientData/>
  </xdr:twoCellAnchor>
  <xdr:twoCellAnchor>
    <xdr:from>
      <xdr:col>6</xdr:col>
      <xdr:colOff>99619</xdr:colOff>
      <xdr:row>25</xdr:row>
      <xdr:rowOff>151335</xdr:rowOff>
    </xdr:from>
    <xdr:to>
      <xdr:col>24</xdr:col>
      <xdr:colOff>33867</xdr:colOff>
      <xdr:row>25</xdr:row>
      <xdr:rowOff>151335</xdr:rowOff>
    </xdr:to>
    <xdr:cxnSp macro="">
      <xdr:nvCxnSpPr>
        <xdr:cNvPr id="468" name="AcBus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CxnSpPr/>
      </xdr:nvCxnSpPr>
      <xdr:spPr>
        <a:xfrm>
          <a:off x="1623619" y="5231335"/>
          <a:ext cx="4506248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192756</xdr:colOff>
      <xdr:row>25</xdr:row>
      <xdr:rowOff>169742</xdr:rowOff>
    </xdr:from>
    <xdr:to>
      <xdr:col>19</xdr:col>
      <xdr:colOff>192756</xdr:colOff>
      <xdr:row>27</xdr:row>
      <xdr:rowOff>181813</xdr:rowOff>
    </xdr:to>
    <xdr:sp macro="" textlink="">
      <xdr:nvSpPr>
        <xdr:cNvPr id="473" name="Shape 18">
          <a:extLst>
            <a:ext uri="{FF2B5EF4-FFF2-40B4-BE49-F238E27FC236}">
              <a16:creationId xmlns:a16="http://schemas.microsoft.com/office/drawing/2014/main" id="{00000000-0008-0000-0200-0000D9010000}"/>
            </a:ext>
          </a:extLst>
        </xdr:cNvPr>
        <xdr:cNvSpPr/>
      </xdr:nvSpPr>
      <xdr:spPr>
        <a:xfrm>
          <a:off x="5070096" y="5236231"/>
          <a:ext cx="0" cy="417391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7</xdr:col>
      <xdr:colOff>233227</xdr:colOff>
      <xdr:row>28</xdr:row>
      <xdr:rowOff>199776</xdr:rowOff>
    </xdr:from>
    <xdr:to>
      <xdr:col>8</xdr:col>
      <xdr:colOff>248451</xdr:colOff>
      <xdr:row>32</xdr:row>
      <xdr:rowOff>17055</xdr:rowOff>
    </xdr:to>
    <xdr:grpSp>
      <xdr:nvGrpSpPr>
        <xdr:cNvPr id="526" name="Group 525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GrpSpPr/>
      </xdr:nvGrpSpPr>
      <xdr:grpSpPr>
        <a:xfrm>
          <a:off x="2011227" y="5889376"/>
          <a:ext cx="269224" cy="630079"/>
          <a:chOff x="3291679" y="5440218"/>
          <a:chExt cx="275787" cy="639287"/>
        </a:xfrm>
      </xdr:grpSpPr>
      <xdr:grpSp>
        <xdr:nvGrpSpPr>
          <xdr:cNvPr id="527" name="Group 526">
            <a:extLst>
              <a:ext uri="{FF2B5EF4-FFF2-40B4-BE49-F238E27FC236}">
                <a16:creationId xmlns:a16="http://schemas.microsoft.com/office/drawing/2014/main" id="{00000000-0008-0000-0200-00000F02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529" name="Shape 27">
              <a:extLst>
                <a:ext uri="{FF2B5EF4-FFF2-40B4-BE49-F238E27FC236}">
                  <a16:creationId xmlns:a16="http://schemas.microsoft.com/office/drawing/2014/main" id="{00000000-0008-0000-0200-00001102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30" name="Shape 27">
              <a:extLst>
                <a:ext uri="{FF2B5EF4-FFF2-40B4-BE49-F238E27FC236}">
                  <a16:creationId xmlns:a16="http://schemas.microsoft.com/office/drawing/2014/main" id="{00000000-0008-0000-0200-00001202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31" name="Shape 26">
              <a:extLst>
                <a:ext uri="{FF2B5EF4-FFF2-40B4-BE49-F238E27FC236}">
                  <a16:creationId xmlns:a16="http://schemas.microsoft.com/office/drawing/2014/main" id="{00000000-0008-0000-0200-00001302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528" name="Straight Connector 527">
            <a:extLst>
              <a:ext uri="{FF2B5EF4-FFF2-40B4-BE49-F238E27FC236}">
                <a16:creationId xmlns:a16="http://schemas.microsoft.com/office/drawing/2014/main" id="{00000000-0008-0000-0200-00001002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24684</xdr:colOff>
      <xdr:row>25</xdr:row>
      <xdr:rowOff>177310</xdr:rowOff>
    </xdr:from>
    <xdr:to>
      <xdr:col>8</xdr:col>
      <xdr:colOff>24684</xdr:colOff>
      <xdr:row>28</xdr:row>
      <xdr:rowOff>183206</xdr:rowOff>
    </xdr:to>
    <xdr:sp macro="" textlink="">
      <xdr:nvSpPr>
        <xdr:cNvPr id="535" name="Shape 18">
          <a:extLst>
            <a:ext uri="{FF2B5EF4-FFF2-40B4-BE49-F238E27FC236}">
              <a16:creationId xmlns:a16="http://schemas.microsoft.com/office/drawing/2014/main" id="{00000000-0008-0000-0200-000017020000}"/>
            </a:ext>
          </a:extLst>
        </xdr:cNvPr>
        <xdr:cNvSpPr/>
      </xdr:nvSpPr>
      <xdr:spPr>
        <a:xfrm>
          <a:off x="2078301" y="5243799"/>
          <a:ext cx="0" cy="613875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/>
        <a:lstStyle/>
        <a:p>
          <a:pPr lvl="0"/>
          <a:endParaRPr/>
        </a:p>
      </xdr:txBody>
    </xdr:sp>
    <xdr:clientData/>
  </xdr:twoCellAnchor>
  <xdr:twoCellAnchor>
    <xdr:from>
      <xdr:col>22</xdr:col>
      <xdr:colOff>148974</xdr:colOff>
      <xdr:row>46</xdr:row>
      <xdr:rowOff>10807</xdr:rowOff>
    </xdr:from>
    <xdr:to>
      <xdr:col>27</xdr:col>
      <xdr:colOff>118894</xdr:colOff>
      <xdr:row>54</xdr:row>
      <xdr:rowOff>21617</xdr:rowOff>
    </xdr:to>
    <xdr:grpSp>
      <xdr:nvGrpSpPr>
        <xdr:cNvPr id="32774" name="Group 32773">
          <a:extLst>
            <a:ext uri="{FF2B5EF4-FFF2-40B4-BE49-F238E27FC236}">
              <a16:creationId xmlns:a16="http://schemas.microsoft.com/office/drawing/2014/main" id="{00000000-0008-0000-0200-000006800000}"/>
            </a:ext>
          </a:extLst>
        </xdr:cNvPr>
        <xdr:cNvGrpSpPr/>
      </xdr:nvGrpSpPr>
      <xdr:grpSpPr>
        <a:xfrm>
          <a:off x="5736974" y="9358007"/>
          <a:ext cx="1239920" cy="1636410"/>
          <a:chOff x="4201342" y="9821803"/>
          <a:chExt cx="1101636" cy="1249495"/>
        </a:xfrm>
      </xdr:grpSpPr>
      <xdr:sp macro="" textlink="">
        <xdr:nvSpPr>
          <xdr:cNvPr id="538" name="Shape 5">
            <a:extLst>
              <a:ext uri="{FF2B5EF4-FFF2-40B4-BE49-F238E27FC236}">
                <a16:creationId xmlns:a16="http://schemas.microsoft.com/office/drawing/2014/main" id="{00000000-0008-0000-0200-00001A020000}"/>
              </a:ext>
            </a:extLst>
          </xdr:cNvPr>
          <xdr:cNvSpPr/>
        </xdr:nvSpPr>
        <xdr:spPr>
          <a:xfrm flipH="1">
            <a:off x="4203666" y="9821803"/>
            <a:ext cx="1092935" cy="1248554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39" name="Shape 6">
            <a:extLst>
              <a:ext uri="{FF2B5EF4-FFF2-40B4-BE49-F238E27FC236}">
                <a16:creationId xmlns:a16="http://schemas.microsoft.com/office/drawing/2014/main" id="{00000000-0008-0000-0200-00001B020000}"/>
              </a:ext>
            </a:extLst>
          </xdr:cNvPr>
          <xdr:cNvSpPr/>
        </xdr:nvSpPr>
        <xdr:spPr>
          <a:xfrm>
            <a:off x="4967386" y="10867600"/>
            <a:ext cx="182437" cy="0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dash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40" name="Shape 7">
            <a:extLst>
              <a:ext uri="{FF2B5EF4-FFF2-40B4-BE49-F238E27FC236}">
                <a16:creationId xmlns:a16="http://schemas.microsoft.com/office/drawing/2014/main" id="{00000000-0008-0000-0200-00001C020000}"/>
              </a:ext>
            </a:extLst>
          </xdr:cNvPr>
          <xdr:cNvSpPr/>
        </xdr:nvSpPr>
        <xdr:spPr>
          <a:xfrm>
            <a:off x="4964258" y="10921383"/>
            <a:ext cx="204612" cy="0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41" name="Shape 8">
            <a:extLst>
              <a:ext uri="{FF2B5EF4-FFF2-40B4-BE49-F238E27FC236}">
                <a16:creationId xmlns:a16="http://schemas.microsoft.com/office/drawing/2014/main" id="{00000000-0008-0000-0200-00001D020000}"/>
              </a:ext>
            </a:extLst>
          </xdr:cNvPr>
          <xdr:cNvSpPr/>
        </xdr:nvSpPr>
        <xdr:spPr>
          <a:xfrm>
            <a:off x="4375000" y="9969918"/>
            <a:ext cx="164736" cy="8642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1600" extrusionOk="0">
                <a:moveTo>
                  <a:pt x="0" y="19200"/>
                </a:moveTo>
                <a:cubicBezTo>
                  <a:pt x="2057" y="9600"/>
                  <a:pt x="5143" y="0"/>
                  <a:pt x="7200" y="0"/>
                </a:cubicBezTo>
                <a:cubicBezTo>
                  <a:pt x="9257" y="0"/>
                  <a:pt x="12343" y="21600"/>
                  <a:pt x="14400" y="21600"/>
                </a:cubicBezTo>
                <a:cubicBezTo>
                  <a:pt x="16457" y="21600"/>
                  <a:pt x="20571" y="4800"/>
                  <a:pt x="21600" y="2400"/>
                </a:cubicBezTo>
              </a:path>
            </a:pathLst>
          </a:cu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42" name="Rectangle 541">
            <a:extLst>
              <a:ext uri="{FF2B5EF4-FFF2-40B4-BE49-F238E27FC236}">
                <a16:creationId xmlns:a16="http://schemas.microsoft.com/office/drawing/2014/main" id="{00000000-0008-0000-0200-00001E020000}"/>
              </a:ext>
            </a:extLst>
          </xdr:cNvPr>
          <xdr:cNvSpPr/>
        </xdr:nvSpPr>
        <xdr:spPr>
          <a:xfrm>
            <a:off x="4201342" y="9821947"/>
            <a:ext cx="1101636" cy="1249351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8</xdr:col>
      <xdr:colOff>30392</xdr:colOff>
      <xdr:row>50</xdr:row>
      <xdr:rowOff>174929</xdr:rowOff>
    </xdr:from>
    <xdr:to>
      <xdr:col>16</xdr:col>
      <xdr:colOff>115454</xdr:colOff>
      <xdr:row>50</xdr:row>
      <xdr:rowOff>174929</xdr:rowOff>
    </xdr:to>
    <xdr:cxnSp macro="">
      <xdr:nvCxnSpPr>
        <xdr:cNvPr id="546" name="Straight Connector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CxnSpPr/>
      </xdr:nvCxnSpPr>
      <xdr:spPr>
        <a:xfrm flipH="1">
          <a:off x="2108574" y="10277202"/>
          <a:ext cx="21632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26070</xdr:colOff>
      <xdr:row>55</xdr:row>
      <xdr:rowOff>117598</xdr:rowOff>
    </xdr:from>
    <xdr:to>
      <xdr:col>26</xdr:col>
      <xdr:colOff>44248</xdr:colOff>
      <xdr:row>57</xdr:row>
      <xdr:rowOff>25208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GrpSpPr/>
      </xdr:nvGrpSpPr>
      <xdr:grpSpPr>
        <a:xfrm rot="5400000">
          <a:off x="6228154" y="11187514"/>
          <a:ext cx="314010" cy="526178"/>
          <a:chOff x="8428183" y="2400242"/>
          <a:chExt cx="322065" cy="500842"/>
        </a:xfrm>
      </xdr:grpSpPr>
      <xdr:sp macro="" textlink="">
        <xdr:nvSpPr>
          <xdr:cNvPr id="550" name="Shape 9">
            <a:extLst>
              <a:ext uri="{FF2B5EF4-FFF2-40B4-BE49-F238E27FC236}">
                <a16:creationId xmlns:a16="http://schemas.microsoft.com/office/drawing/2014/main" id="{00000000-0008-0000-0200-000026020000}"/>
              </a:ext>
            </a:extLst>
          </xdr:cNvPr>
          <xdr:cNvSpPr/>
        </xdr:nvSpPr>
        <xdr:spPr>
          <a:xfrm>
            <a:off x="8428183" y="2612919"/>
            <a:ext cx="79265" cy="7926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solidFill>
            <a:schemeClr val="bg1"/>
          </a:solidFill>
          <a:ln w="6350" cap="flat">
            <a:solidFill>
              <a:schemeClr val="tx1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51" name="Shape 38">
            <a:extLst>
              <a:ext uri="{FF2B5EF4-FFF2-40B4-BE49-F238E27FC236}">
                <a16:creationId xmlns:a16="http://schemas.microsoft.com/office/drawing/2014/main" id="{00000000-0008-0000-0200-000027020000}"/>
              </a:ext>
            </a:extLst>
          </xdr:cNvPr>
          <xdr:cNvSpPr/>
        </xdr:nvSpPr>
        <xdr:spPr>
          <a:xfrm flipV="1">
            <a:off x="8567942" y="2400242"/>
            <a:ext cx="0" cy="324411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52" name="Shape 39">
            <a:extLst>
              <a:ext uri="{FF2B5EF4-FFF2-40B4-BE49-F238E27FC236}">
                <a16:creationId xmlns:a16="http://schemas.microsoft.com/office/drawing/2014/main" id="{00000000-0008-0000-0200-000028020000}"/>
              </a:ext>
            </a:extLst>
          </xdr:cNvPr>
          <xdr:cNvSpPr/>
        </xdr:nvSpPr>
        <xdr:spPr>
          <a:xfrm flipH="1">
            <a:off x="8519330" y="2400246"/>
            <a:ext cx="99510" cy="0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53" name="Shape 13">
            <a:extLst>
              <a:ext uri="{FF2B5EF4-FFF2-40B4-BE49-F238E27FC236}">
                <a16:creationId xmlns:a16="http://schemas.microsoft.com/office/drawing/2014/main" id="{00000000-0008-0000-0200-000029020000}"/>
              </a:ext>
            </a:extLst>
          </xdr:cNvPr>
          <xdr:cNvSpPr/>
        </xdr:nvSpPr>
        <xdr:spPr>
          <a:xfrm flipV="1">
            <a:off x="8467879" y="2454932"/>
            <a:ext cx="159630" cy="159630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54" name="Shape 37">
            <a:extLst>
              <a:ext uri="{FF2B5EF4-FFF2-40B4-BE49-F238E27FC236}">
                <a16:creationId xmlns:a16="http://schemas.microsoft.com/office/drawing/2014/main" id="{00000000-0008-0000-0200-00002A020000}"/>
              </a:ext>
            </a:extLst>
          </xdr:cNvPr>
          <xdr:cNvSpPr/>
        </xdr:nvSpPr>
        <xdr:spPr>
          <a:xfrm flipV="1">
            <a:off x="8470717" y="2673688"/>
            <a:ext cx="158580" cy="154246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55" name="Shape 9">
            <a:extLst>
              <a:ext uri="{FF2B5EF4-FFF2-40B4-BE49-F238E27FC236}">
                <a16:creationId xmlns:a16="http://schemas.microsoft.com/office/drawing/2014/main" id="{00000000-0008-0000-0200-00002B020000}"/>
              </a:ext>
            </a:extLst>
          </xdr:cNvPr>
          <xdr:cNvSpPr/>
        </xdr:nvSpPr>
        <xdr:spPr>
          <a:xfrm>
            <a:off x="8665660" y="2613400"/>
            <a:ext cx="84578" cy="84578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solidFill>
            <a:schemeClr val="bg1"/>
          </a:solidFill>
          <a:ln w="6350" cap="flat">
            <a:solidFill>
              <a:schemeClr val="tx1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56" name="Shape 9">
            <a:extLst>
              <a:ext uri="{FF2B5EF4-FFF2-40B4-BE49-F238E27FC236}">
                <a16:creationId xmlns:a16="http://schemas.microsoft.com/office/drawing/2014/main" id="{00000000-0008-0000-0200-00002C020000}"/>
              </a:ext>
            </a:extLst>
          </xdr:cNvPr>
          <xdr:cNvSpPr/>
        </xdr:nvSpPr>
        <xdr:spPr>
          <a:xfrm>
            <a:off x="8434742" y="2820012"/>
            <a:ext cx="81072" cy="81072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solidFill>
            <a:schemeClr val="bg1"/>
          </a:solidFill>
          <a:ln w="6350" cap="flat">
            <a:solidFill>
              <a:schemeClr val="tx1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57" name="Shape 9">
            <a:extLst>
              <a:ext uri="{FF2B5EF4-FFF2-40B4-BE49-F238E27FC236}">
                <a16:creationId xmlns:a16="http://schemas.microsoft.com/office/drawing/2014/main" id="{00000000-0008-0000-0200-00002D020000}"/>
              </a:ext>
            </a:extLst>
          </xdr:cNvPr>
          <xdr:cNvSpPr/>
        </xdr:nvSpPr>
        <xdr:spPr>
          <a:xfrm>
            <a:off x="8672220" y="2820493"/>
            <a:ext cx="78028" cy="78028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solidFill>
            <a:schemeClr val="bg1"/>
          </a:solidFill>
          <a:ln w="6350" cap="flat">
            <a:solidFill>
              <a:schemeClr val="tx1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23</xdr:col>
      <xdr:colOff>239345</xdr:colOff>
      <xdr:row>55</xdr:row>
      <xdr:rowOff>48846</xdr:rowOff>
    </xdr:from>
    <xdr:to>
      <xdr:col>26</xdr:col>
      <xdr:colOff>102576</xdr:colOff>
      <xdr:row>57</xdr:row>
      <xdr:rowOff>43963</xdr:rowOff>
    </xdr:to>
    <xdr:sp macro="" textlink="">
      <xdr:nvSpPr>
        <xdr:cNvPr id="558" name="Rectangl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5573345" y="11332308"/>
          <a:ext cx="625231" cy="405424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28</xdr:col>
      <xdr:colOff>151295</xdr:colOff>
      <xdr:row>46</xdr:row>
      <xdr:rowOff>13205</xdr:rowOff>
    </xdr:from>
    <xdr:to>
      <xdr:col>29</xdr:col>
      <xdr:colOff>137946</xdr:colOff>
      <xdr:row>50</xdr:row>
      <xdr:rowOff>68498</xdr:rowOff>
    </xdr:to>
    <xdr:sp macro="" textlink="">
      <xdr:nvSpPr>
        <xdr:cNvPr id="563" name="Rectangle 562">
          <a:extLst>
            <a:ext uri="{FF2B5EF4-FFF2-40B4-BE49-F238E27FC236}">
              <a16:creationId xmlns:a16="http://schemas.microsoft.com/office/drawing/2014/main" id="{00000000-0008-0000-0200-000033020000}"/>
            </a:ext>
          </a:extLst>
        </xdr:cNvPr>
        <xdr:cNvSpPr/>
      </xdr:nvSpPr>
      <xdr:spPr>
        <a:xfrm rot="16200000">
          <a:off x="6437251" y="9777887"/>
          <a:ext cx="876740" cy="240651"/>
        </a:xfrm>
        <a:prstGeom prst="rect">
          <a:avLst/>
        </a:prstGeom>
        <a:noFill/>
        <a:ln w="6350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27</xdr:col>
      <xdr:colOff>118897</xdr:colOff>
      <xdr:row>46</xdr:row>
      <xdr:rowOff>10491</xdr:rowOff>
    </xdr:from>
    <xdr:to>
      <xdr:col>28</xdr:col>
      <xdr:colOff>150646</xdr:colOff>
      <xdr:row>54</xdr:row>
      <xdr:rowOff>24048</xdr:rowOff>
    </xdr:to>
    <xdr:sp macro="" textlink="">
      <xdr:nvSpPr>
        <xdr:cNvPr id="564" name="Rectangle 563">
          <a:extLst>
            <a:ext uri="{FF2B5EF4-FFF2-40B4-BE49-F238E27FC236}">
              <a16:creationId xmlns:a16="http://schemas.microsoft.com/office/drawing/2014/main" id="{00000000-0008-0000-0200-000034020000}"/>
            </a:ext>
          </a:extLst>
        </xdr:cNvPr>
        <xdr:cNvSpPr/>
      </xdr:nvSpPr>
      <xdr:spPr>
        <a:xfrm rot="16200000">
          <a:off x="5783546" y="10142480"/>
          <a:ext cx="1656451" cy="285749"/>
        </a:xfrm>
        <a:prstGeom prst="rect">
          <a:avLst/>
        </a:prstGeom>
        <a:noFill/>
        <a:ln w="6350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8</xdr:col>
      <xdr:colOff>33525</xdr:colOff>
      <xdr:row>31</xdr:row>
      <xdr:rowOff>192083</xdr:rowOff>
    </xdr:from>
    <xdr:to>
      <xdr:col>8</xdr:col>
      <xdr:colOff>33525</xdr:colOff>
      <xdr:row>50</xdr:row>
      <xdr:rowOff>158750</xdr:rowOff>
    </xdr:to>
    <xdr:sp macro="" textlink="">
      <xdr:nvSpPr>
        <xdr:cNvPr id="565" name="Shape 18">
          <a:extLst>
            <a:ext uri="{FF2B5EF4-FFF2-40B4-BE49-F238E27FC236}">
              <a16:creationId xmlns:a16="http://schemas.microsoft.com/office/drawing/2014/main" id="{00000000-0008-0000-0200-000035020000}"/>
            </a:ext>
          </a:extLst>
        </xdr:cNvPr>
        <xdr:cNvSpPr/>
      </xdr:nvSpPr>
      <xdr:spPr>
        <a:xfrm>
          <a:off x="2111707" y="6455492"/>
          <a:ext cx="0" cy="380553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/>
        <a:lstStyle/>
        <a:p>
          <a:pPr lvl="0"/>
          <a:endParaRPr/>
        </a:p>
      </xdr:txBody>
    </xdr:sp>
    <xdr:clientData/>
  </xdr:twoCellAnchor>
  <xdr:twoCellAnchor>
    <xdr:from>
      <xdr:col>20</xdr:col>
      <xdr:colOff>173181</xdr:colOff>
      <xdr:row>45</xdr:row>
      <xdr:rowOff>115455</xdr:rowOff>
    </xdr:from>
    <xdr:to>
      <xdr:col>32</xdr:col>
      <xdr:colOff>76200</xdr:colOff>
      <xdr:row>63</xdr:row>
      <xdr:rowOff>145915</xdr:rowOff>
    </xdr:to>
    <xdr:sp macro="" textlink="">
      <xdr:nvSpPr>
        <xdr:cNvPr id="567" name="Rectangle 566">
          <a:extLst>
            <a:ext uri="{FF2B5EF4-FFF2-40B4-BE49-F238E27FC236}">
              <a16:creationId xmlns:a16="http://schemas.microsoft.com/office/drawing/2014/main" id="{00000000-0008-0000-0200-000037020000}"/>
            </a:ext>
          </a:extLst>
        </xdr:cNvPr>
        <xdr:cNvSpPr/>
      </xdr:nvSpPr>
      <xdr:spPr>
        <a:xfrm>
          <a:off x="5368636" y="9207500"/>
          <a:ext cx="3020291" cy="3667279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36</xdr:col>
      <xdr:colOff>172863</xdr:colOff>
      <xdr:row>45</xdr:row>
      <xdr:rowOff>183743</xdr:rowOff>
    </xdr:from>
    <xdr:to>
      <xdr:col>38</xdr:col>
      <xdr:colOff>97282</xdr:colOff>
      <xdr:row>48</xdr:row>
      <xdr:rowOff>202783</xdr:rowOff>
    </xdr:to>
    <xdr:grpSp>
      <xdr:nvGrpSpPr>
        <xdr:cNvPr id="583" name="Group 582">
          <a:extLst>
            <a:ext uri="{FF2B5EF4-FFF2-40B4-BE49-F238E27FC236}">
              <a16:creationId xmlns:a16="http://schemas.microsoft.com/office/drawing/2014/main" id="{00000000-0008-0000-0200-000047020000}"/>
            </a:ext>
          </a:extLst>
        </xdr:cNvPr>
        <xdr:cNvGrpSpPr/>
      </xdr:nvGrpSpPr>
      <xdr:grpSpPr>
        <a:xfrm>
          <a:off x="9316863" y="9327743"/>
          <a:ext cx="432419" cy="628640"/>
          <a:chOff x="8312728" y="2306764"/>
          <a:chExt cx="535359" cy="743670"/>
        </a:xfrm>
      </xdr:grpSpPr>
      <xdr:grpSp>
        <xdr:nvGrpSpPr>
          <xdr:cNvPr id="584" name="Group 583">
            <a:extLst>
              <a:ext uri="{FF2B5EF4-FFF2-40B4-BE49-F238E27FC236}">
                <a16:creationId xmlns:a16="http://schemas.microsoft.com/office/drawing/2014/main" id="{00000000-0008-0000-0200-00004802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586" name="Shape 9">
              <a:extLst>
                <a:ext uri="{FF2B5EF4-FFF2-40B4-BE49-F238E27FC236}">
                  <a16:creationId xmlns:a16="http://schemas.microsoft.com/office/drawing/2014/main" id="{00000000-0008-0000-0200-00004A02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87" name="Shape 38">
              <a:extLst>
                <a:ext uri="{FF2B5EF4-FFF2-40B4-BE49-F238E27FC236}">
                  <a16:creationId xmlns:a16="http://schemas.microsoft.com/office/drawing/2014/main" id="{00000000-0008-0000-0200-00004B02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88" name="Shape 39">
              <a:extLst>
                <a:ext uri="{FF2B5EF4-FFF2-40B4-BE49-F238E27FC236}">
                  <a16:creationId xmlns:a16="http://schemas.microsoft.com/office/drawing/2014/main" id="{00000000-0008-0000-0200-00004C02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89" name="Shape 13">
              <a:extLst>
                <a:ext uri="{FF2B5EF4-FFF2-40B4-BE49-F238E27FC236}">
                  <a16:creationId xmlns:a16="http://schemas.microsoft.com/office/drawing/2014/main" id="{00000000-0008-0000-0200-00004D02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90" name="Shape 37">
              <a:extLst>
                <a:ext uri="{FF2B5EF4-FFF2-40B4-BE49-F238E27FC236}">
                  <a16:creationId xmlns:a16="http://schemas.microsoft.com/office/drawing/2014/main" id="{00000000-0008-0000-0200-00004E02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91" name="Shape 9">
              <a:extLst>
                <a:ext uri="{FF2B5EF4-FFF2-40B4-BE49-F238E27FC236}">
                  <a16:creationId xmlns:a16="http://schemas.microsoft.com/office/drawing/2014/main" id="{00000000-0008-0000-0200-00004F02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92" name="Shape 9">
              <a:extLst>
                <a:ext uri="{FF2B5EF4-FFF2-40B4-BE49-F238E27FC236}">
                  <a16:creationId xmlns:a16="http://schemas.microsoft.com/office/drawing/2014/main" id="{00000000-0008-0000-0200-00005002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93" name="Shape 9">
              <a:extLst>
                <a:ext uri="{FF2B5EF4-FFF2-40B4-BE49-F238E27FC236}">
                  <a16:creationId xmlns:a16="http://schemas.microsoft.com/office/drawing/2014/main" id="{00000000-0008-0000-0200-00005102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585" name="Rectangle 584">
            <a:extLst>
              <a:ext uri="{FF2B5EF4-FFF2-40B4-BE49-F238E27FC236}">
                <a16:creationId xmlns:a16="http://schemas.microsoft.com/office/drawing/2014/main" id="{00000000-0008-0000-0200-000049020000}"/>
              </a:ext>
            </a:extLst>
          </xdr:cNvPr>
          <xdr:cNvSpPr/>
        </xdr:nvSpPr>
        <xdr:spPr>
          <a:xfrm>
            <a:off x="8312728" y="2306764"/>
            <a:ext cx="535359" cy="743670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40</xdr:col>
      <xdr:colOff>100690</xdr:colOff>
      <xdr:row>45</xdr:row>
      <xdr:rowOff>103310</xdr:rowOff>
    </xdr:from>
    <xdr:to>
      <xdr:col>52</xdr:col>
      <xdr:colOff>236927</xdr:colOff>
      <xdr:row>50</xdr:row>
      <xdr:rowOff>108273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200-000052020000}"/>
            </a:ext>
          </a:extLst>
        </xdr:cNvPr>
        <xdr:cNvGrpSpPr/>
      </xdr:nvGrpSpPr>
      <xdr:grpSpPr>
        <a:xfrm>
          <a:off x="10260690" y="9247310"/>
          <a:ext cx="3184237" cy="1020963"/>
          <a:chOff x="6463020" y="3629024"/>
          <a:chExt cx="3950980" cy="1216296"/>
        </a:xfrm>
      </xdr:grpSpPr>
      <xdr:grpSp>
        <xdr:nvGrpSpPr>
          <xdr:cNvPr id="595" name="Group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607" name="Group 606">
              <a:extLst>
                <a:ext uri="{FF2B5EF4-FFF2-40B4-BE49-F238E27FC236}">
                  <a16:creationId xmlns:a16="http://schemas.microsoft.com/office/drawing/2014/main" id="{00000000-0008-0000-0200-00005F02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610" name="Group 609">
                <a:extLst>
                  <a:ext uri="{FF2B5EF4-FFF2-40B4-BE49-F238E27FC236}">
                    <a16:creationId xmlns:a16="http://schemas.microsoft.com/office/drawing/2014/main" id="{00000000-0008-0000-0200-00006202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612" name="Group 611">
                  <a:extLst>
                    <a:ext uri="{FF2B5EF4-FFF2-40B4-BE49-F238E27FC236}">
                      <a16:creationId xmlns:a16="http://schemas.microsoft.com/office/drawing/2014/main" id="{00000000-0008-0000-0200-00006402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621" name="Shape 46">
                    <a:extLst>
                      <a:ext uri="{FF2B5EF4-FFF2-40B4-BE49-F238E27FC236}">
                        <a16:creationId xmlns:a16="http://schemas.microsoft.com/office/drawing/2014/main" id="{00000000-0008-0000-0200-00006D02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622" name="Rectangle 621">
                    <a:extLst>
                      <a:ext uri="{FF2B5EF4-FFF2-40B4-BE49-F238E27FC236}">
                        <a16:creationId xmlns:a16="http://schemas.microsoft.com/office/drawing/2014/main" id="{00000000-0008-0000-0200-00006E02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623" name="Shape 46">
                    <a:extLst>
                      <a:ext uri="{FF2B5EF4-FFF2-40B4-BE49-F238E27FC236}">
                        <a16:creationId xmlns:a16="http://schemas.microsoft.com/office/drawing/2014/main" id="{00000000-0008-0000-0200-00006F02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613" name="Group 612">
                  <a:extLst>
                    <a:ext uri="{FF2B5EF4-FFF2-40B4-BE49-F238E27FC236}">
                      <a16:creationId xmlns:a16="http://schemas.microsoft.com/office/drawing/2014/main" id="{00000000-0008-0000-0200-00006502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618" name="Shape 46">
                    <a:extLst>
                      <a:ext uri="{FF2B5EF4-FFF2-40B4-BE49-F238E27FC236}">
                        <a16:creationId xmlns:a16="http://schemas.microsoft.com/office/drawing/2014/main" id="{00000000-0008-0000-0200-00006A02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619" name="Rectangle 618">
                    <a:extLst>
                      <a:ext uri="{FF2B5EF4-FFF2-40B4-BE49-F238E27FC236}">
                        <a16:creationId xmlns:a16="http://schemas.microsoft.com/office/drawing/2014/main" id="{00000000-0008-0000-0200-00006B02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620" name="Shape 46">
                    <a:extLst>
                      <a:ext uri="{FF2B5EF4-FFF2-40B4-BE49-F238E27FC236}">
                        <a16:creationId xmlns:a16="http://schemas.microsoft.com/office/drawing/2014/main" id="{00000000-0008-0000-0200-00006C02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614" name="Shape 27">
                  <a:extLst>
                    <a:ext uri="{FF2B5EF4-FFF2-40B4-BE49-F238E27FC236}">
                      <a16:creationId xmlns:a16="http://schemas.microsoft.com/office/drawing/2014/main" id="{00000000-0008-0000-0200-00006602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15" name="Shape 27">
                  <a:extLst>
                    <a:ext uri="{FF2B5EF4-FFF2-40B4-BE49-F238E27FC236}">
                      <a16:creationId xmlns:a16="http://schemas.microsoft.com/office/drawing/2014/main" id="{00000000-0008-0000-0200-00006702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16" name="Shape 27">
                  <a:extLst>
                    <a:ext uri="{FF2B5EF4-FFF2-40B4-BE49-F238E27FC236}">
                      <a16:creationId xmlns:a16="http://schemas.microsoft.com/office/drawing/2014/main" id="{00000000-0008-0000-0200-00006802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17" name="Shape 27">
                  <a:extLst>
                    <a:ext uri="{FF2B5EF4-FFF2-40B4-BE49-F238E27FC236}">
                      <a16:creationId xmlns:a16="http://schemas.microsoft.com/office/drawing/2014/main" id="{00000000-0008-0000-0200-00006902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611" name="Elbow Connector 610">
                <a:extLst>
                  <a:ext uri="{FF2B5EF4-FFF2-40B4-BE49-F238E27FC236}">
                    <a16:creationId xmlns:a16="http://schemas.microsoft.com/office/drawing/2014/main" id="{00000000-0008-0000-0200-000063020000}"/>
                  </a:ext>
                </a:extLst>
              </xdr:cNvPr>
              <xdr:cNvCxnSpPr>
                <a:stCxn id="619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608" name="Elbow Connector 607">
              <a:extLst>
                <a:ext uri="{FF2B5EF4-FFF2-40B4-BE49-F238E27FC236}">
                  <a16:creationId xmlns:a16="http://schemas.microsoft.com/office/drawing/2014/main" id="{00000000-0008-0000-0200-00006002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09" name="Straight Connector 608">
              <a:extLst>
                <a:ext uri="{FF2B5EF4-FFF2-40B4-BE49-F238E27FC236}">
                  <a16:creationId xmlns:a16="http://schemas.microsoft.com/office/drawing/2014/main" id="{00000000-0008-0000-0200-000061020000}"/>
                </a:ext>
              </a:extLst>
            </xdr:cNvPr>
            <xdr:cNvCxnSpPr>
              <a:stCxn id="622" idx="1"/>
              <a:endCxn id="604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596" name="Group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GrpSpPr/>
        </xdr:nvGrpSpPr>
        <xdr:grpSpPr>
          <a:xfrm>
            <a:off x="6463020" y="3721512"/>
            <a:ext cx="503619" cy="755360"/>
            <a:chOff x="8312729" y="2299456"/>
            <a:chExt cx="506001" cy="750977"/>
          </a:xfrm>
        </xdr:grpSpPr>
        <xdr:grpSp>
          <xdr:nvGrpSpPr>
            <xdr:cNvPr id="597" name="Group 596">
              <a:extLst>
                <a:ext uri="{FF2B5EF4-FFF2-40B4-BE49-F238E27FC236}">
                  <a16:creationId xmlns:a16="http://schemas.microsoft.com/office/drawing/2014/main" id="{00000000-0008-0000-0200-00005502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599" name="Shape 9">
                <a:extLst>
                  <a:ext uri="{FF2B5EF4-FFF2-40B4-BE49-F238E27FC236}">
                    <a16:creationId xmlns:a16="http://schemas.microsoft.com/office/drawing/2014/main" id="{00000000-0008-0000-0200-00005702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00" name="Shape 38">
                <a:extLst>
                  <a:ext uri="{FF2B5EF4-FFF2-40B4-BE49-F238E27FC236}">
                    <a16:creationId xmlns:a16="http://schemas.microsoft.com/office/drawing/2014/main" id="{00000000-0008-0000-0200-00005802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01" name="Shape 39">
                <a:extLst>
                  <a:ext uri="{FF2B5EF4-FFF2-40B4-BE49-F238E27FC236}">
                    <a16:creationId xmlns:a16="http://schemas.microsoft.com/office/drawing/2014/main" id="{00000000-0008-0000-0200-00005902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02" name="Shape 13">
                <a:extLst>
                  <a:ext uri="{FF2B5EF4-FFF2-40B4-BE49-F238E27FC236}">
                    <a16:creationId xmlns:a16="http://schemas.microsoft.com/office/drawing/2014/main" id="{00000000-0008-0000-0200-00005A02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03" name="Shape 37">
                <a:extLst>
                  <a:ext uri="{FF2B5EF4-FFF2-40B4-BE49-F238E27FC236}">
                    <a16:creationId xmlns:a16="http://schemas.microsoft.com/office/drawing/2014/main" id="{00000000-0008-0000-0200-00005B02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04" name="Shape 9">
                <a:extLst>
                  <a:ext uri="{FF2B5EF4-FFF2-40B4-BE49-F238E27FC236}">
                    <a16:creationId xmlns:a16="http://schemas.microsoft.com/office/drawing/2014/main" id="{00000000-0008-0000-0200-00005C02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05" name="Shape 9">
                <a:extLst>
                  <a:ext uri="{FF2B5EF4-FFF2-40B4-BE49-F238E27FC236}">
                    <a16:creationId xmlns:a16="http://schemas.microsoft.com/office/drawing/2014/main" id="{00000000-0008-0000-0200-00005D02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06" name="Shape 9">
                <a:extLst>
                  <a:ext uri="{FF2B5EF4-FFF2-40B4-BE49-F238E27FC236}">
                    <a16:creationId xmlns:a16="http://schemas.microsoft.com/office/drawing/2014/main" id="{00000000-0008-0000-0200-00005E02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200-000056020000}"/>
                </a:ext>
              </a:extLst>
            </xdr:cNvPr>
            <xdr:cNvSpPr/>
          </xdr:nvSpPr>
          <xdr:spPr>
            <a:xfrm>
              <a:off x="8312729" y="2299456"/>
              <a:ext cx="506001" cy="750977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38</xdr:col>
      <xdr:colOff>10534</xdr:colOff>
      <xdr:row>47</xdr:row>
      <xdr:rowOff>22495</xdr:rowOff>
    </xdr:from>
    <xdr:to>
      <xdr:col>40</xdr:col>
      <xdr:colOff>195952</xdr:colOff>
      <xdr:row>47</xdr:row>
      <xdr:rowOff>22495</xdr:rowOff>
    </xdr:to>
    <xdr:cxnSp macro="">
      <xdr:nvCxnSpPr>
        <xdr:cNvPr id="624" name="Straight Connector 623">
          <a:extLst>
            <a:ext uri="{FF2B5EF4-FFF2-40B4-BE49-F238E27FC236}">
              <a16:creationId xmlns:a16="http://schemas.microsoft.com/office/drawing/2014/main" id="{00000000-0008-0000-0200-000070020000}"/>
            </a:ext>
          </a:extLst>
        </xdr:cNvPr>
        <xdr:cNvCxnSpPr/>
      </xdr:nvCxnSpPr>
      <xdr:spPr>
        <a:xfrm flipH="1">
          <a:off x="9662534" y="9674495"/>
          <a:ext cx="69341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10534</xdr:colOff>
      <xdr:row>48</xdr:row>
      <xdr:rowOff>3194</xdr:rowOff>
    </xdr:from>
    <xdr:to>
      <xdr:col>40</xdr:col>
      <xdr:colOff>187107</xdr:colOff>
      <xdr:row>48</xdr:row>
      <xdr:rowOff>3194</xdr:rowOff>
    </xdr:to>
    <xdr:cxnSp macro="">
      <xdr:nvCxnSpPr>
        <xdr:cNvPr id="625" name="Straight Connector 624">
          <a:extLst>
            <a:ext uri="{FF2B5EF4-FFF2-40B4-BE49-F238E27FC236}">
              <a16:creationId xmlns:a16="http://schemas.microsoft.com/office/drawing/2014/main" id="{00000000-0008-0000-0200-000071020000}"/>
            </a:ext>
          </a:extLst>
        </xdr:cNvPr>
        <xdr:cNvCxnSpPr/>
      </xdr:nvCxnSpPr>
      <xdr:spPr>
        <a:xfrm flipH="1">
          <a:off x="9662534" y="9860556"/>
          <a:ext cx="68457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144318</xdr:colOff>
      <xdr:row>48</xdr:row>
      <xdr:rowOff>2460</xdr:rowOff>
    </xdr:from>
    <xdr:to>
      <xdr:col>37</xdr:col>
      <xdr:colOff>10534</xdr:colOff>
      <xdr:row>48</xdr:row>
      <xdr:rowOff>2460</xdr:rowOff>
    </xdr:to>
    <xdr:cxnSp macro="">
      <xdr:nvCxnSpPr>
        <xdr:cNvPr id="628" name="Straight Connector 627">
          <a:extLst>
            <a:ext uri="{FF2B5EF4-FFF2-40B4-BE49-F238E27FC236}">
              <a16:creationId xmlns:a16="http://schemas.microsoft.com/office/drawing/2014/main" id="{00000000-0008-0000-0200-000074020000}"/>
            </a:ext>
          </a:extLst>
        </xdr:cNvPr>
        <xdr:cNvCxnSpPr/>
      </xdr:nvCxnSpPr>
      <xdr:spPr>
        <a:xfrm flipH="1">
          <a:off x="7677727" y="9700642"/>
          <a:ext cx="194439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158750</xdr:colOff>
      <xdr:row>47</xdr:row>
      <xdr:rowOff>22702</xdr:rowOff>
    </xdr:from>
    <xdr:to>
      <xdr:col>37</xdr:col>
      <xdr:colOff>15689</xdr:colOff>
      <xdr:row>47</xdr:row>
      <xdr:rowOff>22702</xdr:rowOff>
    </xdr:to>
    <xdr:cxnSp macro="">
      <xdr:nvCxnSpPr>
        <xdr:cNvPr id="629" name="Straight Connector 628">
          <a:extLst>
            <a:ext uri="{FF2B5EF4-FFF2-40B4-BE49-F238E27FC236}">
              <a16:creationId xmlns:a16="http://schemas.microsoft.com/office/drawing/2014/main" id="{00000000-0008-0000-0200-000075020000}"/>
            </a:ext>
          </a:extLst>
        </xdr:cNvPr>
        <xdr:cNvCxnSpPr/>
      </xdr:nvCxnSpPr>
      <xdr:spPr>
        <a:xfrm flipH="1">
          <a:off x="7692159" y="9518838"/>
          <a:ext cx="193512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129886</xdr:colOff>
      <xdr:row>51</xdr:row>
      <xdr:rowOff>16435</xdr:rowOff>
    </xdr:from>
    <xdr:to>
      <xdr:col>52</xdr:col>
      <xdr:colOff>242080</xdr:colOff>
      <xdr:row>56</xdr:row>
      <xdr:rowOff>21399</xdr:rowOff>
    </xdr:to>
    <xdr:grpSp>
      <xdr:nvGrpSpPr>
        <xdr:cNvPr id="216" name="STRINGB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/>
      </xdr:nvGrpSpPr>
      <xdr:grpSpPr>
        <a:xfrm>
          <a:off x="7495886" y="10379635"/>
          <a:ext cx="5954194" cy="1020964"/>
          <a:chOff x="7432386" y="10625314"/>
          <a:chExt cx="5903832" cy="1045051"/>
        </a:xfrm>
      </xdr:grpSpPr>
      <xdr:grpSp>
        <xdr:nvGrpSpPr>
          <xdr:cNvPr id="630" name="Group 629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GrpSpPr/>
        </xdr:nvGrpSpPr>
        <xdr:grpSpPr>
          <a:xfrm>
            <a:off x="9246881" y="10651336"/>
            <a:ext cx="387659" cy="550312"/>
            <a:chOff x="8317273" y="2242252"/>
            <a:chExt cx="485580" cy="639333"/>
          </a:xfrm>
        </xdr:grpSpPr>
        <xdr:grpSp>
          <xdr:nvGrpSpPr>
            <xdr:cNvPr id="631" name="Group 630">
              <a:extLst>
                <a:ext uri="{FF2B5EF4-FFF2-40B4-BE49-F238E27FC236}">
                  <a16:creationId xmlns:a16="http://schemas.microsoft.com/office/drawing/2014/main" id="{00000000-0008-0000-0200-00007702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633" name="Shape 9">
                <a:extLst>
                  <a:ext uri="{FF2B5EF4-FFF2-40B4-BE49-F238E27FC236}">
                    <a16:creationId xmlns:a16="http://schemas.microsoft.com/office/drawing/2014/main" id="{00000000-0008-0000-0200-00007902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34" name="Shape 38">
                <a:extLst>
                  <a:ext uri="{FF2B5EF4-FFF2-40B4-BE49-F238E27FC236}">
                    <a16:creationId xmlns:a16="http://schemas.microsoft.com/office/drawing/2014/main" id="{00000000-0008-0000-0200-00007A02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35" name="Shape 39">
                <a:extLst>
                  <a:ext uri="{FF2B5EF4-FFF2-40B4-BE49-F238E27FC236}">
                    <a16:creationId xmlns:a16="http://schemas.microsoft.com/office/drawing/2014/main" id="{00000000-0008-0000-0200-00007B02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36" name="Shape 13">
                <a:extLst>
                  <a:ext uri="{FF2B5EF4-FFF2-40B4-BE49-F238E27FC236}">
                    <a16:creationId xmlns:a16="http://schemas.microsoft.com/office/drawing/2014/main" id="{00000000-0008-0000-0200-00007C02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37" name="Shape 37">
                <a:extLst>
                  <a:ext uri="{FF2B5EF4-FFF2-40B4-BE49-F238E27FC236}">
                    <a16:creationId xmlns:a16="http://schemas.microsoft.com/office/drawing/2014/main" id="{00000000-0008-0000-0200-00007D02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38" name="Shape 9">
                <a:extLst>
                  <a:ext uri="{FF2B5EF4-FFF2-40B4-BE49-F238E27FC236}">
                    <a16:creationId xmlns:a16="http://schemas.microsoft.com/office/drawing/2014/main" id="{00000000-0008-0000-0200-00007E02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39" name="Shape 9">
                <a:extLst>
                  <a:ext uri="{FF2B5EF4-FFF2-40B4-BE49-F238E27FC236}">
                    <a16:creationId xmlns:a16="http://schemas.microsoft.com/office/drawing/2014/main" id="{00000000-0008-0000-0200-00007F02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40" name="Shape 9">
                <a:extLst>
                  <a:ext uri="{FF2B5EF4-FFF2-40B4-BE49-F238E27FC236}">
                    <a16:creationId xmlns:a16="http://schemas.microsoft.com/office/drawing/2014/main" id="{00000000-0008-0000-0200-00008002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632" name="Rectangle 631">
              <a:extLst>
                <a:ext uri="{FF2B5EF4-FFF2-40B4-BE49-F238E27FC236}">
                  <a16:creationId xmlns:a16="http://schemas.microsoft.com/office/drawing/2014/main" id="{00000000-0008-0000-0200-000078020000}"/>
                </a:ext>
              </a:extLst>
            </xdr:cNvPr>
            <xdr:cNvSpPr/>
          </xdr:nvSpPr>
          <xdr:spPr>
            <a:xfrm>
              <a:off x="8317273" y="2242252"/>
              <a:ext cx="485580" cy="639333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641" name="Group 640">
            <a:extLst>
              <a:ext uri="{FF2B5EF4-FFF2-40B4-BE49-F238E27FC236}">
                <a16:creationId xmlns:a16="http://schemas.microsoft.com/office/drawing/2014/main" id="{00000000-0008-0000-0200-000081020000}"/>
              </a:ext>
            </a:extLst>
          </xdr:cNvPr>
          <xdr:cNvGrpSpPr/>
        </xdr:nvGrpSpPr>
        <xdr:grpSpPr>
          <a:xfrm>
            <a:off x="10198909" y="10625314"/>
            <a:ext cx="3137309" cy="1045051"/>
            <a:chOff x="6492765" y="3629024"/>
            <a:chExt cx="3921235" cy="1216296"/>
          </a:xfrm>
        </xdr:grpSpPr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200-000082020000}"/>
                </a:ext>
              </a:extLst>
            </xdr:cNvPr>
            <xdr:cNvGrpSpPr/>
          </xdr:nvGrpSpPr>
          <xdr:grpSpPr>
            <a:xfrm>
              <a:off x="6850337" y="3629024"/>
              <a:ext cx="3563663" cy="1216296"/>
              <a:chOff x="6854716" y="3624645"/>
              <a:chExt cx="3563663" cy="1214493"/>
            </a:xfrm>
          </xdr:grpSpPr>
          <xdr:grpSp>
            <xdr:nvGrpSpPr>
              <xdr:cNvPr id="654" name="Group 653">
                <a:extLst>
                  <a:ext uri="{FF2B5EF4-FFF2-40B4-BE49-F238E27FC236}">
                    <a16:creationId xmlns:a16="http://schemas.microsoft.com/office/drawing/2014/main" id="{00000000-0008-0000-0200-00008E02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657" name="Group 656">
                  <a:extLst>
                    <a:ext uri="{FF2B5EF4-FFF2-40B4-BE49-F238E27FC236}">
                      <a16:creationId xmlns:a16="http://schemas.microsoft.com/office/drawing/2014/main" id="{00000000-0008-0000-0200-00009102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659" name="Group 658">
                    <a:extLst>
                      <a:ext uri="{FF2B5EF4-FFF2-40B4-BE49-F238E27FC236}">
                        <a16:creationId xmlns:a16="http://schemas.microsoft.com/office/drawing/2014/main" id="{00000000-0008-0000-0200-00009302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668" name="Shape 46">
                      <a:extLst>
                        <a:ext uri="{FF2B5EF4-FFF2-40B4-BE49-F238E27FC236}">
                          <a16:creationId xmlns:a16="http://schemas.microsoft.com/office/drawing/2014/main" id="{00000000-0008-0000-0200-00009C02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669" name="Rectangle 668">
                      <a:extLst>
                        <a:ext uri="{FF2B5EF4-FFF2-40B4-BE49-F238E27FC236}">
                          <a16:creationId xmlns:a16="http://schemas.microsoft.com/office/drawing/2014/main" id="{00000000-0008-0000-0200-00009D02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670" name="Shape 46">
                      <a:extLst>
                        <a:ext uri="{FF2B5EF4-FFF2-40B4-BE49-F238E27FC236}">
                          <a16:creationId xmlns:a16="http://schemas.microsoft.com/office/drawing/2014/main" id="{00000000-0008-0000-0200-00009E02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660" name="Group 659">
                    <a:extLst>
                      <a:ext uri="{FF2B5EF4-FFF2-40B4-BE49-F238E27FC236}">
                        <a16:creationId xmlns:a16="http://schemas.microsoft.com/office/drawing/2014/main" id="{00000000-0008-0000-0200-00009402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665" name="Shape 46">
                      <a:extLst>
                        <a:ext uri="{FF2B5EF4-FFF2-40B4-BE49-F238E27FC236}">
                          <a16:creationId xmlns:a16="http://schemas.microsoft.com/office/drawing/2014/main" id="{00000000-0008-0000-0200-00009902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666" name="Rectangle 665">
                      <a:extLst>
                        <a:ext uri="{FF2B5EF4-FFF2-40B4-BE49-F238E27FC236}">
                          <a16:creationId xmlns:a16="http://schemas.microsoft.com/office/drawing/2014/main" id="{00000000-0008-0000-0200-00009A02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667" name="Shape 46">
                      <a:extLst>
                        <a:ext uri="{FF2B5EF4-FFF2-40B4-BE49-F238E27FC236}">
                          <a16:creationId xmlns:a16="http://schemas.microsoft.com/office/drawing/2014/main" id="{00000000-0008-0000-0200-00009B02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661" name="Shape 27">
                    <a:extLst>
                      <a:ext uri="{FF2B5EF4-FFF2-40B4-BE49-F238E27FC236}">
                        <a16:creationId xmlns:a16="http://schemas.microsoft.com/office/drawing/2014/main" id="{00000000-0008-0000-0200-00009502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662" name="Shape 27">
                    <a:extLst>
                      <a:ext uri="{FF2B5EF4-FFF2-40B4-BE49-F238E27FC236}">
                        <a16:creationId xmlns:a16="http://schemas.microsoft.com/office/drawing/2014/main" id="{00000000-0008-0000-0200-00009602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663" name="Shape 27">
                    <a:extLst>
                      <a:ext uri="{FF2B5EF4-FFF2-40B4-BE49-F238E27FC236}">
                        <a16:creationId xmlns:a16="http://schemas.microsoft.com/office/drawing/2014/main" id="{00000000-0008-0000-0200-00009702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664" name="Shape 27">
                    <a:extLst>
                      <a:ext uri="{FF2B5EF4-FFF2-40B4-BE49-F238E27FC236}">
                        <a16:creationId xmlns:a16="http://schemas.microsoft.com/office/drawing/2014/main" id="{00000000-0008-0000-0200-00009802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658" name="Elbow Connector 657">
                  <a:extLst>
                    <a:ext uri="{FF2B5EF4-FFF2-40B4-BE49-F238E27FC236}">
                      <a16:creationId xmlns:a16="http://schemas.microsoft.com/office/drawing/2014/main" id="{00000000-0008-0000-0200-000092020000}"/>
                    </a:ext>
                  </a:extLst>
                </xdr:cNvPr>
                <xdr:cNvCxnSpPr>
                  <a:stCxn id="666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655" name="Elbow Connector 654">
                <a:extLst>
                  <a:ext uri="{FF2B5EF4-FFF2-40B4-BE49-F238E27FC236}">
                    <a16:creationId xmlns:a16="http://schemas.microsoft.com/office/drawing/2014/main" id="{00000000-0008-0000-0200-00008F020000}"/>
                  </a:ext>
                </a:extLst>
              </xdr:cNvPr>
              <xdr:cNvCxnSpPr/>
            </xdr:nvCxnSpPr>
            <xdr:spPr>
              <a:xfrm>
                <a:off x="6907649" y="4221491"/>
                <a:ext cx="3510730" cy="617647"/>
              </a:xfrm>
              <a:prstGeom prst="bentConnector3">
                <a:avLst>
                  <a:gd name="adj1" fmla="val 40132"/>
                </a:avLst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656" name="Straight Connector 655">
                <a:extLst>
                  <a:ext uri="{FF2B5EF4-FFF2-40B4-BE49-F238E27FC236}">
                    <a16:creationId xmlns:a16="http://schemas.microsoft.com/office/drawing/2014/main" id="{00000000-0008-0000-0200-000090020000}"/>
                  </a:ext>
                </a:extLst>
              </xdr:cNvPr>
              <xdr:cNvCxnSpPr>
                <a:stCxn id="669" idx="1"/>
                <a:endCxn id="651" idx="0"/>
              </xdr:cNvCxnSpPr>
            </xdr:nvCxnSpPr>
            <xdr:spPr>
              <a:xfrm flipH="1" flipV="1">
                <a:off x="6854716" y="4025949"/>
                <a:ext cx="1782872" cy="164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643" name="Group 642">
              <a:extLst>
                <a:ext uri="{FF2B5EF4-FFF2-40B4-BE49-F238E27FC236}">
                  <a16:creationId xmlns:a16="http://schemas.microsoft.com/office/drawing/2014/main" id="{00000000-0008-0000-0200-000083020000}"/>
                </a:ext>
              </a:extLst>
            </xdr:cNvPr>
            <xdr:cNvGrpSpPr/>
          </xdr:nvGrpSpPr>
          <xdr:grpSpPr>
            <a:xfrm>
              <a:off x="6492765" y="3663974"/>
              <a:ext cx="484345" cy="670400"/>
              <a:chOff x="8342601" y="2242252"/>
              <a:chExt cx="486635" cy="666510"/>
            </a:xfrm>
          </xdr:grpSpPr>
          <xdr:grpSp>
            <xdr:nvGrpSpPr>
              <xdr:cNvPr id="644" name="Group 643">
                <a:extLst>
                  <a:ext uri="{FF2B5EF4-FFF2-40B4-BE49-F238E27FC236}">
                    <a16:creationId xmlns:a16="http://schemas.microsoft.com/office/drawing/2014/main" id="{00000000-0008-0000-0200-000084020000}"/>
                  </a:ext>
                </a:extLst>
              </xdr:cNvPr>
              <xdr:cNvGrpSpPr/>
            </xdr:nvGrpSpPr>
            <xdr:grpSpPr>
              <a:xfrm>
                <a:off x="8422105" y="2351625"/>
                <a:ext cx="322065" cy="500842"/>
                <a:chOff x="8428183" y="2400242"/>
                <a:chExt cx="322065" cy="500842"/>
              </a:xfrm>
            </xdr:grpSpPr>
            <xdr:sp macro="" textlink="">
              <xdr:nvSpPr>
                <xdr:cNvPr id="646" name="Shape 9">
                  <a:extLst>
                    <a:ext uri="{FF2B5EF4-FFF2-40B4-BE49-F238E27FC236}">
                      <a16:creationId xmlns:a16="http://schemas.microsoft.com/office/drawing/2014/main" id="{00000000-0008-0000-0200-000086020000}"/>
                    </a:ext>
                  </a:extLst>
                </xdr:cNvPr>
                <xdr:cNvSpPr/>
              </xdr:nvSpPr>
              <xdr:spPr>
                <a:xfrm>
                  <a:off x="8428183" y="2612919"/>
                  <a:ext cx="79265" cy="79264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solidFill>
                  <a:schemeClr val="bg1"/>
                </a:solidFill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47" name="Shape 38">
                  <a:extLst>
                    <a:ext uri="{FF2B5EF4-FFF2-40B4-BE49-F238E27FC236}">
                      <a16:creationId xmlns:a16="http://schemas.microsoft.com/office/drawing/2014/main" id="{00000000-0008-0000-0200-000087020000}"/>
                    </a:ext>
                  </a:extLst>
                </xdr:cNvPr>
                <xdr:cNvSpPr/>
              </xdr:nvSpPr>
              <xdr:spPr>
                <a:xfrm flipV="1">
                  <a:off x="8567942" y="2400242"/>
                  <a:ext cx="0" cy="324411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48" name="Shape 39">
                  <a:extLst>
                    <a:ext uri="{FF2B5EF4-FFF2-40B4-BE49-F238E27FC236}">
                      <a16:creationId xmlns:a16="http://schemas.microsoft.com/office/drawing/2014/main" id="{00000000-0008-0000-0200-000088020000}"/>
                    </a:ext>
                  </a:extLst>
                </xdr:cNvPr>
                <xdr:cNvSpPr/>
              </xdr:nvSpPr>
              <xdr:spPr>
                <a:xfrm flipH="1">
                  <a:off x="8519330" y="2400246"/>
                  <a:ext cx="99510" cy="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49" name="Shape 13">
                  <a:extLst>
                    <a:ext uri="{FF2B5EF4-FFF2-40B4-BE49-F238E27FC236}">
                      <a16:creationId xmlns:a16="http://schemas.microsoft.com/office/drawing/2014/main" id="{00000000-0008-0000-0200-000089020000}"/>
                    </a:ext>
                  </a:extLst>
                </xdr:cNvPr>
                <xdr:cNvSpPr/>
              </xdr:nvSpPr>
              <xdr:spPr>
                <a:xfrm flipV="1">
                  <a:off x="8467879" y="2454932"/>
                  <a:ext cx="159630" cy="15963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50" name="Shape 37">
                  <a:extLst>
                    <a:ext uri="{FF2B5EF4-FFF2-40B4-BE49-F238E27FC236}">
                      <a16:creationId xmlns:a16="http://schemas.microsoft.com/office/drawing/2014/main" id="{00000000-0008-0000-0200-00008A020000}"/>
                    </a:ext>
                  </a:extLst>
                </xdr:cNvPr>
                <xdr:cNvSpPr/>
              </xdr:nvSpPr>
              <xdr:spPr>
                <a:xfrm flipV="1">
                  <a:off x="8470717" y="2673688"/>
                  <a:ext cx="158580" cy="154246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51" name="Shape 9">
                  <a:extLst>
                    <a:ext uri="{FF2B5EF4-FFF2-40B4-BE49-F238E27FC236}">
                      <a16:creationId xmlns:a16="http://schemas.microsoft.com/office/drawing/2014/main" id="{00000000-0008-0000-0200-00008B020000}"/>
                    </a:ext>
                  </a:extLst>
                </xdr:cNvPr>
                <xdr:cNvSpPr/>
              </xdr:nvSpPr>
              <xdr:spPr>
                <a:xfrm>
                  <a:off x="8665660" y="2613400"/>
                  <a:ext cx="84578" cy="84578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solidFill>
                  <a:schemeClr val="bg1"/>
                </a:solidFill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52" name="Shape 9">
                  <a:extLst>
                    <a:ext uri="{FF2B5EF4-FFF2-40B4-BE49-F238E27FC236}">
                      <a16:creationId xmlns:a16="http://schemas.microsoft.com/office/drawing/2014/main" id="{00000000-0008-0000-0200-00008C020000}"/>
                    </a:ext>
                  </a:extLst>
                </xdr:cNvPr>
                <xdr:cNvSpPr/>
              </xdr:nvSpPr>
              <xdr:spPr>
                <a:xfrm>
                  <a:off x="8434742" y="2820012"/>
                  <a:ext cx="81072" cy="81072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solidFill>
                  <a:schemeClr val="bg1"/>
                </a:solidFill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53" name="Shape 9">
                  <a:extLst>
                    <a:ext uri="{FF2B5EF4-FFF2-40B4-BE49-F238E27FC236}">
                      <a16:creationId xmlns:a16="http://schemas.microsoft.com/office/drawing/2014/main" id="{00000000-0008-0000-0200-00008D020000}"/>
                    </a:ext>
                  </a:extLst>
                </xdr:cNvPr>
                <xdr:cNvSpPr/>
              </xdr:nvSpPr>
              <xdr:spPr>
                <a:xfrm>
                  <a:off x="8672220" y="2820493"/>
                  <a:ext cx="78028" cy="78028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solidFill>
                  <a:schemeClr val="bg1"/>
                </a:solidFill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645" name="Rectangle 644">
                <a:extLst>
                  <a:ext uri="{FF2B5EF4-FFF2-40B4-BE49-F238E27FC236}">
                    <a16:creationId xmlns:a16="http://schemas.microsoft.com/office/drawing/2014/main" id="{00000000-0008-0000-0200-000085020000}"/>
                  </a:ext>
                </a:extLst>
              </xdr:cNvPr>
              <xdr:cNvSpPr/>
            </xdr:nvSpPr>
            <xdr:spPr>
              <a:xfrm>
                <a:off x="8342601" y="2242252"/>
                <a:ext cx="486635" cy="66651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cxnSp macro="">
        <xdr:nvCxnSpPr>
          <xdr:cNvPr id="671" name="Straight Connector 670">
            <a:extLst>
              <a:ext uri="{FF2B5EF4-FFF2-40B4-BE49-F238E27FC236}">
                <a16:creationId xmlns:a16="http://schemas.microsoft.com/office/drawing/2014/main" id="{00000000-0008-0000-0200-00009F020000}"/>
              </a:ext>
            </a:extLst>
          </xdr:cNvPr>
          <xdr:cNvCxnSpPr/>
        </xdr:nvCxnSpPr>
        <xdr:spPr>
          <a:xfrm flipH="1">
            <a:off x="9579077" y="10960386"/>
            <a:ext cx="68903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2" name="Straight Connector 671">
            <a:extLst>
              <a:ext uri="{FF2B5EF4-FFF2-40B4-BE49-F238E27FC236}">
                <a16:creationId xmlns:a16="http://schemas.microsoft.com/office/drawing/2014/main" id="{00000000-0008-0000-0200-0000A0020000}"/>
              </a:ext>
            </a:extLst>
          </xdr:cNvPr>
          <xdr:cNvCxnSpPr/>
        </xdr:nvCxnSpPr>
        <xdr:spPr>
          <a:xfrm flipH="1">
            <a:off x="9584481" y="11143697"/>
            <a:ext cx="680194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3" name="Straight Connector 672">
            <a:extLst>
              <a:ext uri="{FF2B5EF4-FFF2-40B4-BE49-F238E27FC236}">
                <a16:creationId xmlns:a16="http://schemas.microsoft.com/office/drawing/2014/main" id="{00000000-0008-0000-0200-0000A1020000}"/>
              </a:ext>
            </a:extLst>
          </xdr:cNvPr>
          <xdr:cNvCxnSpPr/>
        </xdr:nvCxnSpPr>
        <xdr:spPr>
          <a:xfrm flipH="1">
            <a:off x="7432386" y="11139647"/>
            <a:ext cx="190028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4" name="Straight Connector 673">
            <a:extLst>
              <a:ext uri="{FF2B5EF4-FFF2-40B4-BE49-F238E27FC236}">
                <a16:creationId xmlns:a16="http://schemas.microsoft.com/office/drawing/2014/main" id="{00000000-0008-0000-0200-0000A2020000}"/>
              </a:ext>
            </a:extLst>
          </xdr:cNvPr>
          <xdr:cNvCxnSpPr/>
        </xdr:nvCxnSpPr>
        <xdr:spPr>
          <a:xfrm flipH="1">
            <a:off x="7432386" y="10955188"/>
            <a:ext cx="190544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16434</xdr:colOff>
      <xdr:row>49</xdr:row>
      <xdr:rowOff>160497</xdr:rowOff>
    </xdr:from>
    <xdr:to>
      <xdr:col>21</xdr:col>
      <xdr:colOff>129883</xdr:colOff>
      <xdr:row>51</xdr:row>
      <xdr:rowOff>183273</xdr:rowOff>
    </xdr:to>
    <xdr:grpSp>
      <xdr:nvGrpSpPr>
        <xdr:cNvPr id="701" name="Group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GrpSpPr/>
      </xdr:nvGrpSpPr>
      <xdr:grpSpPr>
        <a:xfrm>
          <a:off x="4080434" y="10117297"/>
          <a:ext cx="1383449" cy="429176"/>
          <a:chOff x="11363731" y="10959822"/>
          <a:chExt cx="1387985" cy="455892"/>
        </a:xfrm>
      </xdr:grpSpPr>
      <xdr:grpSp>
        <xdr:nvGrpSpPr>
          <xdr:cNvPr id="702" name="Group 701">
            <a:extLst>
              <a:ext uri="{FF2B5EF4-FFF2-40B4-BE49-F238E27FC236}">
                <a16:creationId xmlns:a16="http://schemas.microsoft.com/office/drawing/2014/main" id="{00000000-0008-0000-0200-0000BE020000}"/>
              </a:ext>
            </a:extLst>
          </xdr:cNvPr>
          <xdr:cNvGrpSpPr/>
        </xdr:nvGrpSpPr>
        <xdr:grpSpPr>
          <a:xfrm>
            <a:off x="11363731" y="10959822"/>
            <a:ext cx="792918" cy="455892"/>
            <a:chOff x="7706281" y="4834074"/>
            <a:chExt cx="772113" cy="462257"/>
          </a:xfrm>
        </xdr:grpSpPr>
        <xdr:sp macro="" textlink="">
          <xdr:nvSpPr>
            <xdr:cNvPr id="705" name="Shape 27">
              <a:extLst>
                <a:ext uri="{FF2B5EF4-FFF2-40B4-BE49-F238E27FC236}">
                  <a16:creationId xmlns:a16="http://schemas.microsoft.com/office/drawing/2014/main" id="{00000000-0008-0000-0200-0000C1020000}"/>
                </a:ext>
              </a:extLst>
            </xdr:cNvPr>
            <xdr:cNvSpPr/>
          </xdr:nvSpPr>
          <xdr:spPr>
            <a:xfrm>
              <a:off x="7933556" y="5025913"/>
              <a:ext cx="82282" cy="84706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06" name="Shape 26">
              <a:extLst>
                <a:ext uri="{FF2B5EF4-FFF2-40B4-BE49-F238E27FC236}">
                  <a16:creationId xmlns:a16="http://schemas.microsoft.com/office/drawing/2014/main" id="{00000000-0008-0000-0200-0000C2020000}"/>
                </a:ext>
              </a:extLst>
            </xdr:cNvPr>
            <xdr:cNvSpPr/>
          </xdr:nvSpPr>
          <xdr:spPr>
            <a:xfrm flipH="1" flipV="1">
              <a:off x="7986945" y="4927938"/>
              <a:ext cx="182769" cy="10844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07" name="Rectangle 706">
              <a:extLst>
                <a:ext uri="{FF2B5EF4-FFF2-40B4-BE49-F238E27FC236}">
                  <a16:creationId xmlns:a16="http://schemas.microsoft.com/office/drawing/2014/main" id="{00000000-0008-0000-0200-0000C3020000}"/>
                </a:ext>
              </a:extLst>
            </xdr:cNvPr>
            <xdr:cNvSpPr/>
          </xdr:nvSpPr>
          <xdr:spPr>
            <a:xfrm>
              <a:off x="7706281" y="4834074"/>
              <a:ext cx="772113" cy="462257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08" name="Shape 27">
              <a:extLst>
                <a:ext uri="{FF2B5EF4-FFF2-40B4-BE49-F238E27FC236}">
                  <a16:creationId xmlns:a16="http://schemas.microsoft.com/office/drawing/2014/main" id="{00000000-0008-0000-0200-0000C4020000}"/>
                </a:ext>
              </a:extLst>
            </xdr:cNvPr>
            <xdr:cNvSpPr/>
          </xdr:nvSpPr>
          <xdr:spPr>
            <a:xfrm>
              <a:off x="8152132" y="5023222"/>
              <a:ext cx="82282" cy="84706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703" name="Straight Connector 702">
            <a:extLst>
              <a:ext uri="{FF2B5EF4-FFF2-40B4-BE49-F238E27FC236}">
                <a16:creationId xmlns:a16="http://schemas.microsoft.com/office/drawing/2014/main" id="{00000000-0008-0000-0200-0000BF020000}"/>
              </a:ext>
            </a:extLst>
          </xdr:cNvPr>
          <xdr:cNvCxnSpPr/>
        </xdr:nvCxnSpPr>
        <xdr:spPr>
          <a:xfrm>
            <a:off x="11907957" y="11187770"/>
            <a:ext cx="84375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4" name="Straight Connector 703">
            <a:extLst>
              <a:ext uri="{FF2B5EF4-FFF2-40B4-BE49-F238E27FC236}">
                <a16:creationId xmlns:a16="http://schemas.microsoft.com/office/drawing/2014/main" id="{00000000-0008-0000-0200-0000C0020000}"/>
              </a:ext>
            </a:extLst>
          </xdr:cNvPr>
          <xdr:cNvCxnSpPr>
            <a:stCxn id="707" idx="1"/>
          </xdr:cNvCxnSpPr>
        </xdr:nvCxnSpPr>
        <xdr:spPr>
          <a:xfrm>
            <a:off x="11363731" y="11187770"/>
            <a:ext cx="234692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179295</xdr:colOff>
      <xdr:row>51</xdr:row>
      <xdr:rowOff>33512</xdr:rowOff>
    </xdr:from>
    <xdr:to>
      <xdr:col>19</xdr:col>
      <xdr:colOff>89221</xdr:colOff>
      <xdr:row>54</xdr:row>
      <xdr:rowOff>76051</xdr:rowOff>
    </xdr:to>
    <xdr:sp macro="" textlink="">
      <xdr:nvSpPr>
        <xdr:cNvPr id="709" name="TextBox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4075886" y="10337830"/>
          <a:ext cx="949017" cy="648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Inverter Supply</a:t>
          </a:r>
        </a:p>
        <a:p>
          <a:pPr algn="ctr"/>
          <a:r>
            <a:rPr lang="en-GB" sz="800"/>
            <a:t>A.C. Isolator</a:t>
          </a:r>
        </a:p>
      </xdr:txBody>
    </xdr:sp>
    <xdr:clientData/>
  </xdr:twoCellAnchor>
  <xdr:twoCellAnchor>
    <xdr:from>
      <xdr:col>14</xdr:col>
      <xdr:colOff>76289</xdr:colOff>
      <xdr:row>23</xdr:row>
      <xdr:rowOff>61582</xdr:rowOff>
    </xdr:from>
    <xdr:to>
      <xdr:col>23</xdr:col>
      <xdr:colOff>129886</xdr:colOff>
      <xdr:row>46</xdr:row>
      <xdr:rowOff>31365</xdr:rowOff>
    </xdr:to>
    <xdr:grpSp>
      <xdr:nvGrpSpPr>
        <xdr:cNvPr id="183" name="Moni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GrpSpPr/>
      </xdr:nvGrpSpPr>
      <xdr:grpSpPr>
        <a:xfrm>
          <a:off x="3632289" y="4735182"/>
          <a:ext cx="2339597" cy="4643383"/>
          <a:chOff x="3601634" y="4845979"/>
          <a:chExt cx="2319890" cy="4754179"/>
        </a:xfrm>
      </xdr:grpSpPr>
      <xdr:grpSp>
        <xdr:nvGrpSpPr>
          <xdr:cNvPr id="230" name="Group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GrpSpPr/>
        </xdr:nvGrpSpPr>
        <xdr:grpSpPr>
          <a:xfrm>
            <a:off x="3708027" y="6628519"/>
            <a:ext cx="717808" cy="683187"/>
            <a:chOff x="10949609" y="4945823"/>
            <a:chExt cx="724377" cy="672946"/>
          </a:xfrm>
        </xdr:grpSpPr>
        <xdr:sp macro="" textlink="">
          <xdr:nvSpPr>
            <xdr:cNvPr id="231" name="TextBox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 txBox="1"/>
          </xdr:nvSpPr>
          <xdr:spPr>
            <a:xfrm>
              <a:off x="10963413" y="4987235"/>
              <a:ext cx="691997" cy="5681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 baseline="0"/>
                <a:t>WM   Power Meter</a:t>
              </a:r>
              <a:endParaRPr lang="en-GB" sz="800"/>
            </a:p>
          </xdr:txBody>
        </xdr:sp>
        <xdr:sp macro="" textlink="">
          <xdr:nvSpPr>
            <xdr:cNvPr id="232" name="Rectangle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SpPr/>
          </xdr:nvSpPr>
          <xdr:spPr>
            <a:xfrm>
              <a:off x="10949609" y="4945823"/>
              <a:ext cx="724377" cy="672946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233" name="Group 232">
            <a:extLst>
              <a:ext uri="{FF2B5EF4-FFF2-40B4-BE49-F238E27FC236}">
                <a16:creationId xmlns:a16="http://schemas.microsoft.com/office/drawing/2014/main" id="{00000000-0008-0000-0200-0000E9000000}"/>
              </a:ext>
            </a:extLst>
          </xdr:cNvPr>
          <xdr:cNvGrpSpPr/>
        </xdr:nvGrpSpPr>
        <xdr:grpSpPr>
          <a:xfrm>
            <a:off x="3601634" y="4845979"/>
            <a:ext cx="1859372" cy="582640"/>
            <a:chOff x="7620090" y="4684367"/>
            <a:chExt cx="1874633" cy="568187"/>
          </a:xfrm>
        </xdr:grpSpPr>
        <xdr:grpSp>
          <xdr:nvGrpSpPr>
            <xdr:cNvPr id="234" name="Group 233">
              <a:extLst>
                <a:ext uri="{FF2B5EF4-FFF2-40B4-BE49-F238E27FC236}">
                  <a16:creationId xmlns:a16="http://schemas.microsoft.com/office/drawing/2014/main" id="{00000000-0008-0000-0200-0000EA000000}"/>
                </a:ext>
              </a:extLst>
            </xdr:cNvPr>
            <xdr:cNvGrpSpPr/>
          </xdr:nvGrpSpPr>
          <xdr:grpSpPr>
            <a:xfrm>
              <a:off x="7620090" y="4887565"/>
              <a:ext cx="753736" cy="195760"/>
              <a:chOff x="7730434" y="5024784"/>
              <a:chExt cx="737350" cy="199625"/>
            </a:xfrm>
          </xdr:grpSpPr>
          <xdr:sp macro="" textlink="">
            <xdr:nvSpPr>
              <xdr:cNvPr id="236" name="Rectangle 235">
                <a:extLst>
                  <a:ext uri="{FF2B5EF4-FFF2-40B4-BE49-F238E27FC236}">
                    <a16:creationId xmlns:a16="http://schemas.microsoft.com/office/drawing/2014/main" id="{00000000-0008-0000-0200-0000EC000000}"/>
                  </a:ext>
                </a:extLst>
              </xdr:cNvPr>
              <xdr:cNvSpPr/>
            </xdr:nvSpPr>
            <xdr:spPr>
              <a:xfrm>
                <a:off x="7730434" y="5024784"/>
                <a:ext cx="496930" cy="199625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lgDashDotDot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cxnSp macro="">
            <xdr:nvCxnSpPr>
              <xdr:cNvPr id="237" name="Straight Connector 236">
                <a:extLst>
                  <a:ext uri="{FF2B5EF4-FFF2-40B4-BE49-F238E27FC236}">
                    <a16:creationId xmlns:a16="http://schemas.microsoft.com/office/drawing/2014/main" id="{00000000-0008-0000-0200-0000ED000000}"/>
                  </a:ext>
                </a:extLst>
              </xdr:cNvPr>
              <xdr:cNvCxnSpPr/>
            </xdr:nvCxnSpPr>
            <xdr:spPr>
              <a:xfrm>
                <a:off x="8227364" y="5224409"/>
                <a:ext cx="240420" cy="0"/>
              </a:xfrm>
              <a:prstGeom prst="line">
                <a:avLst/>
              </a:prstGeom>
              <a:ln>
                <a:solidFill>
                  <a:schemeClr val="tx1"/>
                </a:solidFill>
                <a:prstDash val="lgDashDot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35" name="TextBox 234">
              <a:extLst>
                <a:ext uri="{FF2B5EF4-FFF2-40B4-BE49-F238E27FC236}">
                  <a16:creationId xmlns:a16="http://schemas.microsoft.com/office/drawing/2014/main" id="{00000000-0008-0000-0200-0000EB000000}"/>
                </a:ext>
              </a:extLst>
            </xdr:cNvPr>
            <xdr:cNvSpPr txBox="1"/>
          </xdr:nvSpPr>
          <xdr:spPr>
            <a:xfrm>
              <a:off x="8012135" y="4684367"/>
              <a:ext cx="1482588" cy="5681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Sonnen Consumption CTs</a:t>
              </a:r>
            </a:p>
          </xdr:txBody>
        </xdr:sp>
      </xdr:grpSp>
      <xdr:cxnSp macro="">
        <xdr:nvCxnSpPr>
          <xdr:cNvPr id="268" name="Straight Connector 267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CxnSpPr/>
        </xdr:nvCxnSpPr>
        <xdr:spPr>
          <a:xfrm>
            <a:off x="5915891" y="7016299"/>
            <a:ext cx="0" cy="2583859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475" name="Group 474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GrpSpPr/>
        </xdr:nvGrpSpPr>
        <xdr:grpSpPr>
          <a:xfrm>
            <a:off x="4002815" y="5989672"/>
            <a:ext cx="267035" cy="643989"/>
            <a:chOff x="3291679" y="5440218"/>
            <a:chExt cx="275787" cy="639287"/>
          </a:xfrm>
        </xdr:grpSpPr>
        <xdr:grpSp>
          <xdr:nvGrpSpPr>
            <xdr:cNvPr id="476" name="Group 475">
              <a:extLst>
                <a:ext uri="{FF2B5EF4-FFF2-40B4-BE49-F238E27FC236}">
                  <a16:creationId xmlns:a16="http://schemas.microsoft.com/office/drawing/2014/main" id="{00000000-0008-0000-0200-0000DC010000}"/>
                </a:ext>
              </a:extLst>
            </xdr:cNvPr>
            <xdr:cNvGrpSpPr/>
          </xdr:nvGrpSpPr>
          <xdr:grpSpPr>
            <a:xfrm>
              <a:off x="3291679" y="5440218"/>
              <a:ext cx="275787" cy="318559"/>
              <a:chOff x="3291679" y="5440218"/>
              <a:chExt cx="275787" cy="318559"/>
            </a:xfrm>
          </xdr:grpSpPr>
          <xdr:sp macro="" textlink="">
            <xdr:nvSpPr>
              <xdr:cNvPr id="478" name="Shape 27">
                <a:extLst>
                  <a:ext uri="{FF2B5EF4-FFF2-40B4-BE49-F238E27FC236}">
                    <a16:creationId xmlns:a16="http://schemas.microsoft.com/office/drawing/2014/main" id="{00000000-0008-0000-0200-0000DE010000}"/>
                  </a:ext>
                </a:extLst>
              </xdr:cNvPr>
              <xdr:cNvSpPr/>
            </xdr:nvSpPr>
            <xdr:spPr>
              <a:xfrm>
                <a:off x="3291679" y="544021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90" name="Shape 27">
                <a:extLst>
                  <a:ext uri="{FF2B5EF4-FFF2-40B4-BE49-F238E27FC236}">
                    <a16:creationId xmlns:a16="http://schemas.microsoft.com/office/drawing/2014/main" id="{00000000-0008-0000-0200-0000EA010000}"/>
                  </a:ext>
                </a:extLst>
              </xdr:cNvPr>
              <xdr:cNvSpPr/>
            </xdr:nvSpPr>
            <xdr:spPr>
              <a:xfrm>
                <a:off x="3292522" y="5659090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02" name="Shape 26">
                <a:extLst>
                  <a:ext uri="{FF2B5EF4-FFF2-40B4-BE49-F238E27FC236}">
                    <a16:creationId xmlns:a16="http://schemas.microsoft.com/office/drawing/2014/main" id="{00000000-0008-0000-0200-0000F6010000}"/>
                  </a:ext>
                </a:extLst>
              </xdr:cNvPr>
              <xdr:cNvSpPr/>
            </xdr:nvSpPr>
            <xdr:spPr>
              <a:xfrm flipH="1">
                <a:off x="3354767" y="5472735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477" name="Straight Connector 476">
              <a:extLst>
                <a:ext uri="{FF2B5EF4-FFF2-40B4-BE49-F238E27FC236}">
                  <a16:creationId xmlns:a16="http://schemas.microsoft.com/office/drawing/2014/main" id="{00000000-0008-0000-0200-0000DD010000}"/>
                </a:ext>
              </a:extLst>
            </xdr:cNvPr>
            <xdr:cNvCxnSpPr/>
          </xdr:nvCxnSpPr>
          <xdr:spPr>
            <a:xfrm>
              <a:off x="3340311" y="5762003"/>
              <a:ext cx="0" cy="317502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32" name="Shape 18">
            <a:extLst>
              <a:ext uri="{FF2B5EF4-FFF2-40B4-BE49-F238E27FC236}">
                <a16:creationId xmlns:a16="http://schemas.microsoft.com/office/drawing/2014/main" id="{00000000-0008-0000-0200-000014020000}"/>
              </a:ext>
            </a:extLst>
          </xdr:cNvPr>
          <xdr:cNvSpPr/>
        </xdr:nvSpPr>
        <xdr:spPr>
          <a:xfrm>
            <a:off x="4046083" y="5356663"/>
            <a:ext cx="0" cy="62994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cxnSp macro="">
        <xdr:nvCxnSpPr>
          <xdr:cNvPr id="536" name="Straight Connector 535">
            <a:extLst>
              <a:ext uri="{FF2B5EF4-FFF2-40B4-BE49-F238E27FC236}">
                <a16:creationId xmlns:a16="http://schemas.microsoft.com/office/drawing/2014/main" id="{00000000-0008-0000-0200-000018020000}"/>
              </a:ext>
            </a:extLst>
          </xdr:cNvPr>
          <xdr:cNvCxnSpPr/>
        </xdr:nvCxnSpPr>
        <xdr:spPr>
          <a:xfrm>
            <a:off x="4342190" y="5258285"/>
            <a:ext cx="0" cy="1379398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2" name="Straight Connector 711">
            <a:extLst>
              <a:ext uri="{FF2B5EF4-FFF2-40B4-BE49-F238E27FC236}">
                <a16:creationId xmlns:a16="http://schemas.microsoft.com/office/drawing/2014/main" id="{00000000-0008-0000-0200-0000C8020000}"/>
              </a:ext>
            </a:extLst>
          </xdr:cNvPr>
          <xdr:cNvCxnSpPr/>
        </xdr:nvCxnSpPr>
        <xdr:spPr>
          <a:xfrm>
            <a:off x="4429515" y="7001866"/>
            <a:ext cx="1492009" cy="0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22</xdr:col>
      <xdr:colOff>144297</xdr:colOff>
      <xdr:row>54</xdr:row>
      <xdr:rowOff>16796</xdr:rowOff>
    </xdr:from>
    <xdr:to>
      <xdr:col>27</xdr:col>
      <xdr:colOff>110067</xdr:colOff>
      <xdr:row>58</xdr:row>
      <xdr:rowOff>101600</xdr:rowOff>
    </xdr:to>
    <xdr:sp macro="" textlink="">
      <xdr:nvSpPr>
        <xdr:cNvPr id="533" name="Rectangle 532">
          <a:extLst>
            <a:ext uri="{FF2B5EF4-FFF2-40B4-BE49-F238E27FC236}">
              <a16:creationId xmlns:a16="http://schemas.microsoft.com/office/drawing/2014/main" id="{00000000-0008-0000-0200-000015020000}"/>
            </a:ext>
          </a:extLst>
        </xdr:cNvPr>
        <xdr:cNvSpPr/>
      </xdr:nvSpPr>
      <xdr:spPr>
        <a:xfrm rot="16200000">
          <a:off x="6045121" y="10741427"/>
          <a:ext cx="892985" cy="1264634"/>
        </a:xfrm>
        <a:prstGeom prst="rect">
          <a:avLst/>
        </a:prstGeom>
        <a:noFill/>
        <a:ln w="6350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24</xdr:col>
      <xdr:colOff>68596</xdr:colOff>
      <xdr:row>54</xdr:row>
      <xdr:rowOff>24423</xdr:rowOff>
    </xdr:from>
    <xdr:to>
      <xdr:col>24</xdr:col>
      <xdr:colOff>68596</xdr:colOff>
      <xdr:row>55</xdr:row>
      <xdr:rowOff>128866</xdr:rowOff>
    </xdr:to>
    <xdr:sp macro="" textlink="">
      <xdr:nvSpPr>
        <xdr:cNvPr id="543" name="Shape 18">
          <a:extLst>
            <a:ext uri="{FF2B5EF4-FFF2-40B4-BE49-F238E27FC236}">
              <a16:creationId xmlns:a16="http://schemas.microsoft.com/office/drawing/2014/main" id="{00000000-0008-0000-0200-00001F020000}"/>
            </a:ext>
          </a:extLst>
        </xdr:cNvPr>
        <xdr:cNvSpPr/>
      </xdr:nvSpPr>
      <xdr:spPr>
        <a:xfrm>
          <a:off x="5656596" y="11102731"/>
          <a:ext cx="0" cy="309597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/>
        <a:lstStyle/>
        <a:p>
          <a:pPr lvl="0"/>
          <a:endParaRPr/>
        </a:p>
      </xdr:txBody>
    </xdr:sp>
    <xdr:clientData/>
  </xdr:twoCellAnchor>
  <xdr:twoCellAnchor>
    <xdr:from>
      <xdr:col>25</xdr:col>
      <xdr:colOff>35380</xdr:colOff>
      <xdr:row>54</xdr:row>
      <xdr:rowOff>15631</xdr:rowOff>
    </xdr:from>
    <xdr:to>
      <xdr:col>25</xdr:col>
      <xdr:colOff>35380</xdr:colOff>
      <xdr:row>55</xdr:row>
      <xdr:rowOff>120074</xdr:rowOff>
    </xdr:to>
    <xdr:sp macro="" textlink="">
      <xdr:nvSpPr>
        <xdr:cNvPr id="545" name="Shape 18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/>
      </xdr:nvSpPr>
      <xdr:spPr>
        <a:xfrm>
          <a:off x="5877380" y="11093939"/>
          <a:ext cx="0" cy="309597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/>
        <a:lstStyle/>
        <a:p>
          <a:pPr lvl="0"/>
          <a:endParaRPr/>
        </a:p>
      </xdr:txBody>
    </xdr:sp>
    <xdr:clientData/>
  </xdr:twoCellAnchor>
  <xdr:twoCellAnchor>
    <xdr:from>
      <xdr:col>24</xdr:col>
      <xdr:colOff>70549</xdr:colOff>
      <xdr:row>57</xdr:row>
      <xdr:rowOff>21493</xdr:rowOff>
    </xdr:from>
    <xdr:to>
      <xdr:col>24</xdr:col>
      <xdr:colOff>70549</xdr:colOff>
      <xdr:row>58</xdr:row>
      <xdr:rowOff>97692</xdr:rowOff>
    </xdr:to>
    <xdr:sp macro="" textlink="">
      <xdr:nvSpPr>
        <xdr:cNvPr id="547" name="Shape 18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/>
      </xdr:nvSpPr>
      <xdr:spPr>
        <a:xfrm>
          <a:off x="5658549" y="11715262"/>
          <a:ext cx="0" cy="281353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/>
        <a:lstStyle/>
        <a:p>
          <a:pPr lvl="0"/>
          <a:endParaRPr/>
        </a:p>
      </xdr:txBody>
    </xdr:sp>
    <xdr:clientData/>
  </xdr:twoCellAnchor>
  <xdr:twoCellAnchor>
    <xdr:from>
      <xdr:col>25</xdr:col>
      <xdr:colOff>27564</xdr:colOff>
      <xdr:row>57</xdr:row>
      <xdr:rowOff>27355</xdr:rowOff>
    </xdr:from>
    <xdr:to>
      <xdr:col>25</xdr:col>
      <xdr:colOff>27564</xdr:colOff>
      <xdr:row>58</xdr:row>
      <xdr:rowOff>103554</xdr:rowOff>
    </xdr:to>
    <xdr:sp macro="" textlink="">
      <xdr:nvSpPr>
        <xdr:cNvPr id="548" name="Shape 18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/>
      </xdr:nvSpPr>
      <xdr:spPr>
        <a:xfrm>
          <a:off x="5869564" y="11721124"/>
          <a:ext cx="0" cy="281353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/>
        <a:lstStyle/>
        <a:p>
          <a:pPr lvl="0"/>
          <a:endParaRPr/>
        </a:p>
      </xdr:txBody>
    </xdr:sp>
    <xdr:clientData/>
  </xdr:twoCellAnchor>
  <xdr:twoCellAnchor>
    <xdr:from>
      <xdr:col>35</xdr:col>
      <xdr:colOff>144319</xdr:colOff>
      <xdr:row>41</xdr:row>
      <xdr:rowOff>158749</xdr:rowOff>
    </xdr:from>
    <xdr:to>
      <xdr:col>57</xdr:col>
      <xdr:colOff>101023</xdr:colOff>
      <xdr:row>57</xdr:row>
      <xdr:rowOff>178383</xdr:rowOff>
    </xdr:to>
    <xdr:sp macro="" textlink="">
      <xdr:nvSpPr>
        <xdr:cNvPr id="568" name="Dash">
          <a:extLst>
            <a:ext uri="{FF2B5EF4-FFF2-40B4-BE49-F238E27FC236}">
              <a16:creationId xmlns:a16="http://schemas.microsoft.com/office/drawing/2014/main" id="{00000000-0008-0000-0200-000038020000}"/>
            </a:ext>
          </a:extLst>
        </xdr:cNvPr>
        <xdr:cNvSpPr/>
      </xdr:nvSpPr>
      <xdr:spPr>
        <a:xfrm>
          <a:off x="9236364" y="8442613"/>
          <a:ext cx="5671704" cy="3252361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21</xdr:col>
      <xdr:colOff>118897</xdr:colOff>
      <xdr:row>46</xdr:row>
      <xdr:rowOff>18720</xdr:rowOff>
    </xdr:from>
    <xdr:to>
      <xdr:col>22</xdr:col>
      <xdr:colOff>150645</xdr:colOff>
      <xdr:row>54</xdr:row>
      <xdr:rowOff>32277</xdr:rowOff>
    </xdr:to>
    <xdr:sp macro="" textlink="">
      <xdr:nvSpPr>
        <xdr:cNvPr id="537" name="Rectangle 536">
          <a:extLst>
            <a:ext uri="{FF2B5EF4-FFF2-40B4-BE49-F238E27FC236}">
              <a16:creationId xmlns:a16="http://schemas.microsoft.com/office/drawing/2014/main" id="{00000000-0008-0000-0200-000019020000}"/>
            </a:ext>
          </a:extLst>
        </xdr:cNvPr>
        <xdr:cNvSpPr/>
      </xdr:nvSpPr>
      <xdr:spPr>
        <a:xfrm rot="16200000">
          <a:off x="4904924" y="9982011"/>
          <a:ext cx="1629921" cy="291521"/>
        </a:xfrm>
        <a:prstGeom prst="rect">
          <a:avLst/>
        </a:prstGeom>
        <a:noFill/>
        <a:ln w="6350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20</xdr:col>
      <xdr:colOff>174916</xdr:colOff>
      <xdr:row>46</xdr:row>
      <xdr:rowOff>45949</xdr:rowOff>
    </xdr:from>
    <xdr:to>
      <xdr:col>23</xdr:col>
      <xdr:colOff>60965</xdr:colOff>
      <xdr:row>53</xdr:row>
      <xdr:rowOff>26899</xdr:rowOff>
    </xdr:to>
    <xdr:sp macro="" textlink="">
      <xdr:nvSpPr>
        <xdr:cNvPr id="544" name="TextBox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 rot="16200000">
          <a:off x="5005421" y="9704990"/>
          <a:ext cx="1395268" cy="665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AC out</a:t>
          </a:r>
        </a:p>
      </xdr:txBody>
    </xdr:sp>
    <xdr:clientData/>
  </xdr:twoCellAnchor>
  <xdr:twoCellAnchor>
    <xdr:from>
      <xdr:col>8</xdr:col>
      <xdr:colOff>182365</xdr:colOff>
      <xdr:row>25</xdr:row>
      <xdr:rowOff>160016</xdr:rowOff>
    </xdr:from>
    <xdr:to>
      <xdr:col>21</xdr:col>
      <xdr:colOff>115455</xdr:colOff>
      <xdr:row>47</xdr:row>
      <xdr:rowOff>72159</xdr:rowOff>
    </xdr:to>
    <xdr:grpSp>
      <xdr:nvGrpSpPr>
        <xdr:cNvPr id="200" name="Protec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GrpSpPr/>
      </xdr:nvGrpSpPr>
      <xdr:grpSpPr>
        <a:xfrm>
          <a:off x="2214365" y="5240016"/>
          <a:ext cx="3235090" cy="4382543"/>
          <a:chOff x="2196848" y="5360447"/>
          <a:chExt cx="3206624" cy="4488522"/>
        </a:xfrm>
      </xdr:grpSpPr>
      <xdr:grpSp>
        <xdr:nvGrpSpPr>
          <xdr:cNvPr id="471" name="Group 470">
            <a:extLst>
              <a:ext uri="{FF2B5EF4-FFF2-40B4-BE49-F238E27FC236}">
                <a16:creationId xmlns:a16="http://schemas.microsoft.com/office/drawing/2014/main" id="{00000000-0008-0000-0200-0000D7010000}"/>
              </a:ext>
            </a:extLst>
          </xdr:cNvPr>
          <xdr:cNvGrpSpPr/>
        </xdr:nvGrpSpPr>
        <xdr:grpSpPr>
          <a:xfrm>
            <a:off x="2196848" y="7791211"/>
            <a:ext cx="1475250" cy="1111631"/>
            <a:chOff x="12080151" y="5032036"/>
            <a:chExt cx="1488867" cy="1071478"/>
          </a:xfrm>
        </xdr:grpSpPr>
        <xdr:grpSp>
          <xdr:nvGrpSpPr>
            <xdr:cNvPr id="461" name="Group 460">
              <a:extLst>
                <a:ext uri="{FF2B5EF4-FFF2-40B4-BE49-F238E27FC236}">
                  <a16:creationId xmlns:a16="http://schemas.microsoft.com/office/drawing/2014/main" id="{00000000-0008-0000-0200-0000CD010000}"/>
                </a:ext>
              </a:extLst>
            </xdr:cNvPr>
            <xdr:cNvGrpSpPr/>
          </xdr:nvGrpSpPr>
          <xdr:grpSpPr>
            <a:xfrm>
              <a:off x="12080151" y="5032036"/>
              <a:ext cx="1488867" cy="642667"/>
              <a:chOff x="9622984" y="1895346"/>
              <a:chExt cx="1532063" cy="640281"/>
            </a:xfrm>
          </xdr:grpSpPr>
          <xdr:sp macro="" textlink="">
            <xdr:nvSpPr>
              <xdr:cNvPr id="462" name="Rectangle 461">
                <a:extLst>
                  <a:ext uri="{FF2B5EF4-FFF2-40B4-BE49-F238E27FC236}">
                    <a16:creationId xmlns:a16="http://schemas.microsoft.com/office/drawing/2014/main" id="{00000000-0008-0000-0200-0000CE010000}"/>
                  </a:ext>
                </a:extLst>
              </xdr:cNvPr>
              <xdr:cNvSpPr/>
            </xdr:nvSpPr>
            <xdr:spPr>
              <a:xfrm>
                <a:off x="9877526" y="1895346"/>
                <a:ext cx="1141852" cy="640281"/>
              </a:xfrm>
              <a:prstGeom prst="rect">
                <a:avLst/>
              </a:prstGeom>
              <a:solidFill>
                <a:schemeClr val="bg1"/>
              </a:solidFill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463" name="TextBox 462">
                <a:extLst>
                  <a:ext uri="{FF2B5EF4-FFF2-40B4-BE49-F238E27FC236}">
                    <a16:creationId xmlns:a16="http://schemas.microsoft.com/office/drawing/2014/main" id="{00000000-0008-0000-0200-0000CF010000}"/>
                  </a:ext>
                </a:extLst>
              </xdr:cNvPr>
              <xdr:cNvSpPr txBox="1"/>
            </xdr:nvSpPr>
            <xdr:spPr>
              <a:xfrm>
                <a:off x="9622984" y="1949362"/>
                <a:ext cx="1532063" cy="55595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100"/>
                  <a:t>SonnenProtect</a:t>
                </a:r>
              </a:p>
            </xdr:txBody>
          </xdr:sp>
        </xdr:grpSp>
        <xdr:sp macro="" textlink="">
          <xdr:nvSpPr>
            <xdr:cNvPr id="465" name="Shape 18">
              <a:extLst>
                <a:ext uri="{FF2B5EF4-FFF2-40B4-BE49-F238E27FC236}">
                  <a16:creationId xmlns:a16="http://schemas.microsoft.com/office/drawing/2014/main" id="{00000000-0008-0000-0200-0000D1010000}"/>
                </a:ext>
              </a:extLst>
            </xdr:cNvPr>
            <xdr:cNvSpPr/>
          </xdr:nvSpPr>
          <xdr:spPr>
            <a:xfrm>
              <a:off x="12506586" y="5691282"/>
              <a:ext cx="0" cy="412232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504" name="Group 503">
            <a:extLst>
              <a:ext uri="{FF2B5EF4-FFF2-40B4-BE49-F238E27FC236}">
                <a16:creationId xmlns:a16="http://schemas.microsoft.com/office/drawing/2014/main" id="{00000000-0008-0000-0200-0000F8010000}"/>
              </a:ext>
            </a:extLst>
          </xdr:cNvPr>
          <xdr:cNvGrpSpPr/>
        </xdr:nvGrpSpPr>
        <xdr:grpSpPr>
          <a:xfrm>
            <a:off x="3012868" y="5993456"/>
            <a:ext cx="262141" cy="1811268"/>
            <a:chOff x="3291679" y="5440218"/>
            <a:chExt cx="275787" cy="1794973"/>
          </a:xfrm>
        </xdr:grpSpPr>
        <xdr:grpSp>
          <xdr:nvGrpSpPr>
            <xdr:cNvPr id="519" name="Group 518">
              <a:extLst>
                <a:ext uri="{FF2B5EF4-FFF2-40B4-BE49-F238E27FC236}">
                  <a16:creationId xmlns:a16="http://schemas.microsoft.com/office/drawing/2014/main" id="{00000000-0008-0000-0200-000007020000}"/>
                </a:ext>
              </a:extLst>
            </xdr:cNvPr>
            <xdr:cNvGrpSpPr/>
          </xdr:nvGrpSpPr>
          <xdr:grpSpPr>
            <a:xfrm>
              <a:off x="3291679" y="5440218"/>
              <a:ext cx="275787" cy="318559"/>
              <a:chOff x="3291679" y="5440218"/>
              <a:chExt cx="275787" cy="318559"/>
            </a:xfrm>
          </xdr:grpSpPr>
          <xdr:sp macro="" textlink="">
            <xdr:nvSpPr>
              <xdr:cNvPr id="523" name="Shape 27">
                <a:extLst>
                  <a:ext uri="{FF2B5EF4-FFF2-40B4-BE49-F238E27FC236}">
                    <a16:creationId xmlns:a16="http://schemas.microsoft.com/office/drawing/2014/main" id="{00000000-0008-0000-0200-00000B020000}"/>
                  </a:ext>
                </a:extLst>
              </xdr:cNvPr>
              <xdr:cNvSpPr/>
            </xdr:nvSpPr>
            <xdr:spPr>
              <a:xfrm>
                <a:off x="3291679" y="544021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24" name="Shape 27">
                <a:extLst>
                  <a:ext uri="{FF2B5EF4-FFF2-40B4-BE49-F238E27FC236}">
                    <a16:creationId xmlns:a16="http://schemas.microsoft.com/office/drawing/2014/main" id="{00000000-0008-0000-0200-00000C020000}"/>
                  </a:ext>
                </a:extLst>
              </xdr:cNvPr>
              <xdr:cNvSpPr/>
            </xdr:nvSpPr>
            <xdr:spPr>
              <a:xfrm>
                <a:off x="3292522" y="5659090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25" name="Shape 26">
                <a:extLst>
                  <a:ext uri="{FF2B5EF4-FFF2-40B4-BE49-F238E27FC236}">
                    <a16:creationId xmlns:a16="http://schemas.microsoft.com/office/drawing/2014/main" id="{00000000-0008-0000-0200-00000D020000}"/>
                  </a:ext>
                </a:extLst>
              </xdr:cNvPr>
              <xdr:cNvSpPr/>
            </xdr:nvSpPr>
            <xdr:spPr>
              <a:xfrm flipH="1">
                <a:off x="3354767" y="5472735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/>
          </xdr:nvCxnSpPr>
          <xdr:spPr>
            <a:xfrm>
              <a:off x="3340311" y="5762003"/>
              <a:ext cx="0" cy="1473188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34" name="Shape 18">
            <a:extLst>
              <a:ext uri="{FF2B5EF4-FFF2-40B4-BE49-F238E27FC236}">
                <a16:creationId xmlns:a16="http://schemas.microsoft.com/office/drawing/2014/main" id="{00000000-0008-0000-0200-000016020000}"/>
              </a:ext>
            </a:extLst>
          </xdr:cNvPr>
          <xdr:cNvSpPr/>
        </xdr:nvSpPr>
        <xdr:spPr>
          <a:xfrm>
            <a:off x="3069645" y="5360447"/>
            <a:ext cx="0" cy="62994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710" name="Shape 18">
            <a:extLst>
              <a:ext uri="{FF2B5EF4-FFF2-40B4-BE49-F238E27FC236}">
                <a16:creationId xmlns:a16="http://schemas.microsoft.com/office/drawing/2014/main" id="{00000000-0008-0000-0200-0000C6020000}"/>
              </a:ext>
            </a:extLst>
          </xdr:cNvPr>
          <xdr:cNvSpPr/>
        </xdr:nvSpPr>
        <xdr:spPr>
          <a:xfrm>
            <a:off x="3225803" y="8465008"/>
            <a:ext cx="0" cy="1383961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cxnSp macro="">
        <xdr:nvCxnSpPr>
          <xdr:cNvPr id="711" name="Straight Connector 710">
            <a:extLst>
              <a:ext uri="{FF2B5EF4-FFF2-40B4-BE49-F238E27FC236}">
                <a16:creationId xmlns:a16="http://schemas.microsoft.com/office/drawing/2014/main" id="{00000000-0008-0000-0200-0000C7020000}"/>
              </a:ext>
            </a:extLst>
          </xdr:cNvPr>
          <xdr:cNvCxnSpPr/>
        </xdr:nvCxnSpPr>
        <xdr:spPr>
          <a:xfrm flipH="1">
            <a:off x="3223770" y="9837911"/>
            <a:ext cx="2179702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59" name="TextBox 558">
            <a:extLst>
              <a:ext uri="{FF2B5EF4-FFF2-40B4-BE49-F238E27FC236}">
                <a16:creationId xmlns:a16="http://schemas.microsoft.com/office/drawing/2014/main" id="{00000000-0008-0000-0200-00002F020000}"/>
              </a:ext>
            </a:extLst>
          </xdr:cNvPr>
          <xdr:cNvSpPr txBox="1"/>
        </xdr:nvSpPr>
        <xdr:spPr>
          <a:xfrm>
            <a:off x="2276893" y="8842099"/>
            <a:ext cx="685722" cy="5768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800"/>
              <a:t>Back</a:t>
            </a:r>
            <a:r>
              <a:rPr lang="en-GB" sz="800" baseline="0"/>
              <a:t> Up </a:t>
            </a:r>
          </a:p>
          <a:p>
            <a:pPr algn="ctr"/>
            <a:r>
              <a:rPr lang="en-GB" sz="800" baseline="0"/>
              <a:t>Loads</a:t>
            </a:r>
            <a:endParaRPr lang="en-GB" sz="800"/>
          </a:p>
        </xdr:txBody>
      </xdr:sp>
    </xdr:grpSp>
    <xdr:clientData/>
  </xdr:twoCellAnchor>
  <xdr:twoCellAnchor>
    <xdr:from>
      <xdr:col>23</xdr:col>
      <xdr:colOff>126593</xdr:colOff>
      <xdr:row>25</xdr:row>
      <xdr:rowOff>167760</xdr:rowOff>
    </xdr:from>
    <xdr:to>
      <xdr:col>43</xdr:col>
      <xdr:colOff>56792</xdr:colOff>
      <xdr:row>36</xdr:row>
      <xdr:rowOff>81442</xdr:rowOff>
    </xdr:to>
    <xdr:grpSp>
      <xdr:nvGrpSpPr>
        <xdr:cNvPr id="560" name="ExtraArray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GrpSpPr/>
      </xdr:nvGrpSpPr>
      <xdr:grpSpPr>
        <a:xfrm>
          <a:off x="5968593" y="5247760"/>
          <a:ext cx="5010199" cy="2148882"/>
          <a:chOff x="928366" y="10504414"/>
          <a:chExt cx="4955966" cy="2154663"/>
        </a:xfrm>
      </xdr:grpSpPr>
      <xdr:grpSp>
        <xdr:nvGrpSpPr>
          <xdr:cNvPr id="561" name="Group 560">
            <a:extLst>
              <a:ext uri="{FF2B5EF4-FFF2-40B4-BE49-F238E27FC236}">
                <a16:creationId xmlns:a16="http://schemas.microsoft.com/office/drawing/2014/main" id="{00000000-0008-0000-0200-000031020000}"/>
              </a:ext>
            </a:extLst>
          </xdr:cNvPr>
          <xdr:cNvGrpSpPr/>
        </xdr:nvGrpSpPr>
        <xdr:grpSpPr>
          <a:xfrm>
            <a:off x="962272" y="10960100"/>
            <a:ext cx="4724215" cy="1269276"/>
            <a:chOff x="3001654" y="4975411"/>
            <a:chExt cx="4619607" cy="1316399"/>
          </a:xfrm>
        </xdr:grpSpPr>
        <xdr:grpSp>
          <xdr:nvGrpSpPr>
            <xdr:cNvPr id="575" name="Group 574">
              <a:extLst>
                <a:ext uri="{FF2B5EF4-FFF2-40B4-BE49-F238E27FC236}">
                  <a16:creationId xmlns:a16="http://schemas.microsoft.com/office/drawing/2014/main" id="{00000000-0008-0000-0200-00003F02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626" name="Group 625">
                <a:extLst>
                  <a:ext uri="{FF2B5EF4-FFF2-40B4-BE49-F238E27FC236}">
                    <a16:creationId xmlns:a16="http://schemas.microsoft.com/office/drawing/2014/main" id="{00000000-0008-0000-0200-00007202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675" name="Shape 5">
                  <a:extLst>
                    <a:ext uri="{FF2B5EF4-FFF2-40B4-BE49-F238E27FC236}">
                      <a16:creationId xmlns:a16="http://schemas.microsoft.com/office/drawing/2014/main" id="{00000000-0008-0000-0200-0000A302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76" name="Shape 6">
                  <a:extLst>
                    <a:ext uri="{FF2B5EF4-FFF2-40B4-BE49-F238E27FC236}">
                      <a16:creationId xmlns:a16="http://schemas.microsoft.com/office/drawing/2014/main" id="{00000000-0008-0000-0200-0000A402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77" name="Shape 7">
                  <a:extLst>
                    <a:ext uri="{FF2B5EF4-FFF2-40B4-BE49-F238E27FC236}">
                      <a16:creationId xmlns:a16="http://schemas.microsoft.com/office/drawing/2014/main" id="{00000000-0008-0000-0200-0000A502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78" name="Shape 8">
                  <a:extLst>
                    <a:ext uri="{FF2B5EF4-FFF2-40B4-BE49-F238E27FC236}">
                      <a16:creationId xmlns:a16="http://schemas.microsoft.com/office/drawing/2014/main" id="{00000000-0008-0000-0200-0000A602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627" name="Rectangle 626">
                <a:extLst>
                  <a:ext uri="{FF2B5EF4-FFF2-40B4-BE49-F238E27FC236}">
                    <a16:creationId xmlns:a16="http://schemas.microsoft.com/office/drawing/2014/main" id="{00000000-0008-0000-0200-00007302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576" name="Group 575">
              <a:extLst>
                <a:ext uri="{FF2B5EF4-FFF2-40B4-BE49-F238E27FC236}">
                  <a16:creationId xmlns:a16="http://schemas.microsoft.com/office/drawing/2014/main" id="{00000000-0008-0000-0200-000040020000}"/>
                </a:ext>
              </a:extLst>
            </xdr:cNvPr>
            <xdr:cNvGrpSpPr/>
          </xdr:nvGrpSpPr>
          <xdr:grpSpPr>
            <a:xfrm>
              <a:off x="3001654" y="5492101"/>
              <a:ext cx="3856349" cy="564535"/>
              <a:chOff x="4540538" y="6917765"/>
              <a:chExt cx="3845161" cy="545353"/>
            </a:xfrm>
          </xdr:grpSpPr>
          <xdr:sp macro="" textlink="">
            <xdr:nvSpPr>
              <xdr:cNvPr id="577" name="Shape 27">
                <a:extLst>
                  <a:ext uri="{FF2B5EF4-FFF2-40B4-BE49-F238E27FC236}">
                    <a16:creationId xmlns:a16="http://schemas.microsoft.com/office/drawing/2014/main" id="{00000000-0008-0000-0200-00004102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78" name="Shape 27">
                <a:extLst>
                  <a:ext uri="{FF2B5EF4-FFF2-40B4-BE49-F238E27FC236}">
                    <a16:creationId xmlns:a16="http://schemas.microsoft.com/office/drawing/2014/main" id="{00000000-0008-0000-0200-00004202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79" name="Shape 26">
                <a:extLst>
                  <a:ext uri="{FF2B5EF4-FFF2-40B4-BE49-F238E27FC236}">
                    <a16:creationId xmlns:a16="http://schemas.microsoft.com/office/drawing/2014/main" id="{00000000-0008-0000-0200-00004302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580" name="Straight Connector 579">
                <a:extLst>
                  <a:ext uri="{FF2B5EF4-FFF2-40B4-BE49-F238E27FC236}">
                    <a16:creationId xmlns:a16="http://schemas.microsoft.com/office/drawing/2014/main" id="{00000000-0008-0000-0200-000044020000}"/>
                  </a:ext>
                </a:extLst>
              </xdr:cNvPr>
              <xdr:cNvCxnSpPr/>
            </xdr:nvCxnSpPr>
            <xdr:spPr>
              <a:xfrm flipH="1">
                <a:off x="4540538" y="7270910"/>
                <a:ext cx="2578933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81" name="Straight Connector 580">
                <a:extLst>
                  <a:ext uri="{FF2B5EF4-FFF2-40B4-BE49-F238E27FC236}">
                    <a16:creationId xmlns:a16="http://schemas.microsoft.com/office/drawing/2014/main" id="{00000000-0008-0000-0200-000045020000}"/>
                  </a:ext>
                </a:extLst>
              </xdr:cNvPr>
              <xdr:cNvCxnSpPr/>
            </xdr:nvCxnSpPr>
            <xdr:spPr>
              <a:xfrm flipH="1">
                <a:off x="7625908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582" name="Rectangle 581">
                <a:extLst>
                  <a:ext uri="{FF2B5EF4-FFF2-40B4-BE49-F238E27FC236}">
                    <a16:creationId xmlns:a16="http://schemas.microsoft.com/office/drawing/2014/main" id="{00000000-0008-0000-0200-00004602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562" name="Group 56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pSpPr/>
        </xdr:nvGrpSpPr>
        <xdr:grpSpPr>
          <a:xfrm>
            <a:off x="928366" y="11242381"/>
            <a:ext cx="269222" cy="566742"/>
            <a:chOff x="2262178" y="10703822"/>
            <a:chExt cx="275786" cy="563124"/>
          </a:xfrm>
        </xdr:grpSpPr>
        <xdr:grpSp>
          <xdr:nvGrpSpPr>
            <xdr:cNvPr id="570" name="Group 569">
              <a:extLst>
                <a:ext uri="{FF2B5EF4-FFF2-40B4-BE49-F238E27FC236}">
                  <a16:creationId xmlns:a16="http://schemas.microsoft.com/office/drawing/2014/main" id="{00000000-0008-0000-0200-00003A020000}"/>
                </a:ext>
              </a:extLst>
            </xdr:cNvPr>
            <xdr:cNvGrpSpPr/>
          </xdr:nvGrpSpPr>
          <xdr:grpSpPr>
            <a:xfrm>
              <a:off x="2262178" y="10703822"/>
              <a:ext cx="275786" cy="318550"/>
              <a:chOff x="2262178" y="10703822"/>
              <a:chExt cx="275786" cy="318550"/>
            </a:xfrm>
          </xdr:grpSpPr>
          <xdr:sp macro="" textlink="">
            <xdr:nvSpPr>
              <xdr:cNvPr id="572" name="Shape 27">
                <a:extLst>
                  <a:ext uri="{FF2B5EF4-FFF2-40B4-BE49-F238E27FC236}">
                    <a16:creationId xmlns:a16="http://schemas.microsoft.com/office/drawing/2014/main" id="{00000000-0008-0000-0200-00003C020000}"/>
                  </a:ext>
                </a:extLst>
              </xdr:cNvPr>
              <xdr:cNvSpPr/>
            </xdr:nvSpPr>
            <xdr:spPr>
              <a:xfrm>
                <a:off x="2262178" y="10703822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73" name="Shape 27">
                <a:extLst>
                  <a:ext uri="{FF2B5EF4-FFF2-40B4-BE49-F238E27FC236}">
                    <a16:creationId xmlns:a16="http://schemas.microsoft.com/office/drawing/2014/main" id="{00000000-0008-0000-0200-00003D020000}"/>
                  </a:ext>
                </a:extLst>
              </xdr:cNvPr>
              <xdr:cNvSpPr/>
            </xdr:nvSpPr>
            <xdr:spPr>
              <a:xfrm>
                <a:off x="2263023" y="10922685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74" name="Shape 26">
                <a:extLst>
                  <a:ext uri="{FF2B5EF4-FFF2-40B4-BE49-F238E27FC236}">
                    <a16:creationId xmlns:a16="http://schemas.microsoft.com/office/drawing/2014/main" id="{00000000-0008-0000-0200-00003E020000}"/>
                  </a:ext>
                </a:extLst>
              </xdr:cNvPr>
              <xdr:cNvSpPr/>
            </xdr:nvSpPr>
            <xdr:spPr>
              <a:xfrm flipH="1">
                <a:off x="2325265" y="10736330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571" name="Straight Connector 570">
              <a:extLst>
                <a:ext uri="{FF2B5EF4-FFF2-40B4-BE49-F238E27FC236}">
                  <a16:creationId xmlns:a16="http://schemas.microsoft.com/office/drawing/2014/main" id="{00000000-0008-0000-0200-00003B020000}"/>
                </a:ext>
              </a:extLst>
            </xdr:cNvPr>
            <xdr:cNvCxnSpPr/>
          </xdr:nvCxnSpPr>
          <xdr:spPr>
            <a:xfrm>
              <a:off x="2310809" y="11025597"/>
              <a:ext cx="0" cy="241349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66" name="Straight Connector 565">
            <a:extLst>
              <a:ext uri="{FF2B5EF4-FFF2-40B4-BE49-F238E27FC236}">
                <a16:creationId xmlns:a16="http://schemas.microsoft.com/office/drawing/2014/main" id="{00000000-0008-0000-0200-000036020000}"/>
              </a:ext>
            </a:extLst>
          </xdr:cNvPr>
          <xdr:cNvCxnSpPr/>
        </xdr:nvCxnSpPr>
        <xdr:spPr>
          <a:xfrm>
            <a:off x="969946" y="10504414"/>
            <a:ext cx="0" cy="73576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69" name="Dash">
            <a:extLst>
              <a:ext uri="{FF2B5EF4-FFF2-40B4-BE49-F238E27FC236}">
                <a16:creationId xmlns:a16="http://schemas.microsoft.com/office/drawing/2014/main" id="{00000000-0008-0000-0200-000039020000}"/>
              </a:ext>
            </a:extLst>
          </xdr:cNvPr>
          <xdr:cNvSpPr/>
        </xdr:nvSpPr>
        <xdr:spPr>
          <a:xfrm>
            <a:off x="2425700" y="10629900"/>
            <a:ext cx="3458632" cy="2029177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cbsolar-operations/jobs/templates/Design%20For%20Three%20Phase%20Supp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age"/>
      <sheetName val="Rules"/>
      <sheetName val="Defined Names"/>
      <sheetName val="Reference - Panel"/>
      <sheetName val="Reference - Inverter"/>
      <sheetName val="Reference - Cable"/>
      <sheetName val="Design VRC"/>
      <sheetName val="1x1"/>
      <sheetName val="1x1 (C)"/>
      <sheetName val="1x2"/>
      <sheetName val="1x2 (C)"/>
      <sheetName val="SLD Components"/>
    </sheetNames>
    <sheetDataSet>
      <sheetData sheetId="0">
        <row r="28">
          <cell r="I28">
            <v>9</v>
          </cell>
        </row>
        <row r="29">
          <cell r="I29">
            <v>9</v>
          </cell>
        </row>
      </sheetData>
      <sheetData sheetId="1">
        <row r="5">
          <cell r="C5" t="b">
            <v>0</v>
          </cell>
        </row>
        <row r="6">
          <cell r="C6" t="b">
            <v>0</v>
          </cell>
        </row>
        <row r="10">
          <cell r="C10" t="b">
            <v>0</v>
          </cell>
        </row>
        <row r="11">
          <cell r="C11" t="b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A7771-E385-A544-8121-3A1DB7225E2F}">
  <sheetPr codeName="Feuil12"/>
  <dimension ref="A1:H45"/>
  <sheetViews>
    <sheetView topLeftCell="A14" zoomScale="99" workbookViewId="0">
      <selection activeCell="A39" sqref="A39"/>
    </sheetView>
  </sheetViews>
  <sheetFormatPr baseColWidth="10" defaultRowHeight="16" x14ac:dyDescent="0.2"/>
  <cols>
    <col min="1" max="1" width="22.1640625" style="113" customWidth="1"/>
    <col min="2" max="2" width="37.1640625" style="113" customWidth="1"/>
    <col min="3" max="3" width="19.1640625" style="113" customWidth="1"/>
    <col min="4" max="4" width="19.83203125" style="113" customWidth="1"/>
    <col min="5" max="5" width="16.6640625" style="114" customWidth="1"/>
    <col min="6" max="6" width="18" style="113" customWidth="1"/>
    <col min="7" max="7" width="21.1640625" style="113" customWidth="1"/>
    <col min="8" max="8" width="15.5" style="113" customWidth="1"/>
    <col min="9" max="16384" width="10.83203125" style="115"/>
  </cols>
  <sheetData>
    <row r="1" spans="1:7" x14ac:dyDescent="0.2">
      <c r="A1" s="130" t="s">
        <v>101</v>
      </c>
      <c r="B1" s="130"/>
    </row>
    <row r="2" spans="1:7" x14ac:dyDescent="0.2">
      <c r="A2" s="85" t="s">
        <v>102</v>
      </c>
      <c r="B2" s="85">
        <v>26181</v>
      </c>
    </row>
    <row r="3" spans="1:7" ht="17" x14ac:dyDescent="0.2">
      <c r="A3" s="86" t="s">
        <v>103</v>
      </c>
      <c r="B3" s="85" t="s">
        <v>104</v>
      </c>
    </row>
    <row r="4" spans="1:7" ht="24" customHeight="1" x14ac:dyDescent="0.2">
      <c r="A4" s="85" t="s">
        <v>105</v>
      </c>
      <c r="B4" s="85" t="s">
        <v>106</v>
      </c>
    </row>
    <row r="5" spans="1:7" x14ac:dyDescent="0.2">
      <c r="A5" s="85" t="s">
        <v>64</v>
      </c>
      <c r="B5" s="85">
        <v>1</v>
      </c>
    </row>
    <row r="6" spans="1:7" x14ac:dyDescent="0.2">
      <c r="A6" s="129"/>
      <c r="B6" s="129"/>
    </row>
    <row r="7" spans="1:7" x14ac:dyDescent="0.2">
      <c r="A7" s="129"/>
      <c r="B7" s="129"/>
    </row>
    <row r="8" spans="1:7" x14ac:dyDescent="0.2">
      <c r="A8" s="129"/>
      <c r="B8" s="129"/>
    </row>
    <row r="9" spans="1:7" x14ac:dyDescent="0.2">
      <c r="A9" s="126"/>
      <c r="B9" s="126"/>
    </row>
    <row r="10" spans="1:7" x14ac:dyDescent="0.2">
      <c r="A10" s="131" t="s">
        <v>107</v>
      </c>
      <c r="B10" s="132"/>
    </row>
    <row r="11" spans="1:7" x14ac:dyDescent="0.2">
      <c r="A11" s="116" t="s">
        <v>108</v>
      </c>
      <c r="B11" s="89" t="s">
        <v>73</v>
      </c>
    </row>
    <row r="12" spans="1:7" x14ac:dyDescent="0.2">
      <c r="A12" s="116" t="s">
        <v>109</v>
      </c>
      <c r="B12" s="89" t="s">
        <v>100</v>
      </c>
    </row>
    <row r="13" spans="1:7" x14ac:dyDescent="0.2">
      <c r="A13" s="116" t="s">
        <v>110</v>
      </c>
      <c r="B13" s="89">
        <v>18</v>
      </c>
      <c r="C13" s="112"/>
      <c r="D13" s="112"/>
      <c r="E13" s="112"/>
      <c r="F13" s="115"/>
      <c r="G13" s="115"/>
    </row>
    <row r="14" spans="1:7" x14ac:dyDescent="0.2">
      <c r="A14" s="85" t="s">
        <v>111</v>
      </c>
      <c r="B14" s="89">
        <v>365</v>
      </c>
    </row>
    <row r="15" spans="1:7" x14ac:dyDescent="0.2">
      <c r="A15" s="85" t="s">
        <v>112</v>
      </c>
      <c r="B15" s="87">
        <v>41.7</v>
      </c>
    </row>
    <row r="16" spans="1:7" x14ac:dyDescent="0.2">
      <c r="A16" s="85" t="s">
        <v>113</v>
      </c>
      <c r="B16" s="87">
        <v>10.88</v>
      </c>
      <c r="C16" s="112"/>
      <c r="D16" s="112"/>
      <c r="E16" s="112"/>
      <c r="F16" s="112"/>
    </row>
    <row r="17" spans="1:6" x14ac:dyDescent="0.2">
      <c r="B17" s="112"/>
      <c r="C17" s="112"/>
      <c r="D17" s="112"/>
      <c r="E17" s="112"/>
      <c r="F17" s="112"/>
    </row>
    <row r="18" spans="1:6" x14ac:dyDescent="0.2">
      <c r="A18" s="130" t="s">
        <v>117</v>
      </c>
      <c r="B18" s="130"/>
      <c r="C18" s="112"/>
      <c r="D18" s="112"/>
      <c r="E18" s="112"/>
      <c r="F18" s="112"/>
    </row>
    <row r="19" spans="1:6" x14ac:dyDescent="0.2">
      <c r="A19" s="85" t="s">
        <v>118</v>
      </c>
      <c r="B19" s="85" t="s">
        <v>114</v>
      </c>
      <c r="C19" s="112"/>
      <c r="D19" s="112"/>
      <c r="E19" s="112"/>
      <c r="F19" s="112"/>
    </row>
    <row r="20" spans="1:6" ht="16" customHeight="1" x14ac:dyDescent="0.2">
      <c r="A20" s="85" t="s">
        <v>119</v>
      </c>
      <c r="B20" s="85" t="s">
        <v>115</v>
      </c>
      <c r="C20" s="112"/>
      <c r="D20" s="112"/>
      <c r="E20" s="112"/>
      <c r="F20" s="112"/>
    </row>
    <row r="21" spans="1:6" ht="16" customHeight="1" x14ac:dyDescent="0.2">
      <c r="A21" s="85" t="s">
        <v>120</v>
      </c>
      <c r="B21" s="85">
        <v>1</v>
      </c>
      <c r="C21" s="112"/>
      <c r="D21" s="112"/>
      <c r="E21" s="112"/>
      <c r="F21" s="112"/>
    </row>
    <row r="22" spans="1:6" x14ac:dyDescent="0.2">
      <c r="A22" s="85" t="s">
        <v>116</v>
      </c>
      <c r="B22" s="85">
        <v>22</v>
      </c>
      <c r="C22" s="112"/>
      <c r="D22" s="112"/>
      <c r="E22" s="112"/>
      <c r="F22" s="112"/>
    </row>
    <row r="23" spans="1:6" x14ac:dyDescent="0.2">
      <c r="A23" s="85" t="s">
        <v>52</v>
      </c>
      <c r="B23" s="85">
        <v>4</v>
      </c>
      <c r="C23" s="112"/>
      <c r="D23" s="112"/>
      <c r="E23" s="112"/>
      <c r="F23" s="112"/>
    </row>
    <row r="24" spans="1:6" x14ac:dyDescent="0.2">
      <c r="A24" s="85" t="s">
        <v>121</v>
      </c>
      <c r="B24" s="85">
        <v>12</v>
      </c>
      <c r="C24" s="112"/>
      <c r="D24" s="112"/>
      <c r="E24" s="112"/>
      <c r="F24" s="112"/>
    </row>
    <row r="25" spans="1:6" x14ac:dyDescent="0.2">
      <c r="A25" s="85" t="s">
        <v>91</v>
      </c>
      <c r="B25" s="85"/>
      <c r="C25" s="112"/>
      <c r="D25" s="112"/>
      <c r="E25" s="112"/>
      <c r="F25" s="112"/>
    </row>
    <row r="26" spans="1:6" x14ac:dyDescent="0.2">
      <c r="A26" s="85" t="s">
        <v>122</v>
      </c>
      <c r="B26" s="85">
        <v>12</v>
      </c>
    </row>
    <row r="27" spans="1:6" x14ac:dyDescent="0.2">
      <c r="A27" s="85" t="s">
        <v>123</v>
      </c>
      <c r="B27" s="85"/>
    </row>
    <row r="28" spans="1:6" x14ac:dyDescent="0.2">
      <c r="A28" s="85" t="s">
        <v>124</v>
      </c>
      <c r="B28" s="85"/>
    </row>
    <row r="29" spans="1:6" x14ac:dyDescent="0.2">
      <c r="A29" s="85" t="s">
        <v>125</v>
      </c>
      <c r="B29" s="85"/>
    </row>
    <row r="30" spans="1:6" x14ac:dyDescent="0.2">
      <c r="A30" s="85" t="s">
        <v>89</v>
      </c>
      <c r="B30" s="85"/>
    </row>
    <row r="31" spans="1:6" x14ac:dyDescent="0.2">
      <c r="A31" s="85" t="s">
        <v>126</v>
      </c>
      <c r="B31" s="85"/>
    </row>
    <row r="33" spans="1:2" x14ac:dyDescent="0.2">
      <c r="A33" s="130" t="s">
        <v>137</v>
      </c>
      <c r="B33" s="130"/>
    </row>
    <row r="34" spans="1:2" x14ac:dyDescent="0.2">
      <c r="A34" s="85" t="s">
        <v>138</v>
      </c>
      <c r="B34" s="85"/>
    </row>
    <row r="35" spans="1:2" x14ac:dyDescent="0.2">
      <c r="A35" s="85" t="s">
        <v>139</v>
      </c>
      <c r="B35" s="85"/>
    </row>
    <row r="36" spans="1:2" x14ac:dyDescent="0.2">
      <c r="A36" s="85" t="s">
        <v>140</v>
      </c>
      <c r="B36" s="85"/>
    </row>
    <row r="37" spans="1:2" x14ac:dyDescent="0.2">
      <c r="A37" s="85" t="s">
        <v>141</v>
      </c>
      <c r="B37" s="85"/>
    </row>
    <row r="38" spans="1:2" x14ac:dyDescent="0.2">
      <c r="A38" s="128" t="s">
        <v>143</v>
      </c>
      <c r="B38" s="128"/>
    </row>
    <row r="39" spans="1:2" x14ac:dyDescent="0.2">
      <c r="A39" s="127"/>
      <c r="B39" s="127"/>
    </row>
    <row r="43" spans="1:2" x14ac:dyDescent="0.2">
      <c r="A43" s="133" t="s">
        <v>127</v>
      </c>
      <c r="B43" s="133"/>
    </row>
    <row r="44" spans="1:2" x14ac:dyDescent="0.2">
      <c r="A44" s="85" t="s">
        <v>128</v>
      </c>
      <c r="B44" s="85"/>
    </row>
    <row r="45" spans="1:2" x14ac:dyDescent="0.2">
      <c r="A45" s="85" t="s">
        <v>142</v>
      </c>
      <c r="B45" s="85"/>
    </row>
  </sheetData>
  <mergeCells count="5">
    <mergeCell ref="A1:B1"/>
    <mergeCell ref="A10:B10"/>
    <mergeCell ref="A18:B18"/>
    <mergeCell ref="A43:B43"/>
    <mergeCell ref="A33:B33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78DF9-ACB5-E04B-A105-D2479AAFE11E}">
  <sheetPr codeName="Sheet1">
    <pageSetUpPr fitToPage="1"/>
  </sheetPr>
  <dimension ref="B6:G41"/>
  <sheetViews>
    <sheetView topLeftCell="A11" workbookViewId="0">
      <selection activeCell="D39" sqref="D39"/>
    </sheetView>
  </sheetViews>
  <sheetFormatPr baseColWidth="10" defaultRowHeight="16" x14ac:dyDescent="0.2"/>
  <cols>
    <col min="1" max="1" width="10.83203125" style="115"/>
    <col min="2" max="2" width="25" style="115" customWidth="1"/>
    <col min="3" max="3" width="25.6640625" style="115" customWidth="1"/>
    <col min="4" max="4" width="24.83203125" style="115" customWidth="1"/>
    <col min="5" max="5" width="23.83203125" style="115" customWidth="1"/>
    <col min="6" max="6" width="20" style="115" customWidth="1"/>
    <col min="7" max="7" width="21" style="115" customWidth="1"/>
    <col min="8" max="16384" width="10.83203125" style="115"/>
  </cols>
  <sheetData>
    <row r="6" s="100" customFormat="1" x14ac:dyDescent="0.2"/>
    <row r="29" spans="2:7" ht="17" thickBot="1" x14ac:dyDescent="0.25"/>
    <row r="30" spans="2:7" ht="17" thickBot="1" x14ac:dyDescent="0.25">
      <c r="B30" s="45" t="s">
        <v>60</v>
      </c>
      <c r="C30" s="46" t="str">
        <f>Param!B3</f>
        <v xml:space="preserve">Miller, Ian </v>
      </c>
      <c r="D30" s="45" t="s">
        <v>61</v>
      </c>
      <c r="E30" s="134" t="str">
        <f>Param!B4</f>
        <v>154 Princeton Ave  Adamstown Heights</v>
      </c>
      <c r="F30" s="135"/>
      <c r="G30" s="136"/>
    </row>
    <row r="31" spans="2:7" ht="17" thickBot="1" x14ac:dyDescent="0.25">
      <c r="B31" s="137" t="s">
        <v>134</v>
      </c>
      <c r="C31" s="138"/>
      <c r="D31" s="137" t="s">
        <v>62</v>
      </c>
      <c r="E31" s="138"/>
      <c r="F31" s="139" t="s">
        <v>63</v>
      </c>
      <c r="G31" s="140"/>
    </row>
    <row r="32" spans="2:7" x14ac:dyDescent="0.2">
      <c r="B32" s="47" t="s">
        <v>64</v>
      </c>
      <c r="C32" s="48">
        <f>Param!B21</f>
        <v>1</v>
      </c>
      <c r="D32" s="47" t="s">
        <v>64</v>
      </c>
      <c r="E32" s="48">
        <f>Param!B21</f>
        <v>1</v>
      </c>
      <c r="F32" s="49" t="s">
        <v>64</v>
      </c>
      <c r="G32" s="50">
        <f>Param!B21</f>
        <v>1</v>
      </c>
    </row>
    <row r="33" spans="2:7" x14ac:dyDescent="0.2">
      <c r="B33" s="47" t="s">
        <v>65</v>
      </c>
      <c r="C33" s="51" t="s">
        <v>66</v>
      </c>
      <c r="D33" s="47" t="s">
        <v>65</v>
      </c>
      <c r="E33" s="52" t="s">
        <v>66</v>
      </c>
      <c r="F33" s="53" t="s">
        <v>65</v>
      </c>
      <c r="G33" s="54" t="s">
        <v>66</v>
      </c>
    </row>
    <row r="34" spans="2:7" x14ac:dyDescent="0.2">
      <c r="B34" s="55" t="s">
        <v>67</v>
      </c>
      <c r="C34" s="56">
        <v>16</v>
      </c>
      <c r="D34" s="55" t="s">
        <v>67</v>
      </c>
      <c r="E34" s="56">
        <v>16</v>
      </c>
      <c r="F34" s="55" t="s">
        <v>67</v>
      </c>
      <c r="G34" s="57">
        <f>Param!B37</f>
        <v>0</v>
      </c>
    </row>
    <row r="35" spans="2:7" x14ac:dyDescent="0.2">
      <c r="B35" s="58" t="s">
        <v>68</v>
      </c>
      <c r="C35" s="59">
        <f>Param!B34</f>
        <v>0</v>
      </c>
      <c r="D35" s="58" t="s">
        <v>68</v>
      </c>
      <c r="E35" s="59">
        <f>Param!B35</f>
        <v>0</v>
      </c>
      <c r="F35" s="58" t="s">
        <v>68</v>
      </c>
      <c r="G35" s="60">
        <f>Param!B36</f>
        <v>0</v>
      </c>
    </row>
    <row r="36" spans="2:7" x14ac:dyDescent="0.2">
      <c r="B36" s="58" t="s">
        <v>69</v>
      </c>
      <c r="C36" s="61">
        <f>Param!B22</f>
        <v>22</v>
      </c>
      <c r="D36" s="58" t="s">
        <v>69</v>
      </c>
      <c r="E36" s="62">
        <f>Param!B22</f>
        <v>22</v>
      </c>
      <c r="F36" s="58" t="s">
        <v>69</v>
      </c>
      <c r="G36" s="62">
        <f>Param!B22</f>
        <v>22</v>
      </c>
    </row>
    <row r="37" spans="2:7" ht="17" thickBot="1" x14ac:dyDescent="0.25">
      <c r="B37" s="63" t="s">
        <v>70</v>
      </c>
      <c r="C37" s="64" cm="1">
        <f t="array" ref="C37">AmPerPcntVd(C34,C32)</f>
        <v>818</v>
      </c>
      <c r="D37" s="65" t="s">
        <v>70</v>
      </c>
      <c r="E37" s="64" cm="1">
        <f t="array" ref="E37">AmPerPcntVd(E34,E32)</f>
        <v>818</v>
      </c>
      <c r="F37" s="65" t="s">
        <v>70</v>
      </c>
      <c r="G37" s="66" cm="1">
        <f t="array" ref="G37">AmPerPcntVd(G34,G32)</f>
        <v>0</v>
      </c>
    </row>
    <row r="38" spans="2:7" ht="17" thickBot="1" x14ac:dyDescent="0.25">
      <c r="B38" s="67" t="s">
        <v>71</v>
      </c>
      <c r="C38" s="68" cm="1">
        <f t="array" ref="C38">VoltageDrop(C36,C34,C35,C32)/100</f>
        <v>0</v>
      </c>
      <c r="D38" s="69" t="s">
        <v>71</v>
      </c>
      <c r="E38" s="68" cm="1">
        <f t="array" ref="E38">VoltageDrop(E36,E34,E35,E32)/100</f>
        <v>0</v>
      </c>
      <c r="F38" s="69" t="s">
        <v>71</v>
      </c>
      <c r="G38" s="76" t="e" cm="1">
        <f t="array" ref="G38">VoltageDrop(G36,G34,G35,G32)/100</f>
        <v>#VALUE!</v>
      </c>
    </row>
    <row r="39" spans="2:7" ht="17" thickBot="1" x14ac:dyDescent="0.25">
      <c r="B39" s="67" t="s">
        <v>72</v>
      </c>
      <c r="C39" s="70">
        <f>C38*IF(C32=1,230,400)</f>
        <v>0</v>
      </c>
      <c r="D39" s="67" t="s">
        <v>72</v>
      </c>
      <c r="E39" s="70">
        <f>E38*IF(E32=1,230,400)</f>
        <v>0</v>
      </c>
      <c r="F39" s="67" t="s">
        <v>72</v>
      </c>
      <c r="G39" s="75" t="e">
        <f>G38*IF(G32=1,230,400)</f>
        <v>#VALUE!</v>
      </c>
    </row>
    <row r="40" spans="2:7" x14ac:dyDescent="0.2">
      <c r="B40" s="141" t="s">
        <v>29</v>
      </c>
      <c r="C40" s="71" t="str">
        <f>_xlfn.CONCAT(Param!B38)</f>
        <v/>
      </c>
      <c r="D40" s="72"/>
      <c r="E40" s="72"/>
      <c r="F40" s="143" t="e">
        <f>C38+G38+E38</f>
        <v>#VALUE!</v>
      </c>
      <c r="G40" s="145" t="e">
        <f>G39+E39+C39</f>
        <v>#VALUE!</v>
      </c>
    </row>
    <row r="41" spans="2:7" ht="17" thickBot="1" x14ac:dyDescent="0.25">
      <c r="B41" s="142"/>
      <c r="C41" s="73"/>
      <c r="D41" s="74"/>
      <c r="E41" s="74"/>
      <c r="F41" s="144"/>
      <c r="G41" s="146"/>
    </row>
  </sheetData>
  <mergeCells count="7">
    <mergeCell ref="E30:G30"/>
    <mergeCell ref="B31:C31"/>
    <mergeCell ref="D31:E31"/>
    <mergeCell ref="F31:G31"/>
    <mergeCell ref="B40:B41"/>
    <mergeCell ref="F40:F41"/>
    <mergeCell ref="G40:G41"/>
  </mergeCells>
  <conditionalFormatting sqref="C38 E38 G38">
    <cfRule type="cellIs" dxfId="11" priority="7" operator="greaterThan">
      <formula>0.01</formula>
    </cfRule>
    <cfRule type="cellIs" dxfId="10" priority="8" operator="lessThanOrEqual">
      <formula>0.01</formula>
    </cfRule>
  </conditionalFormatting>
  <conditionalFormatting sqref="C30 E30 C32:C33 C35:C36 G35:G36 E32:E33 G32:G33 E35:E36">
    <cfRule type="containsBlanks" dxfId="9" priority="9">
      <formula>LEN(TRIM(C30))=0</formula>
    </cfRule>
  </conditionalFormatting>
  <conditionalFormatting sqref="C39">
    <cfRule type="cellIs" dxfId="8" priority="5" operator="greaterThan">
      <formula>0.01</formula>
    </cfRule>
    <cfRule type="cellIs" dxfId="7" priority="6" operator="lessThanOrEqual">
      <formula>0.01</formula>
    </cfRule>
  </conditionalFormatting>
  <conditionalFormatting sqref="E39 K39">
    <cfRule type="cellIs" dxfId="6" priority="3" operator="greaterThan">
      <formula>0.01</formula>
    </cfRule>
    <cfRule type="cellIs" dxfId="5" priority="4" operator="lessThanOrEqual">
      <formula>0.01</formula>
    </cfRule>
  </conditionalFormatting>
  <conditionalFormatting sqref="G39 M39">
    <cfRule type="cellIs" dxfId="4" priority="1" operator="greaterThan">
      <formula>0.01</formula>
    </cfRule>
    <cfRule type="cellIs" dxfId="3" priority="2" operator="lessThanOrEqual">
      <formula>0.01</formula>
    </cfRule>
  </conditionalFormatting>
  <dataValidations count="4">
    <dataValidation type="list" allowBlank="1" showInputMessage="1" showErrorMessage="1" sqref="C32 G32" xr:uid="{A828DA79-8B07-2641-B353-52C7324F5C01}">
      <formula1>select_phases</formula1>
    </dataValidation>
    <dataValidation type="list" allowBlank="1" showInputMessage="1" showErrorMessage="1" sqref="C33 E33 G33" xr:uid="{29CA602B-A3C1-824F-80B2-772590C92D7B}">
      <formula1>select_conductor_type</formula1>
    </dataValidation>
    <dataValidation type="list" errorStyle="warning" allowBlank="1" showInputMessage="1" showErrorMessage="1" sqref="E32" xr:uid="{50342106-630F-664E-A394-D0D4BD07A497}">
      <formula1>select_phases</formula1>
    </dataValidation>
    <dataValidation type="list" allowBlank="1" showInputMessage="1" showErrorMessage="1" sqref="C34 E34 G34" xr:uid="{B6EF4A33-E455-0B4B-AE19-D0F3976E9DE1}">
      <formula1>conductor_size</formula1>
    </dataValidation>
  </dataValidations>
  <pageMargins left="0.7" right="0.7" top="0.75" bottom="0.75" header="0.3" footer="0.3"/>
  <pageSetup paperSize="9" scale="7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Print_Vrise">
                <anchor moveWithCells="1" sizeWithCells="1">
                  <from>
                    <xdr:col>6</xdr:col>
                    <xdr:colOff>1409700</xdr:colOff>
                    <xdr:row>16</xdr:row>
                    <xdr:rowOff>152400</xdr:rowOff>
                  </from>
                  <to>
                    <xdr:col>8</xdr:col>
                    <xdr:colOff>508000</xdr:colOff>
                    <xdr:row>18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7D1A3-7D2C-5E4A-83D4-A07B438242D7}">
  <sheetPr codeName="Feuil5">
    <pageSetUpPr fitToPage="1"/>
  </sheetPr>
  <dimension ref="B4:CD74"/>
  <sheetViews>
    <sheetView showGridLines="0" tabSelected="1" topLeftCell="A18" zoomScale="75" zoomScaleNormal="110" workbookViewId="0">
      <selection activeCell="BL53" sqref="BL53"/>
    </sheetView>
  </sheetViews>
  <sheetFormatPr baseColWidth="10" defaultRowHeight="16" x14ac:dyDescent="0.2"/>
  <cols>
    <col min="1" max="83" width="3.33203125" customWidth="1"/>
  </cols>
  <sheetData>
    <row r="4" spans="4:79" x14ac:dyDescent="0.2">
      <c r="BS4" s="39" t="s">
        <v>59</v>
      </c>
      <c r="BT4" s="38"/>
      <c r="BU4" s="38"/>
      <c r="BV4" s="38"/>
      <c r="BW4" s="38"/>
      <c r="BX4" s="38"/>
      <c r="BY4" s="38"/>
      <c r="BZ4" s="38"/>
      <c r="CA4" s="37"/>
    </row>
    <row r="5" spans="4:79" x14ac:dyDescent="0.2">
      <c r="D5" s="83" t="s">
        <v>88</v>
      </c>
      <c r="BS5" s="36" t="s">
        <v>54</v>
      </c>
      <c r="BT5" s="29"/>
      <c r="BU5" s="29"/>
      <c r="BV5" s="29"/>
      <c r="BW5" s="166" t="str">
        <f>Param!B11</f>
        <v>LG Electronics</v>
      </c>
      <c r="BX5" s="166"/>
      <c r="BY5" s="166"/>
      <c r="BZ5" s="166"/>
      <c r="CA5" s="167"/>
    </row>
    <row r="6" spans="4:79" x14ac:dyDescent="0.2">
      <c r="AB6" s="78"/>
      <c r="BJ6" s="44"/>
      <c r="BS6" s="36" t="s">
        <v>53</v>
      </c>
      <c r="BT6" s="29"/>
      <c r="BU6" s="29"/>
      <c r="BV6" s="29"/>
      <c r="BW6" s="168" t="str">
        <f>Param!B12</f>
        <v>LG NeON 2</v>
      </c>
      <c r="BX6" s="168"/>
      <c r="BY6" s="168"/>
      <c r="BZ6" s="168"/>
      <c r="CA6" s="169"/>
    </row>
    <row r="7" spans="4:79" x14ac:dyDescent="0.2">
      <c r="BL7" s="43"/>
      <c r="BM7" s="43"/>
      <c r="BN7" s="43"/>
      <c r="BS7" s="36" t="s">
        <v>131</v>
      </c>
      <c r="BT7" s="115"/>
      <c r="BU7" s="115"/>
      <c r="BV7" s="115"/>
      <c r="BW7" s="115"/>
      <c r="BX7" s="88"/>
      <c r="BY7" s="172">
        <f>Param!B13</f>
        <v>18</v>
      </c>
      <c r="BZ7" s="172"/>
      <c r="CA7" s="173"/>
    </row>
    <row r="8" spans="4:79" x14ac:dyDescent="0.2">
      <c r="BL8" s="42"/>
      <c r="BM8" s="42"/>
      <c r="BN8" s="42"/>
      <c r="BS8" s="36" t="s">
        <v>58</v>
      </c>
      <c r="BT8" s="29"/>
      <c r="BU8" s="29"/>
      <c r="BV8" s="29"/>
      <c r="BW8" s="29"/>
      <c r="BX8" s="29"/>
      <c r="BY8" s="170">
        <f>Param!B14</f>
        <v>365</v>
      </c>
      <c r="BZ8" s="170"/>
      <c r="CA8" s="171"/>
    </row>
    <row r="9" spans="4:79" x14ac:dyDescent="0.2">
      <c r="BL9" s="41"/>
      <c r="BM9" s="41"/>
      <c r="BN9" s="41"/>
      <c r="BS9" s="36" t="s">
        <v>57</v>
      </c>
      <c r="BT9" s="29"/>
      <c r="BU9" s="29"/>
      <c r="BV9" s="29"/>
      <c r="BW9" s="29"/>
      <c r="BX9" s="29"/>
      <c r="BY9" s="174">
        <f>Param!B15</f>
        <v>41.7</v>
      </c>
      <c r="BZ9" s="174"/>
      <c r="CA9" s="175"/>
    </row>
    <row r="10" spans="4:79" x14ac:dyDescent="0.2">
      <c r="BS10" s="36" t="s">
        <v>56</v>
      </c>
      <c r="BT10" s="29"/>
      <c r="BU10" s="29"/>
      <c r="BV10" s="29"/>
      <c r="BW10" s="29"/>
      <c r="BX10" s="29"/>
      <c r="BY10" s="176">
        <f>Param!B16</f>
        <v>10.88</v>
      </c>
      <c r="BZ10" s="176"/>
      <c r="CA10" s="177"/>
    </row>
    <row r="11" spans="4:79" x14ac:dyDescent="0.2">
      <c r="BS11" s="40" t="s">
        <v>132</v>
      </c>
      <c r="BT11" s="30"/>
      <c r="BU11" s="30"/>
      <c r="BV11" s="30"/>
      <c r="BW11" s="100"/>
      <c r="BX11" s="178">
        <f>BY7*BY8/1000</f>
        <v>6.57</v>
      </c>
      <c r="BY11" s="178"/>
      <c r="BZ11" s="178"/>
      <c r="CA11" s="179"/>
    </row>
    <row r="14" spans="4:79" x14ac:dyDescent="0.2">
      <c r="BE14" s="34"/>
      <c r="BF14" s="34"/>
      <c r="BG14" s="39" t="s">
        <v>76</v>
      </c>
      <c r="BH14" s="38"/>
      <c r="BI14" s="38"/>
      <c r="BJ14" s="38"/>
      <c r="BK14" s="38"/>
      <c r="BL14" s="38"/>
      <c r="BM14" s="38"/>
      <c r="BN14" s="38"/>
      <c r="BO14" s="37"/>
      <c r="BS14" s="39" t="s">
        <v>90</v>
      </c>
      <c r="BT14" s="38"/>
      <c r="BU14" s="38"/>
      <c r="BV14" s="38"/>
      <c r="BW14" s="38"/>
      <c r="BX14" s="38"/>
      <c r="BY14" s="38"/>
      <c r="BZ14" s="38"/>
      <c r="CA14" s="37"/>
    </row>
    <row r="15" spans="4:79" x14ac:dyDescent="0.2">
      <c r="BE15" s="34"/>
      <c r="BG15" s="36" t="s">
        <v>92</v>
      </c>
      <c r="BH15" s="29"/>
      <c r="BI15" s="29"/>
      <c r="BJ15" s="29"/>
      <c r="BK15" s="29">
        <v>2</v>
      </c>
      <c r="BL15" s="29"/>
      <c r="BM15" s="29"/>
      <c r="BN15" s="29"/>
      <c r="BO15" s="35"/>
      <c r="BS15" s="36" t="s">
        <v>55</v>
      </c>
      <c r="BT15" s="29"/>
      <c r="BU15" s="29"/>
      <c r="BV15" s="29"/>
      <c r="BW15" s="29">
        <v>1</v>
      </c>
      <c r="BX15" s="29"/>
      <c r="BY15" s="29"/>
      <c r="BZ15" s="29"/>
      <c r="CA15" s="35"/>
    </row>
    <row r="16" spans="4:79" x14ac:dyDescent="0.2">
      <c r="BG16" s="36" t="s">
        <v>54</v>
      </c>
      <c r="BH16" s="29"/>
      <c r="BI16" s="29"/>
      <c r="BJ16" s="29"/>
      <c r="BK16" s="29" t="s">
        <v>95</v>
      </c>
      <c r="BL16" s="29"/>
      <c r="BM16" s="29"/>
      <c r="BN16" s="29"/>
      <c r="BO16" s="35"/>
      <c r="BS16" s="36" t="s">
        <v>54</v>
      </c>
      <c r="BT16" s="29"/>
      <c r="BU16" s="29"/>
      <c r="BV16" s="29"/>
      <c r="BW16" s="29" t="str">
        <f>Param!B19</f>
        <v>SMA</v>
      </c>
      <c r="BX16" s="29"/>
      <c r="BY16" s="29"/>
      <c r="BZ16" s="29"/>
      <c r="CA16" s="35"/>
    </row>
    <row r="17" spans="5:82" x14ac:dyDescent="0.2">
      <c r="BE17" s="16"/>
      <c r="BF17" s="16"/>
      <c r="BG17" s="33" t="s">
        <v>53</v>
      </c>
      <c r="BH17" s="32"/>
      <c r="BI17" s="29"/>
      <c r="BJ17" s="29"/>
      <c r="BK17" s="29" t="s">
        <v>93</v>
      </c>
      <c r="BL17" s="29"/>
      <c r="BM17" s="120"/>
      <c r="BN17" s="120"/>
      <c r="BO17" s="31"/>
      <c r="BS17" s="33" t="s">
        <v>53</v>
      </c>
      <c r="BT17" s="32"/>
      <c r="BU17" s="29"/>
      <c r="BV17" s="29"/>
      <c r="BW17" s="29" t="str">
        <f>Param!B20</f>
        <v>SB4.0-1AV-40</v>
      </c>
      <c r="BX17" s="29"/>
      <c r="BY17" s="123"/>
      <c r="BZ17" s="120"/>
      <c r="CA17" s="31"/>
    </row>
    <row r="18" spans="5:82" ht="16" customHeight="1" x14ac:dyDescent="0.2">
      <c r="BE18" s="16"/>
      <c r="BF18" s="16"/>
      <c r="BG18" s="93" t="s">
        <v>83</v>
      </c>
      <c r="BH18" s="91"/>
      <c r="BI18" s="92"/>
      <c r="BJ18" s="90"/>
      <c r="BK18" s="90"/>
      <c r="BL18" s="121"/>
      <c r="BM18" s="180">
        <f>Param!B26</f>
        <v>12</v>
      </c>
      <c r="BN18" s="180"/>
      <c r="BO18" s="122" t="s">
        <v>45</v>
      </c>
      <c r="BS18" s="36" t="s">
        <v>77</v>
      </c>
      <c r="BT18" s="29"/>
      <c r="BU18" s="29"/>
      <c r="BV18" s="29"/>
      <c r="BW18" s="29"/>
      <c r="BX18" s="184">
        <f>Param!B24</f>
        <v>12</v>
      </c>
      <c r="BY18" s="184"/>
      <c r="BZ18" s="174" t="s">
        <v>79</v>
      </c>
      <c r="CA18" s="175"/>
    </row>
    <row r="19" spans="5:82" ht="16" customHeight="1" x14ac:dyDescent="0.2">
      <c r="BE19" s="16"/>
      <c r="BF19" s="16"/>
      <c r="BG19" s="94" t="s">
        <v>84</v>
      </c>
      <c r="BH19" s="95"/>
      <c r="BI19" s="99"/>
      <c r="BJ19" s="30"/>
      <c r="BK19" s="30"/>
      <c r="BL19" s="118"/>
      <c r="BM19" s="181">
        <f>Param!B27</f>
        <v>0</v>
      </c>
      <c r="BN19" s="181"/>
      <c r="BO19" s="119" t="s">
        <v>85</v>
      </c>
      <c r="BS19" s="40" t="s">
        <v>78</v>
      </c>
      <c r="BT19" s="30"/>
      <c r="BU19" s="30"/>
      <c r="BV19" s="30"/>
      <c r="BW19" s="30"/>
      <c r="BX19" s="185">
        <f>Param!B25</f>
        <v>0</v>
      </c>
      <c r="BY19" s="185"/>
      <c r="BZ19" s="182" t="s">
        <v>80</v>
      </c>
      <c r="CA19" s="183"/>
      <c r="CD19" s="88"/>
    </row>
    <row r="20" spans="5:82" x14ac:dyDescent="0.2">
      <c r="Y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88"/>
      <c r="BQ20" s="88"/>
      <c r="BR20" s="88"/>
      <c r="BS20" s="88"/>
      <c r="BT20" s="88"/>
      <c r="BU20" s="88"/>
      <c r="BV20" s="88"/>
      <c r="BW20" s="88"/>
      <c r="BX20" s="88"/>
      <c r="BY20" s="88"/>
      <c r="BZ20" s="88"/>
      <c r="CA20" s="88"/>
      <c r="CB20" s="88"/>
      <c r="CC20" s="88"/>
      <c r="CD20" s="88"/>
    </row>
    <row r="21" spans="5:82" x14ac:dyDescent="0.2"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88"/>
      <c r="BQ21" s="88"/>
      <c r="BR21" s="88"/>
      <c r="BS21" s="88"/>
      <c r="BT21" s="88"/>
      <c r="BU21" s="88"/>
      <c r="BV21" s="88"/>
      <c r="BW21" s="88"/>
      <c r="BX21" s="125"/>
      <c r="BY21" s="125"/>
      <c r="BZ21" s="125"/>
      <c r="CA21" s="88"/>
      <c r="CB21" s="88"/>
      <c r="CC21" s="88"/>
      <c r="CD21" s="88"/>
    </row>
    <row r="22" spans="5:82" x14ac:dyDescent="0.2">
      <c r="BP22" s="88"/>
      <c r="BQ22" s="88"/>
      <c r="BR22" s="88"/>
      <c r="BS22" s="186" t="s">
        <v>51</v>
      </c>
      <c r="BT22" s="149"/>
      <c r="BU22" s="149"/>
      <c r="BV22" s="149" t="s">
        <v>50</v>
      </c>
      <c r="BW22" s="149"/>
      <c r="BX22" s="149" t="s">
        <v>49</v>
      </c>
      <c r="BY22" s="149"/>
      <c r="BZ22" s="149"/>
      <c r="CA22" s="149" t="s">
        <v>48</v>
      </c>
      <c r="CB22" s="149"/>
      <c r="CC22" s="149" t="s">
        <v>47</v>
      </c>
      <c r="CD22" s="157"/>
    </row>
    <row r="23" spans="5:82" x14ac:dyDescent="0.2">
      <c r="AJ23" s="11"/>
      <c r="BP23" s="88"/>
      <c r="BQ23" s="88"/>
      <c r="BR23" s="88"/>
      <c r="BS23" s="216" t="s">
        <v>46</v>
      </c>
      <c r="BT23" s="150"/>
      <c r="BU23" s="217"/>
      <c r="BV23" s="216" t="s">
        <v>45</v>
      </c>
      <c r="BW23" s="150"/>
      <c r="BX23" s="150">
        <f>Param!B28</f>
        <v>0</v>
      </c>
      <c r="BY23" s="150"/>
      <c r="BZ23" s="150"/>
      <c r="CA23" s="150">
        <f>BX23*BY9*1.1</f>
        <v>0</v>
      </c>
      <c r="CB23" s="150"/>
      <c r="CC23" s="151">
        <f>BY10</f>
        <v>10.88</v>
      </c>
      <c r="CD23" s="152"/>
    </row>
    <row r="24" spans="5:82" x14ac:dyDescent="0.2">
      <c r="BP24" s="88"/>
      <c r="BQ24" s="88"/>
      <c r="BR24" s="88"/>
      <c r="BS24" s="218"/>
      <c r="BT24" s="147"/>
      <c r="BU24" s="219"/>
      <c r="BV24" s="220"/>
      <c r="BW24" s="148"/>
      <c r="BX24" s="148"/>
      <c r="BY24" s="148"/>
      <c r="BZ24" s="148"/>
      <c r="CA24" s="148"/>
      <c r="CB24" s="148"/>
      <c r="CC24" s="153"/>
      <c r="CD24" s="154"/>
    </row>
    <row r="25" spans="5:82" x14ac:dyDescent="0.2">
      <c r="BP25" s="88"/>
      <c r="BQ25" s="88"/>
      <c r="BR25" s="88"/>
      <c r="BS25" s="218"/>
      <c r="BT25" s="147"/>
      <c r="BU25" s="219"/>
      <c r="BV25" s="147" t="s">
        <v>42</v>
      </c>
      <c r="BW25" s="147"/>
      <c r="BX25" s="147">
        <f>Param!B29</f>
        <v>0</v>
      </c>
      <c r="BY25" s="147"/>
      <c r="BZ25" s="147"/>
      <c r="CA25" s="147">
        <f>BX25*BY9*1.1</f>
        <v>0</v>
      </c>
      <c r="CB25" s="147"/>
      <c r="CC25" s="155">
        <f>IF(BX25=0,0,BY10)</f>
        <v>0</v>
      </c>
      <c r="CD25" s="156"/>
    </row>
    <row r="26" spans="5:82" x14ac:dyDescent="0.2">
      <c r="BP26" s="88"/>
      <c r="BQ26" s="88"/>
      <c r="BR26" s="88"/>
      <c r="BS26" s="220"/>
      <c r="BT26" s="148"/>
      <c r="BU26" s="221"/>
      <c r="BV26" s="148"/>
      <c r="BW26" s="148"/>
      <c r="BX26" s="148"/>
      <c r="BY26" s="148"/>
      <c r="BZ26" s="148"/>
      <c r="CA26" s="148"/>
      <c r="CB26" s="148"/>
      <c r="CC26" s="153"/>
      <c r="CD26" s="154"/>
    </row>
    <row r="27" spans="5:82" x14ac:dyDescent="0.2">
      <c r="BP27" s="88"/>
      <c r="BQ27" s="88"/>
      <c r="BR27" s="88"/>
      <c r="BS27" s="88"/>
      <c r="BT27" s="88"/>
      <c r="BU27" s="88"/>
      <c r="BV27" s="88"/>
      <c r="BW27" s="88"/>
      <c r="BX27" s="88"/>
      <c r="BY27" s="88"/>
      <c r="BZ27" s="88"/>
      <c r="CA27" s="88"/>
      <c r="CB27" s="88"/>
      <c r="CC27" s="88"/>
      <c r="CD27" s="88"/>
    </row>
    <row r="28" spans="5:82" x14ac:dyDescent="0.2">
      <c r="U28" t="s">
        <v>129</v>
      </c>
      <c r="AE28" s="83" t="str">
        <f>IF(Param!B44&lt;&gt;"","Existing Array","")</f>
        <v/>
      </c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88"/>
      <c r="BQ28" s="88"/>
      <c r="BR28" s="88"/>
      <c r="BS28" s="88"/>
      <c r="BT28" s="88"/>
      <c r="BU28" s="88"/>
      <c r="BV28" s="88"/>
      <c r="BW28" s="88"/>
      <c r="BX28" s="88"/>
      <c r="BY28" s="88"/>
      <c r="BZ28" s="88"/>
      <c r="CA28" s="88"/>
      <c r="CB28" s="88"/>
      <c r="CC28" s="88"/>
      <c r="CD28" s="88"/>
    </row>
    <row r="29" spans="5:82" x14ac:dyDescent="0.2">
      <c r="L29" s="28"/>
      <c r="M29" s="28"/>
      <c r="AE29" s="115" t="str">
        <f>IF(Param!B44&lt;&gt;"",_xlfn.CONCAT(Param!B44," kWac"),"")</f>
        <v/>
      </c>
      <c r="BE29" s="16"/>
      <c r="BF29" s="16"/>
      <c r="BG29" s="16"/>
      <c r="BH29" s="16"/>
      <c r="BI29" s="16"/>
      <c r="BK29" s="16"/>
      <c r="BL29" s="16"/>
      <c r="BM29" s="16"/>
      <c r="BN29" s="16"/>
      <c r="BO29" s="16"/>
      <c r="BP29" s="88"/>
      <c r="BQ29" s="88"/>
      <c r="BR29" s="88"/>
      <c r="BS29" s="222" t="s">
        <v>133</v>
      </c>
      <c r="BT29" s="212"/>
      <c r="BU29" s="212"/>
      <c r="BV29" s="212"/>
      <c r="BW29" s="212"/>
      <c r="BX29" s="212"/>
      <c r="BY29" s="212"/>
      <c r="BZ29" s="212"/>
      <c r="CA29" s="212"/>
      <c r="CB29" s="212"/>
      <c r="CC29" s="212"/>
      <c r="CD29" s="213"/>
    </row>
    <row r="30" spans="5:82" x14ac:dyDescent="0.2">
      <c r="E30" t="s">
        <v>81</v>
      </c>
      <c r="T30" s="117" t="str">
        <f>IF(Param!B44&lt;&gt;"","Main Switch","")</f>
        <v/>
      </c>
      <c r="BE30" s="16"/>
      <c r="BF30" s="16"/>
      <c r="BG30" s="16"/>
      <c r="BH30" s="16"/>
      <c r="BI30" s="16"/>
      <c r="BK30" s="16"/>
      <c r="BL30" s="16"/>
      <c r="BM30" s="16"/>
      <c r="BN30" s="16"/>
      <c r="BO30" s="16"/>
      <c r="BP30" s="88"/>
      <c r="BQ30" s="88"/>
      <c r="BR30" s="88"/>
      <c r="BS30" s="216" t="s">
        <v>134</v>
      </c>
      <c r="BT30" s="150"/>
      <c r="BU30" s="150"/>
      <c r="BV30" s="217"/>
      <c r="BW30" s="223" t="s">
        <v>135</v>
      </c>
      <c r="BX30" s="224"/>
      <c r="BY30" s="224"/>
      <c r="BZ30" s="225"/>
      <c r="CA30" s="226" t="s">
        <v>136</v>
      </c>
      <c r="CB30" s="190"/>
      <c r="CC30" s="190"/>
      <c r="CD30" s="191"/>
    </row>
    <row r="31" spans="5:82" x14ac:dyDescent="0.2">
      <c r="E31" t="s">
        <v>96</v>
      </c>
      <c r="T31" s="117" t="str">
        <f>IF(Param!B44&lt;&gt;"","Inverter Supply","")</f>
        <v/>
      </c>
      <c r="BE31" s="16"/>
      <c r="BF31" s="16"/>
      <c r="BG31" s="16"/>
      <c r="BH31" s="16"/>
      <c r="BI31" s="16"/>
      <c r="BK31" s="16"/>
      <c r="BL31" s="16"/>
      <c r="BM31" s="16"/>
      <c r="BN31" s="16"/>
      <c r="BO31" s="16"/>
      <c r="BP31" s="88"/>
      <c r="BQ31" s="88"/>
      <c r="BR31" s="88"/>
      <c r="BS31" s="227">
        <f>Vrise!C32</f>
        <v>1</v>
      </c>
      <c r="BT31" s="228"/>
      <c r="BU31" s="228"/>
      <c r="BV31" s="229"/>
      <c r="BW31" s="227">
        <f>Vrise!E32</f>
        <v>1</v>
      </c>
      <c r="BX31" s="228"/>
      <c r="BY31" s="228"/>
      <c r="BZ31" s="228"/>
      <c r="CA31" s="227">
        <f>Vrise!G32</f>
        <v>1</v>
      </c>
      <c r="CB31" s="228"/>
      <c r="CC31" s="228"/>
      <c r="CD31" s="229"/>
    </row>
    <row r="32" spans="5:82" x14ac:dyDescent="0.2">
      <c r="BE32" s="16"/>
      <c r="BF32" s="16"/>
      <c r="BG32" s="16"/>
      <c r="BH32" s="16"/>
      <c r="BI32" s="27"/>
      <c r="BJ32" s="27"/>
      <c r="BK32" s="27"/>
      <c r="BL32" s="27"/>
      <c r="BM32" s="16"/>
      <c r="BN32" s="16"/>
      <c r="BO32" s="16"/>
      <c r="BP32" s="16"/>
      <c r="BQ32" s="16"/>
      <c r="BR32" s="91"/>
      <c r="BS32" s="160">
        <f>Vrise!C34</f>
        <v>16</v>
      </c>
      <c r="BT32" s="161"/>
      <c r="BU32" s="161"/>
      <c r="BV32" s="162"/>
      <c r="BW32" s="160">
        <f>Vrise!E34</f>
        <v>16</v>
      </c>
      <c r="BX32" s="161"/>
      <c r="BY32" s="161"/>
      <c r="BZ32" s="162"/>
      <c r="CA32" s="160">
        <f>Vrise!G34</f>
        <v>0</v>
      </c>
      <c r="CB32" s="161"/>
      <c r="CC32" s="161"/>
      <c r="CD32" s="162"/>
    </row>
    <row r="33" spans="13:82" x14ac:dyDescent="0.2">
      <c r="BE33" s="16"/>
      <c r="BF33" s="16"/>
      <c r="BG33" s="16"/>
      <c r="BH33" s="16"/>
      <c r="BI33" s="16"/>
      <c r="BK33" s="16"/>
      <c r="BL33" s="16"/>
      <c r="BM33" s="16"/>
      <c r="BN33" s="16"/>
      <c r="BO33" s="16"/>
      <c r="BP33" s="16"/>
      <c r="BQ33" s="16"/>
      <c r="BR33" s="124"/>
      <c r="BS33" s="163">
        <f>Vrise!C36</f>
        <v>22</v>
      </c>
      <c r="BT33" s="164"/>
      <c r="BU33" s="164"/>
      <c r="BV33" s="165"/>
      <c r="BW33" s="163">
        <f>Vrise!E36</f>
        <v>22</v>
      </c>
      <c r="BX33" s="164"/>
      <c r="BY33" s="164"/>
      <c r="BZ33" s="165"/>
      <c r="CA33" s="163">
        <f>Vrise!G36</f>
        <v>22</v>
      </c>
      <c r="CB33" s="164"/>
      <c r="CC33" s="164"/>
      <c r="CD33" s="165"/>
    </row>
    <row r="34" spans="13:82" x14ac:dyDescent="0.2">
      <c r="AH34" s="117" t="str">
        <f>IF(Param!B44&lt;&gt;"","Inverter Supply","")</f>
        <v/>
      </c>
      <c r="BE34" s="16"/>
      <c r="BF34" s="16"/>
      <c r="BG34" s="16"/>
      <c r="BH34" s="16"/>
      <c r="BI34" s="16"/>
      <c r="BK34" s="16"/>
      <c r="BL34" s="16"/>
      <c r="BM34" s="16"/>
      <c r="BN34" s="16"/>
      <c r="BO34" s="16"/>
      <c r="BP34" s="16"/>
      <c r="BQ34" s="16"/>
      <c r="BR34" s="124"/>
      <c r="BS34" s="158" t="str">
        <f>_xlfn.CONCAT(Vrise!C35," m")</f>
        <v>0 m</v>
      </c>
      <c r="BT34" s="158"/>
      <c r="BU34" s="158"/>
      <c r="BV34" s="159"/>
      <c r="BW34" s="158" t="str">
        <f>_xlfn.CONCAT(Vrise!E35," m")</f>
        <v>0 m</v>
      </c>
      <c r="BX34" s="158"/>
      <c r="BY34" s="158"/>
      <c r="BZ34" s="159"/>
      <c r="CA34" s="158" t="str">
        <f>_xlfn.CONCAT(Vrise!G35," m")</f>
        <v>0 m</v>
      </c>
      <c r="CB34" s="158"/>
      <c r="CC34" s="158"/>
      <c r="CD34" s="159"/>
    </row>
    <row r="35" spans="13:82" x14ac:dyDescent="0.2">
      <c r="AH35" s="117" t="str">
        <f>IF(Param!B44&lt;&gt;"","A.C. Isolator","")</f>
        <v/>
      </c>
      <c r="BE35" s="16"/>
      <c r="BF35" s="16"/>
      <c r="BG35" s="16"/>
      <c r="BH35" s="16"/>
      <c r="BI35" s="16"/>
      <c r="BK35" s="16"/>
      <c r="BL35" s="16"/>
      <c r="BM35" s="16"/>
      <c r="BN35" s="16"/>
      <c r="BO35" s="16"/>
      <c r="BP35" s="16"/>
      <c r="BQ35" s="16"/>
      <c r="BR35" s="91"/>
      <c r="BS35" s="209">
        <f>Vrise!C38</f>
        <v>0</v>
      </c>
      <c r="BT35" s="210"/>
      <c r="BU35" s="210"/>
      <c r="BV35" s="211"/>
      <c r="BW35" s="209">
        <f>Vrise!E38</f>
        <v>0</v>
      </c>
      <c r="BX35" s="212"/>
      <c r="BY35" s="212"/>
      <c r="BZ35" s="213"/>
      <c r="CA35" s="209" t="e">
        <f>Vrise!G38</f>
        <v>#VALUE!</v>
      </c>
      <c r="CB35" s="210"/>
      <c r="CC35" s="210"/>
      <c r="CD35" s="211"/>
    </row>
    <row r="36" spans="13:82" x14ac:dyDescent="0.2">
      <c r="AM36" t="str">
        <f>IF(Param!B44&lt;&gt;"","Grid connect inverter","")</f>
        <v/>
      </c>
      <c r="BE36" s="16"/>
      <c r="BF36" s="16"/>
      <c r="BG36" s="16"/>
      <c r="BH36" s="16"/>
      <c r="BI36" s="16"/>
      <c r="BK36" s="16"/>
      <c r="BL36" s="16"/>
      <c r="BM36" s="16"/>
      <c r="BN36" s="16"/>
      <c r="BO36" s="16"/>
      <c r="BP36" s="16"/>
      <c r="BQ36" s="16"/>
      <c r="BR36" s="91"/>
      <c r="BS36" s="91"/>
      <c r="BT36" s="101"/>
      <c r="BU36" s="101"/>
      <c r="BV36" s="102"/>
      <c r="BW36" s="102"/>
      <c r="BX36" s="103"/>
      <c r="BY36" s="103"/>
      <c r="BZ36" s="103"/>
      <c r="CA36" s="103"/>
      <c r="CB36" s="104"/>
      <c r="CC36" s="104"/>
    </row>
    <row r="37" spans="13:82" x14ac:dyDescent="0.2"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109"/>
      <c r="BE37" s="109"/>
      <c r="BF37" s="109"/>
      <c r="BG37" s="109"/>
      <c r="BH37" s="109"/>
      <c r="BI37" s="109"/>
      <c r="BJ37" s="109"/>
      <c r="BK37" s="109"/>
      <c r="BL37" s="109"/>
      <c r="BM37" s="16"/>
      <c r="BN37" s="16"/>
      <c r="BO37" s="16"/>
      <c r="BP37" s="16"/>
      <c r="BQ37" s="16"/>
      <c r="BR37" s="91"/>
      <c r="BS37" s="91"/>
      <c r="BT37" s="101"/>
      <c r="BU37" s="101"/>
      <c r="BV37" s="102"/>
      <c r="BW37" s="102"/>
      <c r="BX37" s="103"/>
      <c r="BY37" s="103"/>
      <c r="BZ37" s="103"/>
      <c r="CA37" s="103"/>
      <c r="CB37" s="104"/>
      <c r="CC37" s="104"/>
    </row>
    <row r="38" spans="13:82" x14ac:dyDescent="0.2"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109"/>
      <c r="BE38" s="109"/>
      <c r="BF38" s="109"/>
      <c r="BG38" s="109"/>
      <c r="BH38" s="109"/>
      <c r="BI38" s="109"/>
      <c r="BJ38" s="109"/>
      <c r="BK38" s="109"/>
      <c r="BL38" s="109"/>
      <c r="BR38" s="91"/>
      <c r="BS38" s="91"/>
      <c r="BT38" s="101"/>
      <c r="BU38" s="101"/>
      <c r="BV38" s="102"/>
      <c r="BW38" s="102"/>
      <c r="BX38" s="103"/>
      <c r="BY38" s="103"/>
      <c r="BZ38" s="103"/>
      <c r="CA38" s="103"/>
      <c r="CB38" s="104"/>
      <c r="CC38" s="104"/>
    </row>
    <row r="39" spans="13:82" x14ac:dyDescent="0.2"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 s="109"/>
      <c r="BD39" s="109"/>
      <c r="BE39" s="109"/>
      <c r="BF39" s="109"/>
      <c r="BG39" s="109"/>
      <c r="BH39" s="109"/>
      <c r="BI39" s="109"/>
      <c r="BJ39" s="109"/>
      <c r="BK39" s="109"/>
      <c r="BL39" s="109"/>
      <c r="BR39" s="20"/>
      <c r="BS39" s="20"/>
      <c r="BV39" s="19"/>
      <c r="BW39" s="19"/>
    </row>
    <row r="40" spans="13:82" x14ac:dyDescent="0.2"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 s="109"/>
      <c r="BD40" s="109"/>
      <c r="BE40" s="109"/>
      <c r="BF40" s="109"/>
      <c r="BG40" s="109"/>
      <c r="BH40" s="109"/>
      <c r="BI40" s="109"/>
      <c r="BJ40" s="109"/>
      <c r="BK40" s="109"/>
      <c r="BL40" s="109"/>
      <c r="BR40" s="20"/>
      <c r="BS40" s="20"/>
      <c r="BT40" s="24"/>
      <c r="BU40" s="24"/>
      <c r="BV40" s="19"/>
      <c r="BW40" s="19"/>
    </row>
    <row r="41" spans="13:82" x14ac:dyDescent="0.2"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109"/>
      <c r="BE41" s="109"/>
      <c r="BF41" s="109"/>
      <c r="BG41" s="109"/>
      <c r="BH41" s="109"/>
      <c r="BI41" s="109"/>
      <c r="BJ41" s="109"/>
      <c r="BK41" s="109"/>
      <c r="BL41" s="109"/>
      <c r="BR41" s="20"/>
      <c r="BS41" s="20"/>
      <c r="BT41" s="24"/>
      <c r="BU41" s="24"/>
      <c r="BV41" s="19"/>
      <c r="BW41" s="19"/>
    </row>
    <row r="42" spans="13:82" x14ac:dyDescent="0.2"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109"/>
      <c r="BL42" s="109"/>
      <c r="BR42" s="20"/>
      <c r="BS42" s="20"/>
      <c r="BV42" s="19"/>
      <c r="BW42" s="19"/>
    </row>
    <row r="43" spans="13:82" x14ac:dyDescent="0.2">
      <c r="N43" s="112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83" t="s">
        <v>98</v>
      </c>
      <c r="BC43" s="109"/>
      <c r="BD43" s="109"/>
      <c r="BE43" s="109"/>
      <c r="BF43" s="109"/>
      <c r="BG43" s="109"/>
      <c r="BH43" s="109"/>
      <c r="BI43" s="109"/>
      <c r="BJ43" s="109"/>
      <c r="BK43" s="109"/>
      <c r="BL43" s="109"/>
    </row>
    <row r="44" spans="13:82" x14ac:dyDescent="0.2">
      <c r="M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L44" s="109" t="s">
        <v>87</v>
      </c>
      <c r="AM44" s="109"/>
      <c r="AN44" s="109"/>
      <c r="AP44" s="108" t="s">
        <v>87</v>
      </c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 s="109"/>
      <c r="BG44" s="109"/>
      <c r="BH44" s="109"/>
      <c r="BI44" s="109"/>
      <c r="BJ44" s="109"/>
      <c r="BK44" s="109"/>
      <c r="BL44" s="109"/>
      <c r="BT44" s="2"/>
      <c r="BU44" s="2"/>
      <c r="BV44" s="2"/>
      <c r="BW44" s="2"/>
      <c r="BX44" s="2"/>
      <c r="BY44" s="2"/>
      <c r="BZ44" s="2"/>
      <c r="CA44" s="2"/>
      <c r="CB44" s="2"/>
    </row>
    <row r="45" spans="13:82" x14ac:dyDescent="0.2">
      <c r="M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F45" s="109"/>
      <c r="AG45" s="109"/>
      <c r="AH45" s="109"/>
      <c r="AI45" s="109"/>
      <c r="AJ45" s="109"/>
      <c r="AL45" s="109" t="s">
        <v>86</v>
      </c>
      <c r="AM45" s="109"/>
      <c r="AN45" s="109"/>
      <c r="AP45" s="108" t="s">
        <v>86</v>
      </c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 s="109"/>
      <c r="BG45" s="109"/>
      <c r="BH45" s="109"/>
      <c r="BI45" s="109"/>
      <c r="BJ45" s="109"/>
      <c r="BK45" s="109"/>
      <c r="BL45" s="109"/>
      <c r="BR45" s="26" t="s">
        <v>41</v>
      </c>
      <c r="BS45" s="25"/>
      <c r="BT45" s="2"/>
      <c r="BU45" s="2"/>
      <c r="BV45" s="2"/>
      <c r="BW45" s="2"/>
      <c r="BX45" s="2"/>
      <c r="BY45" s="2"/>
      <c r="BZ45" s="2"/>
      <c r="CA45" s="2"/>
      <c r="CB45" s="2"/>
      <c r="CC45" s="77"/>
      <c r="CD45" s="77"/>
    </row>
    <row r="46" spans="13:82" x14ac:dyDescent="0.2">
      <c r="M46" s="109"/>
      <c r="Q46" s="109"/>
      <c r="R46" s="109"/>
      <c r="S46" s="109"/>
      <c r="V46" s="109"/>
      <c r="W46" s="109"/>
      <c r="X46" s="109"/>
      <c r="Y46" s="109"/>
      <c r="Z46" s="109"/>
      <c r="AA46" s="109"/>
      <c r="AD46" s="107"/>
      <c r="AE46" s="107"/>
      <c r="AF46" s="109"/>
      <c r="AH46" s="109"/>
      <c r="AI46" s="109"/>
      <c r="AJ46" s="109"/>
      <c r="AL46" s="109" t="s">
        <v>44</v>
      </c>
      <c r="AM46" s="109"/>
      <c r="AN46" s="109"/>
      <c r="AP46" s="108" t="s">
        <v>43</v>
      </c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 s="109"/>
      <c r="BG46" s="109"/>
      <c r="BH46" s="109"/>
      <c r="BI46" s="109"/>
      <c r="BJ46" s="109"/>
      <c r="BK46" s="109"/>
      <c r="BL46" s="109"/>
      <c r="BR46" s="214" t="s">
        <v>40</v>
      </c>
      <c r="BS46" s="201"/>
      <c r="BT46" s="201"/>
      <c r="BU46" s="215"/>
      <c r="BV46" s="79" t="s">
        <v>39</v>
      </c>
      <c r="BW46" t="s">
        <v>38</v>
      </c>
    </row>
    <row r="47" spans="13:82" x14ac:dyDescent="0.2">
      <c r="Q47" s="109"/>
      <c r="R47" s="109"/>
      <c r="S47" s="109"/>
      <c r="V47" s="109"/>
      <c r="W47" s="109"/>
      <c r="X47" s="109"/>
      <c r="Y47" s="109"/>
      <c r="Z47" s="109"/>
      <c r="AA47" s="109"/>
      <c r="AD47" s="107"/>
      <c r="AE47" s="107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 s="109"/>
      <c r="BD47" s="109"/>
      <c r="BE47" s="109"/>
      <c r="BF47" s="109"/>
      <c r="BG47" s="109"/>
      <c r="BH47" s="109"/>
      <c r="BI47" s="109"/>
      <c r="BJ47" s="109"/>
      <c r="BK47" s="109"/>
      <c r="BL47" s="109"/>
      <c r="BR47" s="199" t="s">
        <v>37</v>
      </c>
      <c r="BS47" s="203"/>
      <c r="BT47" s="203"/>
      <c r="BU47" s="200"/>
      <c r="BV47" s="80">
        <f>SUM(BX23:BY26)</f>
        <v>0</v>
      </c>
      <c r="BW47" s="204" t="str">
        <f>_xlfn.CONCAT(BW6," ",BY8," W")</f>
        <v>LG NeON 2 365 W</v>
      </c>
      <c r="BX47" s="205"/>
      <c r="BY47" s="205"/>
      <c r="BZ47" s="205"/>
      <c r="CA47" s="205"/>
      <c r="CB47" s="205"/>
      <c r="CC47" s="205"/>
      <c r="CD47" s="205"/>
    </row>
    <row r="48" spans="13:82" x14ac:dyDescent="0.2">
      <c r="Q48" s="109"/>
      <c r="R48" s="109"/>
      <c r="S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 s="109"/>
      <c r="BD48" s="109"/>
      <c r="BE48" s="109"/>
      <c r="BF48" s="109"/>
      <c r="BG48" s="109"/>
      <c r="BH48" s="109"/>
      <c r="BI48" s="109"/>
      <c r="BJ48" s="109"/>
      <c r="BK48" s="109"/>
      <c r="BL48" s="109"/>
      <c r="BR48" s="199" t="s">
        <v>36</v>
      </c>
      <c r="BS48" s="203"/>
      <c r="BT48" s="203"/>
      <c r="BU48" s="200"/>
      <c r="BV48" s="79">
        <f>BW15</f>
        <v>1</v>
      </c>
      <c r="BW48" s="204" t="str">
        <f>_xlfn.CONCAT(BW16," ",BW17)</f>
        <v>SMA SB4.0-1AV-40</v>
      </c>
      <c r="BX48" s="205"/>
      <c r="BY48" s="205"/>
      <c r="BZ48" s="205"/>
      <c r="CA48" s="205"/>
      <c r="CB48" s="205"/>
      <c r="CC48" s="205"/>
      <c r="CD48" s="205"/>
    </row>
    <row r="49" spans="11:82" x14ac:dyDescent="0.2">
      <c r="Q49" s="109"/>
      <c r="R49" s="109"/>
      <c r="S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>
        <f>BX23</f>
        <v>0</v>
      </c>
      <c r="BD49" s="109" t="s">
        <v>33</v>
      </c>
      <c r="BE49" s="109"/>
      <c r="BF49" s="109"/>
      <c r="BG49" s="109"/>
      <c r="BH49" s="109"/>
      <c r="BI49" s="109"/>
      <c r="BJ49" s="109"/>
      <c r="BK49" s="109"/>
      <c r="BL49" s="109"/>
      <c r="BR49" s="199" t="s">
        <v>32</v>
      </c>
      <c r="BS49" s="203"/>
      <c r="BT49" s="203"/>
      <c r="BU49" s="200"/>
      <c r="BV49" s="79"/>
      <c r="BW49" s="206">
        <f>BX18*BW15</f>
        <v>12</v>
      </c>
      <c r="BX49" s="207"/>
      <c r="BY49" s="207"/>
      <c r="BZ49" s="207"/>
      <c r="CA49" s="207"/>
      <c r="CB49" s="207"/>
      <c r="CC49" s="207"/>
      <c r="CD49" s="208"/>
    </row>
    <row r="50" spans="11:82" x14ac:dyDescent="0.2">
      <c r="Q50" s="109"/>
      <c r="R50" s="109"/>
      <c r="S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 s="109"/>
      <c r="BD50" s="109"/>
      <c r="BE50" s="109"/>
      <c r="BF50" s="109"/>
      <c r="BG50" s="109"/>
      <c r="BH50" s="109"/>
      <c r="BI50" s="109"/>
      <c r="BJ50" s="109"/>
      <c r="BK50" s="109"/>
      <c r="BL50" s="109"/>
      <c r="BR50" s="199" t="s">
        <v>31</v>
      </c>
      <c r="BS50" s="196"/>
      <c r="BT50" s="196"/>
      <c r="BU50" s="200"/>
      <c r="BV50" s="79"/>
      <c r="BW50" s="98" t="s">
        <v>30</v>
      </c>
      <c r="BX50" s="81"/>
      <c r="BY50" s="105"/>
      <c r="BZ50" s="105"/>
      <c r="CA50" s="106"/>
      <c r="CB50" s="106"/>
      <c r="CC50" s="106"/>
      <c r="CD50" s="106"/>
    </row>
    <row r="51" spans="11:82" x14ac:dyDescent="0.2">
      <c r="K51">
        <f>Vrise!G34</f>
        <v>0</v>
      </c>
      <c r="L51" t="s">
        <v>94</v>
      </c>
      <c r="Q51" s="109"/>
      <c r="R51" s="109"/>
      <c r="S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 s="109"/>
      <c r="BD51" s="109"/>
      <c r="BE51" s="109"/>
      <c r="BF51" s="109"/>
      <c r="BG51" s="109"/>
      <c r="BH51" s="109"/>
      <c r="BI51" s="109"/>
      <c r="BJ51" s="109"/>
      <c r="BK51" s="109"/>
      <c r="BL51" s="109"/>
      <c r="BR51" s="201"/>
      <c r="BS51" s="201"/>
      <c r="BT51" s="201"/>
      <c r="BU51" s="201"/>
      <c r="BV51" s="97"/>
      <c r="BW51" s="202"/>
      <c r="BX51" s="202"/>
      <c r="BY51" s="202"/>
      <c r="BZ51" s="202"/>
      <c r="CA51" s="202"/>
      <c r="CB51" s="202"/>
      <c r="CC51" s="202"/>
      <c r="CD51" s="202"/>
    </row>
    <row r="52" spans="11:82" x14ac:dyDescent="0.2">
      <c r="Q52" s="109"/>
      <c r="R52" s="109"/>
      <c r="S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R52" s="109"/>
      <c r="AS52" s="109"/>
      <c r="AT52" s="109"/>
      <c r="AU52" s="109"/>
      <c r="AV52" s="109"/>
      <c r="AW52" s="109"/>
      <c r="AX52" s="109"/>
      <c r="AY52" s="109"/>
      <c r="AZ52" s="107"/>
      <c r="BA52" s="107"/>
      <c r="BB52" s="107"/>
      <c r="BC52" s="19"/>
      <c r="BD52" s="109"/>
      <c r="BE52" s="107"/>
      <c r="BF52" s="107"/>
      <c r="BG52" s="107"/>
      <c r="BH52" s="107"/>
      <c r="BI52" s="107"/>
      <c r="BJ52" s="107"/>
      <c r="BK52" s="109"/>
      <c r="BL52" s="109"/>
      <c r="BR52" s="196"/>
      <c r="BS52" s="196"/>
      <c r="BT52" s="196"/>
      <c r="BU52" s="196"/>
      <c r="BV52" s="96"/>
      <c r="BW52" s="197"/>
      <c r="BX52" s="197"/>
      <c r="BY52" s="197"/>
      <c r="BZ52" s="197"/>
      <c r="CA52" s="197"/>
      <c r="CB52" s="197"/>
      <c r="CC52" s="197"/>
      <c r="CD52" s="197"/>
    </row>
    <row r="53" spans="11:82" x14ac:dyDescent="0.2">
      <c r="Q53" s="109"/>
      <c r="R53" s="109"/>
      <c r="S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R53" s="109"/>
      <c r="AS53" s="109"/>
      <c r="AT53" s="109"/>
      <c r="AU53" s="109"/>
      <c r="AV53" s="109"/>
      <c r="AW53" s="109"/>
      <c r="AX53" s="109"/>
      <c r="AY53" s="109"/>
      <c r="AZ53" s="107"/>
      <c r="BA53" s="107"/>
      <c r="BB53" s="107"/>
      <c r="BC53" s="19"/>
      <c r="BD53" s="109"/>
      <c r="BE53" s="107"/>
      <c r="BF53" s="107"/>
      <c r="BG53" s="107"/>
      <c r="BH53" s="107"/>
      <c r="BI53" s="107"/>
      <c r="BJ53" s="107"/>
      <c r="BK53" s="109"/>
      <c r="BL53" s="109"/>
      <c r="BR53" s="196"/>
      <c r="BS53" s="196"/>
      <c r="BT53" s="196"/>
      <c r="BU53" s="196"/>
      <c r="BV53" s="96"/>
      <c r="BW53" s="197"/>
      <c r="BX53" s="197"/>
      <c r="BY53" s="197"/>
      <c r="BZ53" s="197"/>
      <c r="CA53" s="197"/>
      <c r="CB53" s="197"/>
      <c r="CC53" s="197"/>
      <c r="CD53" s="197"/>
    </row>
    <row r="54" spans="11:82" x14ac:dyDescent="0.2">
      <c r="Q54" s="109"/>
      <c r="R54" s="109"/>
      <c r="S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7"/>
      <c r="BA54" s="107"/>
      <c r="BB54" s="107"/>
      <c r="BC54" s="19"/>
      <c r="BD54" s="109"/>
      <c r="BE54" s="107"/>
      <c r="BF54" s="107"/>
      <c r="BG54" s="107"/>
      <c r="BH54" s="107"/>
      <c r="BI54" s="107"/>
      <c r="BJ54" s="107"/>
      <c r="BK54" s="109"/>
      <c r="BL54" s="109"/>
      <c r="BR54" s="84"/>
      <c r="BS54" s="84"/>
      <c r="BT54" s="84"/>
      <c r="BU54" s="84"/>
      <c r="BV54" s="84"/>
      <c r="BW54" s="84"/>
      <c r="BX54" s="84"/>
      <c r="BY54" s="84"/>
      <c r="BZ54" s="84"/>
      <c r="CA54" s="84"/>
      <c r="CB54" s="84"/>
      <c r="CC54" s="84"/>
      <c r="CD54" s="84"/>
    </row>
    <row r="55" spans="11:82" x14ac:dyDescent="0.2">
      <c r="Q55" s="109"/>
      <c r="R55" s="109"/>
      <c r="S55" s="109"/>
      <c r="V55" s="109"/>
      <c r="W55" s="109"/>
      <c r="X55" s="109"/>
      <c r="Y55" s="109"/>
      <c r="Z55" s="109"/>
      <c r="AA55" s="109"/>
      <c r="AC55" s="109"/>
      <c r="AD55" s="109"/>
      <c r="AE55" s="109"/>
      <c r="AF55" s="109"/>
      <c r="AG55" s="109"/>
      <c r="AH55" s="109"/>
      <c r="AI55" s="109"/>
      <c r="AJ55" s="109"/>
      <c r="AL55" s="108" t="s">
        <v>87</v>
      </c>
      <c r="AP55" s="108" t="s">
        <v>87</v>
      </c>
      <c r="AQ55" s="109"/>
      <c r="AR55" s="109"/>
      <c r="AS55" s="109"/>
      <c r="AT55" s="109"/>
      <c r="AU55" s="109"/>
      <c r="AV55" s="109"/>
      <c r="AW55" s="109"/>
      <c r="AX55" s="109"/>
      <c r="AY55" s="109"/>
      <c r="AZ55" s="107"/>
      <c r="BA55" s="107"/>
      <c r="BB55" s="107"/>
      <c r="BC55" s="109">
        <f>BX25</f>
        <v>0</v>
      </c>
      <c r="BD55" s="109" t="s">
        <v>33</v>
      </c>
      <c r="BG55" s="109"/>
      <c r="BH55" s="109"/>
      <c r="BI55" s="88"/>
      <c r="BJ55" s="88"/>
      <c r="BK55" s="109"/>
      <c r="BL55" s="109"/>
      <c r="BX55" s="100"/>
    </row>
    <row r="56" spans="11:82" x14ac:dyDescent="0.2">
      <c r="Q56" s="109"/>
      <c r="R56" s="109"/>
      <c r="S56" s="109"/>
      <c r="V56" s="109"/>
      <c r="W56" s="109"/>
      <c r="X56" s="109"/>
      <c r="Y56" s="109"/>
      <c r="Z56" s="109"/>
      <c r="AA56" s="109"/>
      <c r="AC56" s="81" t="s">
        <v>97</v>
      </c>
      <c r="AD56" s="109"/>
      <c r="AE56" s="109"/>
      <c r="AF56" s="109"/>
      <c r="AG56" s="109"/>
      <c r="AH56" s="109"/>
      <c r="AI56" s="109"/>
      <c r="AJ56" s="109"/>
      <c r="AL56" s="108" t="s">
        <v>86</v>
      </c>
      <c r="AP56" s="108" t="s">
        <v>86</v>
      </c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G56" s="109"/>
      <c r="BH56" s="109"/>
      <c r="BI56" s="109"/>
      <c r="BJ56" s="109"/>
      <c r="BK56" s="109"/>
      <c r="BL56" s="109"/>
      <c r="BR56" s="23" t="s">
        <v>29</v>
      </c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1"/>
    </row>
    <row r="57" spans="11:82" x14ac:dyDescent="0.2">
      <c r="Q57" s="109"/>
      <c r="R57" s="109"/>
      <c r="S57" s="109"/>
      <c r="V57" s="109"/>
      <c r="W57" s="109"/>
      <c r="X57" s="109"/>
      <c r="Y57" s="109"/>
      <c r="Z57" s="109"/>
      <c r="AA57" s="109"/>
      <c r="AB57" s="109"/>
      <c r="AC57" s="111" t="s">
        <v>82</v>
      </c>
      <c r="AD57" s="109"/>
      <c r="AE57" s="109"/>
      <c r="AF57" s="109"/>
      <c r="AG57" s="109"/>
      <c r="AH57" s="109"/>
      <c r="AI57" s="109"/>
      <c r="AJ57" s="109"/>
      <c r="AL57" s="108" t="s">
        <v>35</v>
      </c>
      <c r="AP57" s="108" t="s">
        <v>34</v>
      </c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 s="109"/>
      <c r="BD57" s="109"/>
      <c r="BG57" s="109"/>
      <c r="BH57" s="109"/>
      <c r="BI57" s="109"/>
      <c r="BJ57" s="109"/>
      <c r="BK57" s="109"/>
      <c r="BL57" s="109"/>
      <c r="BR57" s="17" t="s">
        <v>28</v>
      </c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5"/>
    </row>
    <row r="58" spans="11:82" x14ac:dyDescent="0.2">
      <c r="Q58" s="109"/>
      <c r="R58" s="109"/>
      <c r="S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20"/>
      <c r="BA58" s="20"/>
      <c r="BB58" s="109"/>
      <c r="BC58" s="109"/>
      <c r="BD58" s="19"/>
      <c r="BG58" s="109"/>
      <c r="BH58" s="109"/>
      <c r="BI58" s="109"/>
      <c r="BJ58" s="18"/>
      <c r="BK58" s="109"/>
      <c r="BL58" s="109"/>
      <c r="BR58" s="17" t="s">
        <v>27</v>
      </c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5"/>
    </row>
    <row r="59" spans="11:82" x14ac:dyDescent="0.2">
      <c r="Q59" s="109"/>
      <c r="R59" s="109"/>
      <c r="S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20"/>
      <c r="BA59" s="20"/>
      <c r="BB59" s="109"/>
      <c r="BC59" s="109"/>
      <c r="BD59" s="19"/>
      <c r="BG59" s="109"/>
      <c r="BH59" s="109"/>
      <c r="BI59" s="109"/>
      <c r="BJ59" s="18"/>
      <c r="BK59" s="109"/>
      <c r="BL59" s="109"/>
      <c r="BR59" s="17" t="s">
        <v>26</v>
      </c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5"/>
    </row>
    <row r="60" spans="11:82" x14ac:dyDescent="0.2">
      <c r="Q60" s="109"/>
      <c r="R60" s="109"/>
      <c r="S60" s="109"/>
      <c r="V60" s="109"/>
      <c r="W60" s="109"/>
      <c r="X60" s="109"/>
      <c r="Y60" s="109"/>
      <c r="Z60" s="109"/>
      <c r="AA60" s="109"/>
      <c r="AC60" s="109" t="s">
        <v>74</v>
      </c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20"/>
      <c r="BA60" s="20"/>
      <c r="BB60" s="109"/>
      <c r="BC60" s="109"/>
      <c r="BD60" s="19"/>
      <c r="BG60" s="109"/>
      <c r="BH60" s="109"/>
      <c r="BI60" s="109"/>
      <c r="BJ60" s="18"/>
      <c r="BK60" s="109"/>
      <c r="BL60" s="109"/>
      <c r="BR60" s="17" t="s">
        <v>25</v>
      </c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5"/>
    </row>
    <row r="61" spans="11:82" x14ac:dyDescent="0.2">
      <c r="Q61" s="109"/>
      <c r="R61" s="109"/>
      <c r="S61" s="109"/>
      <c r="V61" s="109"/>
      <c r="W61" s="109"/>
      <c r="X61" s="109"/>
      <c r="Y61" s="109"/>
      <c r="Z61" s="109"/>
      <c r="AA61" s="109"/>
      <c r="AC61" s="109" t="s">
        <v>75</v>
      </c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20"/>
      <c r="BA61" s="20"/>
      <c r="BB61" s="109"/>
      <c r="BC61" s="109"/>
      <c r="BD61" s="19"/>
      <c r="BG61" s="109"/>
      <c r="BH61" s="109"/>
      <c r="BI61" s="109"/>
      <c r="BJ61" s="18"/>
      <c r="BK61" s="109"/>
      <c r="BL61" s="109"/>
      <c r="BR61" s="17" t="s">
        <v>24</v>
      </c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5"/>
    </row>
    <row r="62" spans="11:82" x14ac:dyDescent="0.2">
      <c r="BR62" s="17" t="s">
        <v>23</v>
      </c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5"/>
    </row>
    <row r="63" spans="11:82" x14ac:dyDescent="0.2">
      <c r="BR63" s="17" t="s">
        <v>22</v>
      </c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5"/>
    </row>
    <row r="64" spans="11:82" x14ac:dyDescent="0.2">
      <c r="BR64" s="17" t="s">
        <v>21</v>
      </c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5"/>
    </row>
    <row r="65" spans="2:82" x14ac:dyDescent="0.2">
      <c r="BR65" s="17" t="s">
        <v>20</v>
      </c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5"/>
    </row>
    <row r="66" spans="2:82" x14ac:dyDescent="0.2">
      <c r="AQ66" t="str">
        <f>IF(Param!B45&lt;&gt;"",_xlfn.CONCAT("Note: ",Param!B45),"")</f>
        <v/>
      </c>
      <c r="BR66" s="14" t="s">
        <v>19</v>
      </c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2"/>
    </row>
    <row r="67" spans="2:82" x14ac:dyDescent="0.2">
      <c r="BR67" s="7" t="s">
        <v>18</v>
      </c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5"/>
    </row>
    <row r="68" spans="2:82" x14ac:dyDescent="0.2">
      <c r="B68" s="2"/>
      <c r="C68" s="2"/>
      <c r="BR68" s="4" t="s">
        <v>17</v>
      </c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1"/>
    </row>
    <row r="69" spans="2:82" x14ac:dyDescent="0.2">
      <c r="B69" t="s">
        <v>16</v>
      </c>
      <c r="D69" s="6"/>
      <c r="E69" s="6"/>
      <c r="F69" s="6"/>
      <c r="G69" s="6"/>
      <c r="H69" s="6"/>
      <c r="I69" s="6"/>
      <c r="J69" s="5"/>
      <c r="K69" s="7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5"/>
      <c r="X69" s="7"/>
      <c r="Y69" s="6" t="s">
        <v>15</v>
      </c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190" t="s">
        <v>14</v>
      </c>
      <c r="AZ69" s="190"/>
      <c r="BA69" s="191"/>
      <c r="BB69" s="7" t="str">
        <f>Param!B3</f>
        <v xml:space="preserve">Miller, Ian </v>
      </c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5"/>
      <c r="BN69" s="7" t="str">
        <f>BW48</f>
        <v>SMA SB4.0-1AV-40</v>
      </c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194">
        <f>BW49</f>
        <v>12</v>
      </c>
      <c r="BZ69" s="194"/>
      <c r="CA69" s="194"/>
      <c r="CB69" s="194"/>
      <c r="CC69" s="194"/>
      <c r="CD69" s="195"/>
    </row>
    <row r="70" spans="2:82" x14ac:dyDescent="0.2">
      <c r="J70" s="8"/>
      <c r="K70" s="9"/>
      <c r="X70" s="110"/>
      <c r="Y70" s="100" t="s">
        <v>5</v>
      </c>
      <c r="BB70" s="110"/>
      <c r="BM70" s="1"/>
      <c r="BN70" s="4" t="s">
        <v>13</v>
      </c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1"/>
    </row>
    <row r="71" spans="2:82" x14ac:dyDescent="0.2">
      <c r="J71" s="8"/>
      <c r="K71" s="9"/>
      <c r="W71" s="8"/>
      <c r="X71" s="7"/>
      <c r="Y71" s="6" t="s">
        <v>12</v>
      </c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190" t="s">
        <v>11</v>
      </c>
      <c r="AZ71" s="190"/>
      <c r="BA71" s="191"/>
      <c r="BB71" s="82" t="str">
        <f>Param!B4</f>
        <v>154 Princeton Ave  Adamstown Heights</v>
      </c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5"/>
      <c r="BN71" s="7" t="s">
        <v>10</v>
      </c>
      <c r="BO71" s="6"/>
      <c r="BP71" s="5"/>
      <c r="BQ71" s="7" t="s">
        <v>9</v>
      </c>
      <c r="BR71" s="6"/>
      <c r="BS71" s="5"/>
      <c r="BT71" s="7" t="s">
        <v>8</v>
      </c>
      <c r="BU71" s="6"/>
      <c r="BV71" s="6"/>
      <c r="BW71" s="5"/>
      <c r="BX71" s="7" t="s">
        <v>7</v>
      </c>
      <c r="BY71" s="6"/>
      <c r="BZ71" s="5"/>
      <c r="CA71" s="7" t="s">
        <v>6</v>
      </c>
      <c r="CB71" s="6"/>
      <c r="CC71" s="6"/>
      <c r="CD71" s="5"/>
    </row>
    <row r="72" spans="2:82" x14ac:dyDescent="0.2">
      <c r="J72" s="8"/>
      <c r="K72" s="9"/>
      <c r="W72" s="8"/>
      <c r="X72" s="4"/>
      <c r="Y72" s="2" t="s">
        <v>5</v>
      </c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1"/>
      <c r="BB72" s="4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1"/>
      <c r="BN72" s="198" t="s">
        <v>99</v>
      </c>
      <c r="BO72" s="158"/>
      <c r="BP72" s="159"/>
      <c r="BQ72" s="198" t="s">
        <v>4</v>
      </c>
      <c r="BR72" s="158"/>
      <c r="BS72" s="159"/>
      <c r="BT72" s="198" t="s">
        <v>4</v>
      </c>
      <c r="BU72" s="158"/>
      <c r="BV72" s="158"/>
      <c r="BW72" s="1"/>
      <c r="BX72" s="187">
        <f ca="1">TODAY()</f>
        <v>44273</v>
      </c>
      <c r="BY72" s="188"/>
      <c r="BZ72" s="189"/>
      <c r="CA72" s="10" t="s">
        <v>3</v>
      </c>
      <c r="CB72" s="2"/>
      <c r="CC72" s="2"/>
      <c r="CD72" s="1"/>
    </row>
    <row r="73" spans="2:82" x14ac:dyDescent="0.2">
      <c r="J73" s="8"/>
      <c r="K73" s="9"/>
      <c r="W73" s="8"/>
      <c r="X73" s="7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Y73" s="190" t="s">
        <v>2</v>
      </c>
      <c r="AZ73" s="190"/>
      <c r="BA73" s="191"/>
      <c r="BB73" s="192">
        <f>Param!B2</f>
        <v>26181</v>
      </c>
      <c r="BC73" s="193"/>
      <c r="BD73" s="6"/>
      <c r="BE73" s="6"/>
      <c r="BF73" s="6"/>
      <c r="BG73" s="6"/>
      <c r="BH73" s="6"/>
      <c r="BI73" s="6"/>
      <c r="BJ73" s="6"/>
      <c r="BK73" s="6"/>
      <c r="BL73" s="6"/>
      <c r="BM73" s="5"/>
      <c r="BN73" s="7" t="s">
        <v>1</v>
      </c>
      <c r="BO73" s="6"/>
      <c r="BP73" s="6"/>
      <c r="BQ73" s="6">
        <v>1</v>
      </c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5"/>
    </row>
    <row r="74" spans="2:82" x14ac:dyDescent="0.2">
      <c r="C74" s="2"/>
      <c r="D74" s="2"/>
      <c r="E74" s="2"/>
      <c r="F74" s="2"/>
      <c r="G74" s="2"/>
      <c r="H74" s="2"/>
      <c r="I74" s="2"/>
      <c r="J74" s="1"/>
      <c r="K74" s="4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1"/>
      <c r="X74" s="4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Z74" s="2"/>
      <c r="BA74" s="1"/>
      <c r="BB74" s="4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1"/>
      <c r="BN74" s="4" t="s">
        <v>0</v>
      </c>
      <c r="BO74" s="2"/>
      <c r="BP74" s="2"/>
      <c r="BQ74" s="3" t="s">
        <v>130</v>
      </c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1"/>
    </row>
  </sheetData>
  <mergeCells count="69">
    <mergeCell ref="BS35:BV35"/>
    <mergeCell ref="BW35:BZ35"/>
    <mergeCell ref="CA35:CD35"/>
    <mergeCell ref="BR46:BU46"/>
    <mergeCell ref="BS23:BU26"/>
    <mergeCell ref="BV23:BW24"/>
    <mergeCell ref="BV25:BW26"/>
    <mergeCell ref="BS32:BV32"/>
    <mergeCell ref="BW32:BZ32"/>
    <mergeCell ref="BS29:CD29"/>
    <mergeCell ref="BS30:BV30"/>
    <mergeCell ref="BW30:BZ30"/>
    <mergeCell ref="CA30:CD30"/>
    <mergeCell ref="BS31:BV31"/>
    <mergeCell ref="BW31:BZ31"/>
    <mergeCell ref="CA31:CD31"/>
    <mergeCell ref="BR52:BU52"/>
    <mergeCell ref="BW52:CD52"/>
    <mergeCell ref="BR47:BU47"/>
    <mergeCell ref="BW47:CD47"/>
    <mergeCell ref="BR48:BU48"/>
    <mergeCell ref="BW48:CD48"/>
    <mergeCell ref="BR49:BU49"/>
    <mergeCell ref="BW49:CD49"/>
    <mergeCell ref="BS22:BU22"/>
    <mergeCell ref="BV22:BW22"/>
    <mergeCell ref="BX72:BZ72"/>
    <mergeCell ref="AY69:BA69"/>
    <mergeCell ref="BB73:BC73"/>
    <mergeCell ref="BY69:CD69"/>
    <mergeCell ref="BR53:BU53"/>
    <mergeCell ref="BW53:CD53"/>
    <mergeCell ref="AY73:BA73"/>
    <mergeCell ref="AY71:BA71"/>
    <mergeCell ref="BN72:BP72"/>
    <mergeCell ref="BQ72:BS72"/>
    <mergeCell ref="BT72:BV72"/>
    <mergeCell ref="BR50:BU50"/>
    <mergeCell ref="BR51:BU51"/>
    <mergeCell ref="BW51:CD51"/>
    <mergeCell ref="BY10:CA10"/>
    <mergeCell ref="BX11:CA11"/>
    <mergeCell ref="BM18:BN18"/>
    <mergeCell ref="BM19:BN19"/>
    <mergeCell ref="BZ18:CA18"/>
    <mergeCell ref="BZ19:CA19"/>
    <mergeCell ref="BX18:BY18"/>
    <mergeCell ref="BX19:BY19"/>
    <mergeCell ref="BW5:CA5"/>
    <mergeCell ref="BW6:CA6"/>
    <mergeCell ref="BY8:CA8"/>
    <mergeCell ref="BY7:CA7"/>
    <mergeCell ref="BY9:CA9"/>
    <mergeCell ref="BS34:BV34"/>
    <mergeCell ref="BW34:BZ34"/>
    <mergeCell ref="CA34:CD34"/>
    <mergeCell ref="CA32:CD32"/>
    <mergeCell ref="BS33:BV33"/>
    <mergeCell ref="BW33:BZ33"/>
    <mergeCell ref="CA33:CD33"/>
    <mergeCell ref="BX25:BZ26"/>
    <mergeCell ref="BX22:BZ22"/>
    <mergeCell ref="CA23:CB24"/>
    <mergeCell ref="CA25:CB26"/>
    <mergeCell ref="CC23:CD24"/>
    <mergeCell ref="CC25:CD26"/>
    <mergeCell ref="CA22:CB22"/>
    <mergeCell ref="CC22:CD22"/>
    <mergeCell ref="BX23:BZ24"/>
  </mergeCells>
  <conditionalFormatting sqref="BH59:BI61 BI58">
    <cfRule type="cellIs" dxfId="2" priority="7" operator="greaterThan">
      <formula>600</formula>
    </cfRule>
  </conditionalFormatting>
  <conditionalFormatting sqref="BZ35:CA38">
    <cfRule type="cellIs" dxfId="1" priority="5" operator="greaterThan">
      <formula>600</formula>
    </cfRule>
  </conditionalFormatting>
  <conditionalFormatting sqref="BZ39:CA42">
    <cfRule type="cellIs" dxfId="0" priority="6" operator="greaterThan">
      <formula>600</formula>
    </cfRule>
  </conditionalFormatting>
  <pageMargins left="0.5" right="0.5" top="0.5" bottom="0.5" header="0" footer="0"/>
  <pageSetup paperSize="9" scale="46" orientation="landscape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Param</vt:lpstr>
      <vt:lpstr>Vrise</vt:lpstr>
      <vt:lpstr>Sonnen</vt:lpstr>
      <vt:lpstr>Sonnen!Print_Area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2020-11-25T20:41:40Z</cp:lastPrinted>
  <dcterms:created xsi:type="dcterms:W3CDTF">2020-10-29T22:28:43Z</dcterms:created>
  <dcterms:modified xsi:type="dcterms:W3CDTF">2021-03-18T02:42:52Z</dcterms:modified>
</cp:coreProperties>
</file>