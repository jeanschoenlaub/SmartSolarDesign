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BA55E5F3-61A1-0B4D-95B4-5468D74A7B61}" xr6:coauthVersionLast="46" xr6:coauthVersionMax="46" xr10:uidLastSave="{00000000-0000-0000-0000-000000000000}"/>
  <bookViews>
    <workbookView xWindow="1040" yWindow="50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7" i="17" l="1"/>
  <c r="BX9" i="17"/>
  <c r="BW47" i="17"/>
  <c r="BW18" i="17"/>
  <c r="CB69" i="17"/>
  <c r="BV12" i="20"/>
  <c r="BX8" i="17"/>
  <c r="BX12" i="17"/>
  <c r="BX11" i="17"/>
  <c r="BX10" i="17"/>
  <c r="BV6" i="17"/>
  <c r="BX27" i="17"/>
  <c r="CB69" i="19"/>
  <c r="BV48" i="19"/>
  <c r="BV47" i="19"/>
  <c r="C67" i="19"/>
  <c r="BY37" i="19"/>
  <c r="CA37" i="19"/>
  <c r="BW37" i="19"/>
  <c r="CA35" i="19"/>
  <c r="BY35" i="19"/>
  <c r="BW35" i="19"/>
  <c r="BV12" i="19"/>
  <c r="BX28" i="19"/>
  <c r="BX27" i="19"/>
  <c r="BX24" i="19"/>
  <c r="C40" i="1"/>
  <c r="BW8" i="19"/>
  <c r="BX11" i="19"/>
  <c r="BX10" i="19"/>
  <c r="BX9" i="19"/>
  <c r="BV7" i="19"/>
  <c r="BV6" i="19"/>
  <c r="CB69" i="20"/>
  <c r="BW48" i="20"/>
  <c r="BW47" i="20"/>
  <c r="CA35" i="20" a="1"/>
  <c r="CA35" i="20"/>
  <c r="CA33" i="20"/>
  <c r="BW33" i="20"/>
  <c r="BX11" i="20"/>
  <c r="BX10" i="20"/>
  <c r="BX9" i="20"/>
  <c r="BW8" i="20"/>
  <c r="BV7" i="20"/>
  <c r="BV6" i="20"/>
  <c r="AE21" i="19"/>
  <c r="AE20" i="19"/>
  <c r="AE18" i="19"/>
  <c r="AS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3" i="20"/>
  <c r="BY35" i="20" a="1"/>
  <c r="BY35" i="20"/>
  <c r="BB73" i="20"/>
  <c r="BX72" i="20"/>
  <c r="BB71" i="20"/>
  <c r="BW27" i="20"/>
  <c r="BW18" i="20"/>
  <c r="BW26" i="20"/>
  <c r="BN69" i="20"/>
  <c r="BB69" i="20"/>
  <c r="AX57" i="20"/>
  <c r="AA54" i="20"/>
  <c r="BK50" i="20"/>
  <c r="AY50" i="20"/>
  <c r="AX50" i="20"/>
  <c r="BV47" i="20"/>
  <c r="BW35" i="20"/>
  <c r="AL35" i="20"/>
  <c r="AG35" i="20"/>
  <c r="AG34" i="20"/>
  <c r="AF30" i="20"/>
  <c r="AF29" i="20"/>
  <c r="BW25" i="20"/>
  <c r="AA19" i="20"/>
  <c r="AA18" i="20"/>
  <c r="AA51" i="17"/>
  <c r="BW26" i="17"/>
  <c r="BN69" i="17"/>
  <c r="BW33" i="17"/>
  <c r="BX25" i="17"/>
  <c r="BW48" i="17"/>
  <c r="BV47" i="17"/>
  <c r="BB73" i="19"/>
  <c r="BX72" i="19"/>
  <c r="BB71" i="19"/>
  <c r="BB69" i="19"/>
  <c r="BK56" i="19"/>
  <c r="BK50" i="19"/>
  <c r="BW48" i="19"/>
  <c r="BW47" i="19"/>
  <c r="BK43" i="19"/>
  <c r="AG35" i="19"/>
  <c r="AB35" i="19"/>
  <c r="AB34" i="19"/>
  <c r="AB30" i="19"/>
  <c r="AB29" i="19"/>
  <c r="BX26" i="19"/>
  <c r="BX25" i="19"/>
  <c r="AA20" i="19"/>
  <c r="AA19" i="19"/>
  <c r="BW18" i="19"/>
  <c r="BK50" i="17"/>
  <c r="AA19" i="17"/>
  <c r="AA18" i="17"/>
  <c r="AB29" i="17"/>
  <c r="AB30" i="17"/>
  <c r="AG35" i="17"/>
  <c r="AB35" i="17"/>
  <c r="AB34" i="17"/>
  <c r="BB73" i="17"/>
  <c r="BB71" i="17"/>
  <c r="BB69" i="17"/>
  <c r="BX72" i="17"/>
  <c r="G34" i="1"/>
  <c r="G35" i="1"/>
  <c r="G36" i="1"/>
  <c r="G38" i="1" a="1"/>
  <c r="G38" i="1"/>
  <c r="E36" i="1"/>
  <c r="C36" i="1"/>
  <c r="G32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<sst xmlns="http://schemas.openxmlformats.org/spreadsheetml/2006/main" count="398" uniqueCount="175">
  <si>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</si>
  <si>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</si>
  <si>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</si>
  <si>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</si>
  <si>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</si>
  <si>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</si>
  <si>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</si>
  <si>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</si>
  <si>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</si>
  <si>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</si>
  <si>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</si>
  <si>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</si>
  <si>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</si>
  <si>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</si>
  <si>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</si>
  <si>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</si>
  <si>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</si>
  <si>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</si>
  <si>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</si>
  <si>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</si>
  <si>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</si>
  <si>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</si>
  <si>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</si>
  <si>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</si>
  <si>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</si>
  <si>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</si>
  <si>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</si>
  <si>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</si>
  <si>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</si>
  <si>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</si>
  <si>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</si>
  <si>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</si>
  <si>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</si>
  <si>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</si>
  <si>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</si>
  <si>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</si>
  <si>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</si>
  <si>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</si>
  <si>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</si>
  <si>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</si>
  <si>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</si>
  <si>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</si>
  <si>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</si>
  <si>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</si>
  <si>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</si>
  <si>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</si>
  <si>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</si>
  <si>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</si>
  <si>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</si>
  <si>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</si>
  <si>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</si>
  <si>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</si>
  <si>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</si>
  <si>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</si>
  <si>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</si>
  <si>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</si>
  <si>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</si>
  <si>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</si>
  <si>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</si>
  <si>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</si>
  <si>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</si>
  <si>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</si>
  <si>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</si>
  <si>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</si>
  <si>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</si>
  <si>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</si>
  <si>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</si>
  <si>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</si>
  <si>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</si>
  <si>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</si>
  <si>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</si>
  <si>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</si>
  <si>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</si>
  <si>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</si>
  <si>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</si>
  <si>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</si>
  <si>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</si>
  <si>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</si>
  <si>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</si>
  <si>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</si>
  <si>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</si>
  <si>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</si>
  <si>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</si>
  <si>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</si>
  <si>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</si>
  <si>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</si>
  <si>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</si>
  <si>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</si>
  <si>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</si>
  <si>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</si>
  <si>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</si>
  <si>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</si>
  <si>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</si>
  <si>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</si>
  <si>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</si>
  <si>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</si>
  <si>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</si>
  <si>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</si>
  <si>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</si>
  <si>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</si>
  <si>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</si>
  <si>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</si>
  <si>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</si>
  <si>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</si>
  <si>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</si>
  <si>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</si>
  <si>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</si>
  <si>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</si>
  <si>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</si>
  <si>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</si>
  <si>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</si>
  <si>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</si>
  <si>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</si>
  <si>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</si>
  <si>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</si>
  <si>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</si>
  <si>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</si>
  <si>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</si>
  <si>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</si>
  <si>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</si>
  <si>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</si>
  <si>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</si>
  <si>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</si>
  <si>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</si>
  <si>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</si>
  <si>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</si>
  <si>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</si>
  <si>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</si>
  <si>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</si>
  <si>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</si>
  <si>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</si>
  <si>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</si>
  <si>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</si>
  <si>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</si>
  <si>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</si>
  <si>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</si>
  <si>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</si>
  <si>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</si>
  <si>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</si>
  <si>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</si>
  <si>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</si>
  <si>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</si>
  <si>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</si>
  <si>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</si>
  <si>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</si>
  <si>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</si>
  <si>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</si>
  <si>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</si>
  <si>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</si>
  <si>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</si>
  <si>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</si>
  <si>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</si>
  <si>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</si>
  <si>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</si>
  <si>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</si>
  <si>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</si>
  <si>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</si>
  <si>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</si>
  <si>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</si>
  <si>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</si>
  <si>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</si>
  <si>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 xml:space="preserve">20 Jan 2021 </t>
  </si>
  <si>
    <t>SLD Notes</t>
  </si>
  <si>
    <t>Vrise Notes</t>
  </si>
  <si>
    <t>21 Jan 2021</t>
  </si>
  <si>
    <t xml:space="preserve">21 Jan 2021 </t>
  </si>
  <si>
    <t>House DB</t>
  </si>
  <si>
    <t>Max. DC Voltage</t>
  </si>
  <si>
    <t>Gateway</t>
  </si>
  <si>
    <t>Tesla Gateway</t>
  </si>
  <si>
    <t>PowerWall 2</t>
  </si>
  <si>
    <t>Tesla Powerwall 2 (5kW, 13.5 kWh)</t>
  </si>
  <si>
    <t>AC isolators (1P for battery)</t>
  </si>
  <si>
    <t>DC Isolators</t>
  </si>
  <si>
    <t>DC Isolator, 1000V DC, 32A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</si>
</sst>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1" fillId="0" borderId="0" xfId="0" applyFont="1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0" fontId="0" fillId="2" borderId="7" xfId="0" quotePrefix="1" applyFill="1" applyBorder="1" applyAlignment="1">
      <alignment horizontal="left" indent="3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73" fontId="0" fillId="2" borderId="2" xfId="0" quotePrefix="1" applyNumberFormat="1" applyFill="1" applyBorder="1" applyAlignment="1">
      <alignment horizontal="center"/>
    </xf>
    <xf numFmtId="173" fontId="0" fillId="2" borderId="1" xfId="0" quotePrefix="1" applyNumberFormat="1" applyFill="1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183736</xdr:colOff>
      <xdr:row>69</xdr:row>
      <xdr:rowOff>119529</xdr:rowOff>
    </xdr:from>
    <xdr:to>
      <xdr:col>22</xdr:col>
      <xdr:colOff>78146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0853" y="14329799"/>
          <a:ext cx="2914951" cy="589986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11176" y="483012"/>
          <a:ext cx="596457" cy="3874862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38816" y="483012"/>
          <a:ext cx="598746" cy="3874861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81296" y="486282"/>
          <a:ext cx="594505" cy="3881266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1631" y="780057"/>
          <a:ext cx="16063848" cy="4780484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251963" y="3947100"/>
          <a:ext cx="1010358" cy="92926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670364" y="2964089"/>
          <a:ext cx="357815" cy="2799650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32174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414933" y="2948872"/>
          <a:ext cx="5603241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282389" y="5762144"/>
          <a:ext cx="991350" cy="2160876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152007</xdr:colOff>
      <xdr:row>20</xdr:row>
      <xdr:rowOff>53529</xdr:rowOff>
    </xdr:from>
    <xdr:to>
      <xdr:col>33</xdr:col>
      <xdr:colOff>152007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430526" y="4130072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33</xdr:col>
      <xdr:colOff>192032</xdr:colOff>
      <xdr:row>20</xdr:row>
      <xdr:rowOff>62519</xdr:rowOff>
    </xdr:from>
    <xdr:to>
      <xdr:col>36</xdr:col>
      <xdr:colOff>78568</xdr:colOff>
      <xdr:row>22</xdr:row>
      <xdr:rowOff>175199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470551" y="4139062"/>
          <a:ext cx="639128" cy="520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33</xdr:col>
      <xdr:colOff>96183</xdr:colOff>
      <xdr:row>14</xdr:row>
      <xdr:rowOff>109751</xdr:rowOff>
    </xdr:from>
    <xdr:to>
      <xdr:col>34</xdr:col>
      <xdr:colOff>146967</xdr:colOff>
      <xdr:row>20</xdr:row>
      <xdr:rowOff>55151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402669" y="2992994"/>
          <a:ext cx="302496" cy="1181076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59909" y="4581500"/>
          <a:ext cx="224313" cy="380142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156079</xdr:colOff>
      <xdr:row>15</xdr:row>
      <xdr:rowOff>78289</xdr:rowOff>
    </xdr:from>
    <xdr:to>
      <xdr:col>29</xdr:col>
      <xdr:colOff>155835</xdr:colOff>
      <xdr:row>16</xdr:row>
      <xdr:rowOff>158475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7204007" y="3167478"/>
          <a:ext cx="251468" cy="286132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131101" y="2999125"/>
          <a:ext cx="363937" cy="988355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178288</xdr:colOff>
      <xdr:row>14</xdr:row>
      <xdr:rowOff>125079</xdr:rowOff>
    </xdr:from>
    <xdr:to>
      <xdr:col>30</xdr:col>
      <xdr:colOff>139797</xdr:colOff>
      <xdr:row>23</xdr:row>
      <xdr:rowOff>182618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974504" y="3008322"/>
          <a:ext cx="716644" cy="1911053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204523</xdr:colOff>
      <xdr:row>14</xdr:row>
      <xdr:rowOff>101600</xdr:rowOff>
    </xdr:from>
    <xdr:to>
      <xdr:col>64</xdr:col>
      <xdr:colOff>211744</xdr:colOff>
      <xdr:row>56</xdr:row>
      <xdr:rowOff>129170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0776415" y="2984843"/>
          <a:ext cx="5544879" cy="8677300"/>
          <a:chOff x="10872523" y="2946400"/>
          <a:chExt cx="5595221" cy="856197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72523" y="2946400"/>
            <a:ext cx="5595221" cy="8561970"/>
            <a:chOff x="10697638" y="3016354"/>
            <a:chExt cx="5503614" cy="8771832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97638" y="3016354"/>
              <a:ext cx="367748" cy="8025364"/>
              <a:chOff x="12164968" y="4666198"/>
              <a:chExt cx="356562" cy="7574412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2164968" y="4666198"/>
                <a:ext cx="356562" cy="1791197"/>
                <a:chOff x="12164968" y="4666198"/>
                <a:chExt cx="356562" cy="1791197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2252333" y="614996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7" name="Shape 27">
                  <a:extLst>
                    <a:ext uri="{FF2B5EF4-FFF2-40B4-BE49-F238E27FC236}">
                      <a16:creationId xmlns:a16="http://schemas.microsoft.com/office/drawing/2014/main" id="{00000000-0008-0000-0200-0000E3000000}"/>
                    </a:ext>
                  </a:extLst>
                </xdr:cNvPr>
                <xdr:cNvSpPr/>
              </xdr:nvSpPr>
              <xdr:spPr>
                <a:xfrm>
                  <a:off x="12246608" y="635770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2308831" y="6182455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2295460" y="4666198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2164968" y="4954209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52192"/>
                <a:ext cx="0" cy="578841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220934</xdr:colOff>
      <xdr:row>16</xdr:row>
      <xdr:rowOff>86370</xdr:rowOff>
    </xdr:from>
    <xdr:to>
      <xdr:col>43</xdr:col>
      <xdr:colOff>217528</xdr:colOff>
      <xdr:row>17</xdr:row>
      <xdr:rowOff>158419</xdr:rowOff>
    </xdr:to>
    <xdr:grpSp>
      <xdr:nvGrpSpPr>
        <xdr:cNvPr id="231" name="3PInv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10792826" y="3381505"/>
          <a:ext cx="248306" cy="277995"/>
          <a:chOff x="3200401" y="7249224"/>
          <a:chExt cx="250595" cy="281901"/>
        </a:xfrm>
      </xdr:grpSpPr>
      <xdr:cxnSp macro="">
        <xdr:nvCxnSpPr>
          <xdr:cNvPr id="232" name="2P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3P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67733</xdr:colOff>
      <xdr:row>40</xdr:row>
      <xdr:rowOff>16933</xdr:rowOff>
    </xdr:from>
    <xdr:to>
      <xdr:col>64</xdr:col>
      <xdr:colOff>86875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2653319" y="8254771"/>
          <a:ext cx="3543106" cy="3952420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132080</xdr:colOff>
      <xdr:row>39</xdr:row>
      <xdr:rowOff>162559</xdr:rowOff>
    </xdr:from>
    <xdr:to>
      <xdr:col>65</xdr:col>
      <xdr:colOff>128638</xdr:colOff>
      <xdr:row>59</xdr:row>
      <xdr:rowOff>201630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2832080" y="8087359"/>
          <a:ext cx="3806558" cy="410307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64</xdr:col>
      <xdr:colOff>185756</xdr:colOff>
      <xdr:row>59</xdr:row>
      <xdr:rowOff>139994</xdr:rowOff>
    </xdr:from>
    <xdr:to>
      <xdr:col>66</xdr:col>
      <xdr:colOff>85630</xdr:colOff>
      <xdr:row>61</xdr:row>
      <xdr:rowOff>133125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6295306" y="12290805"/>
          <a:ext cx="403297" cy="405023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5324801" y="8025755"/>
          <a:ext cx="260750" cy="213712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236387</xdr:colOff>
      <xdr:row>36</xdr:row>
      <xdr:rowOff>21783</xdr:rowOff>
    </xdr:from>
    <xdr:to>
      <xdr:col>42</xdr:col>
      <xdr:colOff>246225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336983"/>
          <a:ext cx="6359838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204109</xdr:colOff>
      <xdr:row>35</xdr:row>
      <xdr:rowOff>60713</xdr:rowOff>
    </xdr:from>
    <xdr:to>
      <xdr:col>44</xdr:col>
      <xdr:colOff>32398</xdr:colOff>
      <xdr:row>36</xdr:row>
      <xdr:rowOff>27288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10776001" y="7268821"/>
          <a:ext cx="331712" cy="172521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126475</xdr:colOff>
      <xdr:row>34</xdr:row>
      <xdr:rowOff>154277</xdr:rowOff>
    </xdr:from>
    <xdr:to>
      <xdr:col>43</xdr:col>
      <xdr:colOff>128243</xdr:colOff>
      <xdr:row>36</xdr:row>
      <xdr:rowOff>120224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86475" y="7063077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25</xdr:col>
      <xdr:colOff>75259</xdr:colOff>
      <xdr:row>14</xdr:row>
      <xdr:rowOff>105834</xdr:rowOff>
    </xdr:from>
    <xdr:to>
      <xdr:col>37</xdr:col>
      <xdr:colOff>117592</xdr:colOff>
      <xdr:row>34</xdr:row>
      <xdr:rowOff>188149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6368052" y="2989077"/>
          <a:ext cx="3062873" cy="4201234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33</xdr:col>
      <xdr:colOff>18417</xdr:colOff>
      <xdr:row>15</xdr:row>
      <xdr:rowOff>73900</xdr:rowOff>
    </xdr:from>
    <xdr:to>
      <xdr:col>34</xdr:col>
      <xdr:colOff>18173</xdr:colOff>
      <xdr:row>16</xdr:row>
      <xdr:rowOff>154086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8324903" y="3163089"/>
          <a:ext cx="251468" cy="286132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13657</xdr:colOff>
      <xdr:row>14</xdr:row>
      <xdr:rowOff>172118</xdr:rowOff>
    </xdr:from>
    <xdr:to>
      <xdr:col>34</xdr:col>
      <xdr:colOff>13654</xdr:colOff>
      <xdr:row>15</xdr:row>
      <xdr:rowOff>152888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8292176" y="3025698"/>
          <a:ext cx="250861" cy="18459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16208" y="771820"/>
          <a:ext cx="16492610" cy="47298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380107" y="3894927"/>
          <a:ext cx="1019511" cy="918278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77699</xdr:colOff>
      <xdr:row>14</xdr:row>
      <xdr:rowOff>110068</xdr:rowOff>
    </xdr:from>
    <xdr:to>
      <xdr:col>35</xdr:col>
      <xdr:colOff>132054</xdr:colOff>
      <xdr:row>21</xdr:row>
      <xdr:rowOff>64194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205699" y="2954868"/>
          <a:ext cx="816355" cy="1376526"/>
          <a:chOff x="8797753" y="2514393"/>
          <a:chExt cx="834717" cy="1346131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514393"/>
            <a:ext cx="320161" cy="1129082"/>
            <a:chOff x="9589750" y="4139008"/>
            <a:chExt cx="310215" cy="1160577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139008"/>
              <a:ext cx="0" cy="6063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259245" y="2960682"/>
          <a:ext cx="366225" cy="974625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275521" y="3392787"/>
          <a:ext cx="250593" cy="271384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856822" y="12049343"/>
          <a:ext cx="407874" cy="399529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281" name="3PGate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GrpSpPr/>
      </xdr:nvGrpSpPr>
      <xdr:grpSpPr>
        <a:xfrm>
          <a:off x="5372855" y="7921409"/>
          <a:ext cx="263038" cy="208220"/>
          <a:chOff x="5372855" y="7921409"/>
          <a:chExt cx="263038" cy="208220"/>
        </a:xfrm>
      </xdr:grpSpPr>
      <xdr:cxnSp macro="">
        <xdr:nvCxnSpPr>
          <xdr:cNvPr id="153" name="2P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flipH="1">
            <a:off x="5372855" y="7921409"/>
            <a:ext cx="174894" cy="19646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2P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flipH="1">
            <a:off x="5463775" y="7933167"/>
            <a:ext cx="172118" cy="19646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189675" y="7172713"/>
          <a:ext cx="330766" cy="169775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594271" y="2950634"/>
          <a:ext cx="3084213" cy="4146315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344125" y="2967210"/>
          <a:ext cx="2429919" cy="8156190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584139" y="10621089"/>
          <a:ext cx="2866922" cy="962895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530062" y="9317380"/>
          <a:ext cx="1859045" cy="18072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776705" y="10339456"/>
          <a:ext cx="1858164" cy="11457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20</xdr:row>
      <xdr:rowOff>55880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93600" y="4409440"/>
          <a:ext cx="86360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32</xdr:col>
      <xdr:colOff>10187</xdr:colOff>
      <xdr:row>15</xdr:row>
      <xdr:rowOff>90787</xdr:rowOff>
    </xdr:from>
    <xdr:to>
      <xdr:col>33</xdr:col>
      <xdr:colOff>6780</xdr:colOff>
      <xdr:row>16</xdr:row>
      <xdr:rowOff>158971</xdr:rowOff>
    </xdr:to>
    <xdr:grpSp>
      <xdr:nvGrpSpPr>
        <xdr:cNvPr id="282" name="3PLoads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GrpSpPr/>
      </xdr:nvGrpSpPr>
      <xdr:grpSpPr>
        <a:xfrm>
          <a:off x="8138187" y="3138787"/>
          <a:ext cx="250593" cy="271384"/>
          <a:chOff x="3200401" y="7249224"/>
          <a:chExt cx="250595" cy="281901"/>
        </a:xfrm>
      </xdr:grpSpPr>
      <xdr:cxnSp macro="">
        <xdr:nvCxnSpPr>
          <xdr:cNvPr id="283" name="2P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3P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243678</xdr:colOff>
      <xdr:row>15</xdr:row>
      <xdr:rowOff>570</xdr:rowOff>
    </xdr:from>
    <xdr:to>
      <xdr:col>32</xdr:col>
      <xdr:colOff>244172</xdr:colOff>
      <xdr:row>15</xdr:row>
      <xdr:rowOff>185137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CxnSpPr/>
      </xdr:nvCxnSpPr>
      <xdr:spPr>
        <a:xfrm flipH="1">
          <a:off x="8117678" y="3048570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="" xmlns:ma14="http://schemas.microsoft.com/office/mac/drawingml/2011/main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21</xdr:col>
      <xdr:colOff>226786</xdr:colOff>
      <xdr:row>27</xdr:row>
      <xdr:rowOff>192768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5044578" cy="4907347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8504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80185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87634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168263</xdr:colOff>
      <xdr:row>14</xdr:row>
      <xdr:rowOff>102055</xdr:rowOff>
    </xdr:from>
    <xdr:to>
      <xdr:col>36</xdr:col>
      <xdr:colOff>222617</xdr:colOff>
      <xdr:row>21</xdr:row>
      <xdr:rowOff>35770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550263" y="2946855"/>
          <a:ext cx="816354" cy="1356115"/>
          <a:chOff x="8797753" y="2534345"/>
          <a:chExt cx="834716" cy="1326180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534345"/>
            <a:ext cx="320161" cy="1109132"/>
            <a:chOff x="9589750" y="4159515"/>
            <a:chExt cx="310215" cy="1140070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159515"/>
              <a:ext cx="0" cy="58580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67642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97649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8880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73549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64504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60060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216255</xdr:colOff>
      <xdr:row>40</xdr:row>
      <xdr:rowOff>91440</xdr:rowOff>
    </xdr:from>
    <xdr:to>
      <xdr:col>52</xdr:col>
      <xdr:colOff>46146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76922" y="8219440"/>
          <a:ext cx="1861891" cy="1701017"/>
          <a:chOff x="12083808" y="1681201"/>
          <a:chExt cx="2800369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800369" cy="2508138"/>
            <a:chOff x="8135888" y="6041149"/>
            <a:chExt cx="2800382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73845" cy="1263099"/>
              <a:chOff x="7655301" y="3624645"/>
              <a:chExt cx="2773845" cy="1263099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91557" cy="1263099"/>
                <a:chOff x="8637589" y="3624645"/>
                <a:chExt cx="1791557" cy="1263099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9" y="4031581"/>
                  <a:ext cx="266797" cy="856163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82731"/>
              <a:ext cx="0" cy="10639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3015818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33</xdr:col>
      <xdr:colOff>99000</xdr:colOff>
      <xdr:row>14</xdr:row>
      <xdr:rowOff>180410</xdr:rowOff>
    </xdr:from>
    <xdr:to>
      <xdr:col>34</xdr:col>
      <xdr:colOff>71602</xdr:colOff>
      <xdr:row>16</xdr:row>
      <xdr:rowOff>148660</xdr:rowOff>
    </xdr:to>
    <xdr:grpSp>
      <xdr:nvGrpSpPr>
        <xdr:cNvPr id="449" name="3PLoads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GrpSpPr/>
      </xdr:nvGrpSpPr>
      <xdr:grpSpPr>
        <a:xfrm>
          <a:off x="8481000" y="3025210"/>
          <a:ext cx="226602" cy="374650"/>
          <a:chOff x="3201903" y="4462268"/>
          <a:chExt cx="227837" cy="369303"/>
        </a:xfrm>
      </xdr:grpSpPr>
      <xdr:sp macro="" textlink="">
        <xdr:nvSpPr>
          <xdr:cNvPr id="450" name="Shape 26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451" name="Shape 26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116690</xdr:colOff>
      <xdr:row>15</xdr:row>
      <xdr:rowOff>39350</xdr:rowOff>
    </xdr:from>
    <xdr:to>
      <xdr:col>34</xdr:col>
      <xdr:colOff>81801</xdr:colOff>
      <xdr:row>16</xdr:row>
      <xdr:rowOff>51936</xdr:rowOff>
    </xdr:to>
    <xdr:sp macro="" textlink="">
      <xdr:nvSpPr>
        <xdr:cNvPr id="452" name="Shape 26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 flipH="1">
          <a:off x="8349011" y="3100957"/>
          <a:ext cx="214576" cy="21669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135208</xdr:colOff>
      <xdr:row>3</xdr:row>
      <xdr:rowOff>161313</xdr:rowOff>
    </xdr:from>
    <xdr:to>
      <xdr:col>67</xdr:col>
      <xdr:colOff>152400</xdr:colOff>
      <xdr:row>24</xdr:row>
      <xdr:rowOff>25400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5723208" y="770913"/>
          <a:ext cx="11523392" cy="413128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103403</xdr:colOff>
      <xdr:row>62</xdr:row>
      <xdr:rowOff>51117</xdr:rowOff>
    </xdr:from>
    <xdr:to>
      <xdr:col>24</xdr:col>
      <xdr:colOff>21521</xdr:colOff>
      <xdr:row>63</xdr:row>
      <xdr:rowOff>44379</xdr:rowOff>
    </xdr:to>
    <xdr:cxnSp macro="">
      <xdr:nvCxnSpPr>
        <xdr:cNvPr id="522" name="2P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CxnSpPr/>
      </xdr:nvCxnSpPr>
      <xdr:spPr>
        <a:xfrm flipH="1">
          <a:off x="5945403" y="1264951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154200</xdr:colOff>
      <xdr:row>62</xdr:row>
      <xdr:rowOff>51111</xdr:rowOff>
    </xdr:from>
    <xdr:to>
      <xdr:col>23</xdr:col>
      <xdr:colOff>72318</xdr:colOff>
      <xdr:row>63</xdr:row>
      <xdr:rowOff>44373</xdr:rowOff>
    </xdr:to>
    <xdr:cxnSp macro="">
      <xdr:nvCxnSpPr>
        <xdr:cNvPr id="523" name="2P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CxnSpPr/>
      </xdr:nvCxnSpPr>
      <xdr:spPr>
        <a:xfrm flipH="1">
          <a:off x="5742200" y="12649511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topLeftCell="A54" zoomScale="99" workbookViewId="0">
      <selection activeCell="F35" sqref="F35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3" t="s">
        <v>64</v>
      </c>
      <c r="B1" s="153"/>
      <c r="C1" s="93"/>
    </row>
    <row r="2" spans="1:8" x14ac:dyDescent="0.2">
      <c r="A2" s="65" t="s">
        <v>65</v>
      </c>
      <c r="B2" s="65">
        <v>26181</v>
      </c>
      <c r="C2" s="90"/>
    </row>
    <row r="3" spans="1:8" ht="17" x14ac:dyDescent="0.2">
      <c r="A3" s="66" t="s">
        <v>67</v>
      </c>
      <c r="B3" s="65" t="s">
        <v>63</v>
      </c>
      <c r="C3" s="90"/>
    </row>
    <row r="4" spans="1:8" ht="24" customHeight="1" x14ac:dyDescent="0.2">
      <c r="A4" s="65" t="s">
        <v>66</v>
      </c>
      <c r="B4" s="65" t="s">
        <v>77</v>
      </c>
      <c r="C4" s="90"/>
    </row>
    <row r="5" spans="1:8" x14ac:dyDescent="0.2">
      <c r="A5" s="65" t="s">
        <v>49</v>
      </c>
      <c r="B5" s="65">
        <v>1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4" t="s">
        <v>73</v>
      </c>
      <c r="B10" s="155"/>
      <c r="C10" s="86"/>
      <c r="D10" s="86"/>
      <c r="E10" s="88"/>
      <c r="F10" s="90"/>
    </row>
    <row r="11" spans="1:8" x14ac:dyDescent="0.2">
      <c r="A11" s="89" t="s">
        <v>68</v>
      </c>
      <c r="B11" s="68" t="s">
        <v>58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62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18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3" t="s">
        <v>78</v>
      </c>
      <c r="E15" s="153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79</v>
      </c>
      <c r="F16" s="92"/>
    </row>
    <row r="17" spans="1:6" x14ac:dyDescent="0.2">
      <c r="B17" s="92"/>
      <c r="C17" s="92"/>
      <c r="D17" s="65" t="s">
        <v>72</v>
      </c>
      <c r="E17" s="65" t="s">
        <v>80</v>
      </c>
      <c r="F17" s="92"/>
    </row>
    <row r="18" spans="1:6" x14ac:dyDescent="0.2">
      <c r="A18" s="153" t="s">
        <v>78</v>
      </c>
      <c r="B18" s="153"/>
      <c r="C18" s="92"/>
      <c r="D18" s="65" t="s">
        <v>144</v>
      </c>
      <c r="E18" s="65">
        <v>1</v>
      </c>
      <c r="F18" s="92"/>
    </row>
    <row r="19" spans="1:6" x14ac:dyDescent="0.2">
      <c r="A19" s="65" t="s">
        <v>71</v>
      </c>
      <c r="B19" s="65" t="s">
        <v>79</v>
      </c>
      <c r="C19" s="92"/>
      <c r="D19" s="65" t="s">
        <v>145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80</v>
      </c>
      <c r="C20" s="92"/>
      <c r="D20" s="65" t="s">
        <v>37</v>
      </c>
      <c r="E20" s="65">
        <v>4</v>
      </c>
      <c r="F20" s="92"/>
    </row>
    <row r="21" spans="1:6" ht="16" customHeight="1" x14ac:dyDescent="0.2">
      <c r="A21" s="65" t="s">
        <v>37</v>
      </c>
      <c r="B21" s="65">
        <v>4</v>
      </c>
      <c r="C21" s="92"/>
      <c r="D21" s="65" t="s">
        <v>146</v>
      </c>
      <c r="E21" s="65">
        <v>12</v>
      </c>
      <c r="F21" s="92"/>
    </row>
    <row r="22" spans="1:6" x14ac:dyDescent="0.2">
      <c r="A22" s="65" t="s">
        <v>94</v>
      </c>
      <c r="B22" s="65">
        <v>12</v>
      </c>
      <c r="C22" s="92"/>
      <c r="D22" s="65" t="s">
        <v>147</v>
      </c>
      <c r="E22" s="65"/>
      <c r="F22" s="92"/>
    </row>
    <row r="23" spans="1:6" x14ac:dyDescent="0.2">
      <c r="A23" s="65" t="s">
        <v>95</v>
      </c>
      <c r="B23" s="65"/>
      <c r="C23" s="92"/>
      <c r="D23" s="65" t="s">
        <v>148</v>
      </c>
      <c r="E23" s="65">
        <v>12</v>
      </c>
      <c r="F23" s="92"/>
    </row>
    <row r="24" spans="1:6" x14ac:dyDescent="0.2">
      <c r="A24" s="65" t="s">
        <v>96</v>
      </c>
      <c r="B24" s="65">
        <v>12</v>
      </c>
      <c r="C24" s="92"/>
      <c r="D24" s="143" t="s">
        <v>149</v>
      </c>
      <c r="E24" s="143"/>
      <c r="F24" s="92"/>
    </row>
    <row r="25" spans="1:6" x14ac:dyDescent="0.2">
      <c r="A25" s="112" t="s">
        <v>86</v>
      </c>
      <c r="B25" s="112"/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6" t="s">
        <v>81</v>
      </c>
      <c r="B27" s="157"/>
    </row>
    <row r="28" spans="1:6" x14ac:dyDescent="0.2">
      <c r="A28" s="65" t="s">
        <v>82</v>
      </c>
      <c r="B28" s="65"/>
    </row>
    <row r="29" spans="1:6" x14ac:dyDescent="0.2">
      <c r="A29" s="65" t="s">
        <v>83</v>
      </c>
      <c r="B29" s="65"/>
    </row>
    <row r="30" spans="1:6" x14ac:dyDescent="0.2">
      <c r="A30" s="65" t="s">
        <v>84</v>
      </c>
      <c r="B30" s="65"/>
    </row>
    <row r="31" spans="1:6" x14ac:dyDescent="0.2">
      <c r="A31" s="65" t="s">
        <v>85</v>
      </c>
      <c r="B31" s="65">
        <v>4</v>
      </c>
    </row>
    <row r="32" spans="1:6" x14ac:dyDescent="0.2">
      <c r="A32" s="65" t="s">
        <v>93</v>
      </c>
      <c r="B32" s="65"/>
    </row>
    <row r="33" spans="1:2" x14ac:dyDescent="0.2">
      <c r="A33" s="65" t="s">
        <v>100</v>
      </c>
      <c r="B33" s="65"/>
    </row>
    <row r="34" spans="1:2" x14ac:dyDescent="0.2">
      <c r="A34" s="65" t="s">
        <v>163</v>
      </c>
      <c r="B34" s="65"/>
    </row>
    <row r="35" spans="1:2" x14ac:dyDescent="0.2">
      <c r="A35" s="153" t="s">
        <v>97</v>
      </c>
      <c r="B35" s="153"/>
    </row>
    <row r="36" spans="1:2" x14ac:dyDescent="0.2">
      <c r="A36" s="65" t="s">
        <v>98</v>
      </c>
      <c r="B36" s="65"/>
    </row>
    <row r="37" spans="1:2" x14ac:dyDescent="0.2">
      <c r="A37" s="65" t="s">
        <v>99</v>
      </c>
      <c r="B37" s="65"/>
    </row>
    <row r="38" spans="1:2" x14ac:dyDescent="0.2">
      <c r="A38" s="65" t="s">
        <v>162</v>
      </c>
      <c r="B38" s="65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C41" sqref="C41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45</v>
      </c>
      <c r="C30" s="32" t="str">
        <f>Param!B3</f>
        <v xml:space="preserve">Miller, Ian </v>
      </c>
      <c r="D30" s="31" t="s">
        <v>46</v>
      </c>
      <c r="E30" s="158" t="str">
        <f>Param!B4</f>
        <v>154 Princeton Ave  Adamstown Heights</v>
      </c>
      <c r="F30" s="159"/>
      <c r="G30" s="160"/>
    </row>
    <row r="31" spans="2:7" ht="17" thickBot="1" x14ac:dyDescent="0.25">
      <c r="B31" s="161" t="str">
        <f>IF(Param!B12&lt;&gt;0,"Service Main","Service+Consumer Main")</f>
        <v>Service Main</v>
      </c>
      <c r="C31" s="162"/>
      <c r="D31" s="161" t="s">
        <v>47</v>
      </c>
      <c r="E31" s="162"/>
      <c r="F31" s="163" t="s">
        <v>48</v>
      </c>
      <c r="G31" s="164"/>
    </row>
    <row r="32" spans="2:7" x14ac:dyDescent="0.2">
      <c r="B32" s="33" t="s">
        <v>49</v>
      </c>
      <c r="C32" s="34">
        <f>Param!B33</f>
        <v>0</v>
      </c>
      <c r="D32" s="33" t="s">
        <v>49</v>
      </c>
      <c r="E32" s="34">
        <f>Param!B33</f>
        <v>0</v>
      </c>
      <c r="F32" s="35" t="s">
        <v>49</v>
      </c>
      <c r="G32" s="36">
        <f>Param!B33</f>
        <v>0</v>
      </c>
    </row>
    <row r="33" spans="2:7" x14ac:dyDescent="0.2">
      <c r="B33" s="33" t="s">
        <v>50</v>
      </c>
      <c r="C33" s="37" t="s">
        <v>51</v>
      </c>
      <c r="D33" s="33" t="s">
        <v>50</v>
      </c>
      <c r="E33" s="38" t="s">
        <v>51</v>
      </c>
      <c r="F33" s="39" t="s">
        <v>50</v>
      </c>
      <c r="G33" s="40" t="s">
        <v>51</v>
      </c>
    </row>
    <row r="34" spans="2:7" x14ac:dyDescent="0.2">
      <c r="B34" s="41" t="s">
        <v>52</v>
      </c>
      <c r="C34" s="42">
        <v>16</v>
      </c>
      <c r="D34" s="41" t="s">
        <v>52</v>
      </c>
      <c r="E34" s="42">
        <v>16</v>
      </c>
      <c r="F34" s="41" t="s">
        <v>52</v>
      </c>
      <c r="G34" s="43">
        <f>Param!B31</f>
        <v>4</v>
      </c>
    </row>
    <row r="35" spans="2:7" x14ac:dyDescent="0.2">
      <c r="B35" s="44" t="s">
        <v>53</v>
      </c>
      <c r="C35" s="45">
        <f>Param!B28</f>
        <v>0</v>
      </c>
      <c r="D35" s="44" t="s">
        <v>53</v>
      </c>
      <c r="E35" s="46">
        <f>Param!B29</f>
        <v>0</v>
      </c>
      <c r="F35" s="44" t="s">
        <v>53</v>
      </c>
      <c r="G35" s="46">
        <f>Param!B30</f>
        <v>0</v>
      </c>
    </row>
    <row r="36" spans="2:7" x14ac:dyDescent="0.2">
      <c r="B36" s="44" t="s">
        <v>54</v>
      </c>
      <c r="C36" s="47">
        <f>Param!B32</f>
        <v>0</v>
      </c>
      <c r="D36" s="44" t="s">
        <v>54</v>
      </c>
      <c r="E36" s="48">
        <f>Param!B32</f>
        <v>0</v>
      </c>
      <c r="F36" s="44" t="s">
        <v>54</v>
      </c>
      <c r="G36" s="48">
        <f>Param!B32</f>
        <v>0</v>
      </c>
    </row>
    <row r="37" spans="2:7" ht="17" thickBot="1" x14ac:dyDescent="0.25">
      <c r="B37" s="49" t="s">
        <v>55</v>
      </c>
      <c r="C37" s="50" cm="1">
        <f t="array" ref="C37">AmPerPcntVd(C34,C32)</f>
        <v>1643</v>
      </c>
      <c r="D37" s="51" t="s">
        <v>55</v>
      </c>
      <c r="E37" s="50" cm="1">
        <f t="array" ref="E37">AmPerPcntVd(E34,E32)</f>
        <v>1643</v>
      </c>
      <c r="F37" s="51" t="s">
        <v>55</v>
      </c>
      <c r="G37" s="52" cm="1">
        <f t="array" ref="G37">AmPerPcntVd(G34,G32)</f>
        <v>412</v>
      </c>
    </row>
    <row r="38" spans="2:7" ht="17" thickBot="1" x14ac:dyDescent="0.25">
      <c r="B38" s="53" t="s">
        <v>56</v>
      </c>
      <c r="C38" s="54" cm="1">
        <f t="array" ref="C38">VoltageDrop(C36,C34,C35,C32)/100</f>
        <v>0</v>
      </c>
      <c r="D38" s="55" t="s">
        <v>56</v>
      </c>
      <c r="E38" s="54" cm="1">
        <f t="array" ref="E38">VoltageDrop(E36,E34,E35,E32)/100</f>
        <v>0</v>
      </c>
      <c r="F38" s="55" t="s">
        <v>56</v>
      </c>
      <c r="G38" s="62" cm="1">
        <f t="array" ref="G38">VoltageDrop(G36,G34,G35,G32)/100</f>
        <v>0</v>
      </c>
    </row>
    <row r="39" spans="2:7" ht="17" thickBot="1" x14ac:dyDescent="0.25">
      <c r="B39" s="53" t="s">
        <v>57</v>
      </c>
      <c r="C39" s="56">
        <f>C38*IF(C32=1,230,400)</f>
        <v>0</v>
      </c>
      <c r="D39" s="53" t="s">
        <v>57</v>
      </c>
      <c r="E39" s="56">
        <f>E38*IF(E32=1,230,400)</f>
        <v>0</v>
      </c>
      <c r="F39" s="53" t="s">
        <v>57</v>
      </c>
      <c r="G39" s="61">
        <f>G38*IF(G32=1,230,400)</f>
        <v>0</v>
      </c>
    </row>
    <row r="40" spans="2:7" x14ac:dyDescent="0.2">
      <c r="B40" s="165" t="s">
        <v>29</v>
      </c>
      <c r="C40" s="57" t="str">
        <f>_xlfn.CONCAT(Param!B34)</f>
        <v/>
      </c>
      <c r="D40" s="58"/>
      <c r="E40" s="58"/>
      <c r="F40" s="167">
        <f>C38+G38+E38</f>
        <v>0</v>
      </c>
      <c r="G40" s="169">
        <f>G39+E39+C39</f>
        <v>0</v>
      </c>
    </row>
    <row r="41" spans="2:7" ht="17" thickBot="1" x14ac:dyDescent="0.25">
      <c r="B41" s="166"/>
      <c r="C41" s="59"/>
      <c r="D41" s="60"/>
      <c r="E41" s="60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A63" zoomScale="111" zoomScaleNormal="227" workbookViewId="0">
      <selection activeCell="Q77" sqref="Q77"/>
    </sheetView>
  </sheetViews>
  <sheetFormatPr baseColWidth="10" defaultRowHeight="16" x14ac:dyDescent="0.2"/>
  <cols>
    <col min="1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0" t="str">
        <f>Param!B12</f>
        <v>LG NeON 2</v>
      </c>
      <c r="BW7" s="180"/>
      <c r="BX7" s="180"/>
      <c r="BY7" s="180"/>
      <c r="BZ7" s="181"/>
    </row>
    <row r="8" spans="4:81" x14ac:dyDescent="0.2">
      <c r="BR8" s="24" t="s">
        <v>158</v>
      </c>
      <c r="BS8" s="145"/>
      <c r="BT8" s="145"/>
      <c r="BU8" s="145"/>
      <c r="BV8" s="145"/>
      <c r="BW8" s="182">
        <f>Param!B13</f>
        <v>18</v>
      </c>
      <c r="BX8" s="182"/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213" t="str">
        <f>_xlfn.CONCAT(Param!B14*BW8/1000, " kWdc")</f>
        <v>6.57 kWdc</v>
      </c>
      <c r="BW12" s="213"/>
      <c r="BX12" s="213"/>
      <c r="BY12" s="213"/>
      <c r="BZ12" s="214"/>
      <c r="CC12" s="78"/>
    </row>
    <row r="13" spans="4:81" x14ac:dyDescent="0.2">
      <c r="Y13" s="100" t="s">
        <v>133</v>
      </c>
      <c r="AQ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82">
        <v>1</v>
      </c>
      <c r="BW15" s="182"/>
      <c r="BX15" s="182"/>
      <c r="BY15" s="182"/>
      <c r="BZ15" s="183"/>
      <c r="CC15" s="78"/>
    </row>
    <row r="16" spans="4:81" x14ac:dyDescent="0.2">
      <c r="BR16" s="24" t="s">
        <v>39</v>
      </c>
      <c r="BS16" s="18"/>
      <c r="BT16" s="18"/>
      <c r="BU16" s="18"/>
      <c r="BV16" s="178" t="s">
        <v>103</v>
      </c>
      <c r="BW16" s="178"/>
      <c r="BX16" s="178"/>
      <c r="BY16" s="178"/>
      <c r="BZ16" s="179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180" t="s">
        <v>104</v>
      </c>
      <c r="BW17" s="180"/>
      <c r="BX17" s="180"/>
      <c r="BY17" s="180"/>
      <c r="BZ17" s="181"/>
      <c r="CA17" s="78"/>
      <c r="CB17" s="78"/>
      <c r="CC17" s="78"/>
    </row>
    <row r="18" spans="10:81" ht="16" customHeight="1" x14ac:dyDescent="0.2">
      <c r="AE18" s="119" t="str">
        <f>IF(Param!B25="","","Q Relay")</f>
        <v/>
      </c>
      <c r="AU18" s="119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4">
        <f>5</f>
        <v>5</v>
      </c>
      <c r="BX18" s="184"/>
      <c r="BY18" s="173" t="s">
        <v>106</v>
      </c>
      <c r="BZ18" s="176"/>
      <c r="CA18" s="18"/>
      <c r="CB18" s="18"/>
      <c r="CC18" s="18"/>
    </row>
    <row r="19" spans="10:81" ht="16" customHeight="1" x14ac:dyDescent="0.2">
      <c r="AA19" s="119" t="str">
        <f>IF(Param!B36&lt;&gt;"","Main","")</f>
        <v/>
      </c>
      <c r="AU19" s="119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5">
        <v>13.5</v>
      </c>
      <c r="BX19" s="185"/>
      <c r="BY19" s="174" t="s">
        <v>108</v>
      </c>
      <c r="BZ19" s="177"/>
      <c r="CA19" s="18"/>
      <c r="CB19" s="18"/>
      <c r="CC19" s="18"/>
    </row>
    <row r="20" spans="10:81" x14ac:dyDescent="0.2">
      <c r="Y20" s="79"/>
      <c r="AA20" s="119" t="str">
        <f>IF(Param!B36&lt;&gt;"","Switch","")</f>
        <v/>
      </c>
      <c r="AE20" s="119" t="str">
        <f>IF(Param!B25="","","Envoy  Supply ")</f>
        <v/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44"/>
      <c r="BU20" s="18"/>
      <c r="BV20" s="18"/>
      <c r="BW20" s="118"/>
      <c r="BX20" s="146">
        <v>32</v>
      </c>
      <c r="BY20" s="216" t="s">
        <v>109</v>
      </c>
      <c r="BZ20" s="181"/>
      <c r="CA20" s="18"/>
      <c r="CB20" s="18"/>
      <c r="CC20" s="18"/>
    </row>
    <row r="21" spans="10:81" x14ac:dyDescent="0.2">
      <c r="AE21" s="119" t="str">
        <f>IF(Param!B25="","","Switch")</f>
        <v/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47">
        <v>50</v>
      </c>
      <c r="BY21" s="217" t="s">
        <v>112</v>
      </c>
      <c r="BZ21" s="218"/>
      <c r="CA21" s="172"/>
      <c r="CB21" s="172"/>
      <c r="CC21" s="172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173"/>
      <c r="CB22" s="173"/>
      <c r="CC22" s="173"/>
    </row>
    <row r="23" spans="10:81" x14ac:dyDescent="0.2">
      <c r="AJ23" s="7"/>
      <c r="AN23" s="119" t="s">
        <v>113</v>
      </c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N24" s="119" t="s">
        <v>114</v>
      </c>
      <c r="BR24" s="24" t="s">
        <v>115</v>
      </c>
      <c r="BS24" s="18"/>
      <c r="BT24" s="18"/>
      <c r="BU24" s="18"/>
      <c r="BW24" s="118"/>
      <c r="BX24" s="178">
        <f>Param!B13</f>
        <v>18</v>
      </c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18"/>
      <c r="BX25" s="178" t="str">
        <f>Param!B19</f>
        <v>SMA</v>
      </c>
      <c r="BY25" s="178"/>
      <c r="BZ25" s="179"/>
      <c r="CC25" s="17"/>
    </row>
    <row r="26" spans="10:81" x14ac:dyDescent="0.2">
      <c r="J26" s="119" t="s">
        <v>113</v>
      </c>
      <c r="BR26" s="22" t="s">
        <v>38</v>
      </c>
      <c r="BS26" s="21"/>
      <c r="BT26" s="18"/>
      <c r="BU26" s="18"/>
      <c r="BW26" s="118"/>
      <c r="BX26" s="215" t="str">
        <f>Param!B20</f>
        <v>SB4.0-1AV-40</v>
      </c>
      <c r="BY26" s="215"/>
      <c r="BZ26" s="179"/>
      <c r="CC26" s="17"/>
    </row>
    <row r="27" spans="10:81" x14ac:dyDescent="0.2">
      <c r="BR27" s="22" t="s">
        <v>160</v>
      </c>
      <c r="BS27" s="150"/>
      <c r="BT27" s="150"/>
      <c r="BU27" s="150"/>
      <c r="BV27" s="150"/>
      <c r="BW27" s="150"/>
      <c r="BX27" s="209" t="str">
        <f>_xlfn.CONCAT(Param!B21," kWac")</f>
        <v>4 kWac</v>
      </c>
      <c r="BY27" s="209"/>
      <c r="BZ27" s="210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116</v>
      </c>
      <c r="BS28" s="19"/>
      <c r="BT28" s="19"/>
      <c r="BU28" s="19"/>
      <c r="BV28" s="19"/>
      <c r="BW28" s="19"/>
      <c r="BX28" s="207" t="str">
        <f>_xlfn.CONCAT(Param!B22*Param!B13," kWac")</f>
        <v>216 kWac</v>
      </c>
      <c r="BY28" s="207"/>
      <c r="BZ28" s="208"/>
      <c r="CC28" s="123"/>
    </row>
    <row r="29" spans="10:81" x14ac:dyDescent="0.2">
      <c r="L29" s="16"/>
      <c r="M29" s="15"/>
      <c r="AB29" s="100" t="str">
        <f>IF(Param!B36&lt;&gt;"","Existing array","")</f>
        <v/>
      </c>
      <c r="BB29" s="119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B30" s="11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0"/>
      <c r="BS32" s="10"/>
      <c r="BT32" s="186"/>
      <c r="BU32" s="186"/>
      <c r="BV32" s="182"/>
      <c r="BW32" s="182"/>
      <c r="BX32" s="182"/>
      <c r="BY32" s="182"/>
      <c r="BZ32" s="182"/>
      <c r="CA32" s="182"/>
      <c r="CB32" s="187"/>
      <c r="CC32" s="187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10"/>
      <c r="BS33" s="10"/>
      <c r="BT33" s="186"/>
      <c r="BU33" s="186"/>
      <c r="BV33" s="182"/>
      <c r="BW33" s="182"/>
      <c r="BX33" s="182"/>
      <c r="BY33" s="182"/>
      <c r="BZ33" s="182"/>
      <c r="CA33" s="182"/>
      <c r="CB33" s="187"/>
      <c r="CC33" s="187"/>
    </row>
    <row r="34" spans="28:82" x14ac:dyDescent="0.2">
      <c r="AB34" s="119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188" t="s">
        <v>87</v>
      </c>
      <c r="BS34" s="189"/>
      <c r="BT34" s="189"/>
      <c r="BU34" s="189" t="s">
        <v>88</v>
      </c>
      <c r="BV34" s="190"/>
      <c r="BW34" s="189" t="s">
        <v>89</v>
      </c>
      <c r="BX34" s="189"/>
      <c r="BY34" s="189" t="s">
        <v>90</v>
      </c>
      <c r="BZ34" s="189"/>
      <c r="CA34" s="189" t="s">
        <v>91</v>
      </c>
      <c r="CB34" s="190"/>
      <c r="CC34" s="123"/>
    </row>
    <row r="35" spans="28:82" x14ac:dyDescent="0.2">
      <c r="AB35" s="119" t="str">
        <f>IF(Param!B36&lt;&gt;"","Ac Isolator","")</f>
        <v/>
      </c>
      <c r="AG35" s="11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191" t="s">
        <v>92</v>
      </c>
      <c r="BS35" s="192"/>
      <c r="BT35" s="192"/>
      <c r="BU35" s="192" t="s">
        <v>119</v>
      </c>
      <c r="BV35" s="183"/>
      <c r="BW35" s="182">
        <f>Param!B22*Param!B21</f>
        <v>48</v>
      </c>
      <c r="BX35" s="182"/>
      <c r="BY35" s="182">
        <f>Param!B23*Param!B21</f>
        <v>0</v>
      </c>
      <c r="BZ35" s="182"/>
      <c r="CA35" s="182">
        <f>Param!B24*Param!B21</f>
        <v>48</v>
      </c>
      <c r="CB35" s="183"/>
      <c r="CC35" s="123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191" t="s">
        <v>120</v>
      </c>
      <c r="BS36" s="192"/>
      <c r="BT36" s="192"/>
      <c r="BU36" s="192" t="s">
        <v>121</v>
      </c>
      <c r="BV36" s="183"/>
      <c r="BW36" s="192">
        <v>5</v>
      </c>
      <c r="BX36" s="192"/>
      <c r="BY36" s="192"/>
      <c r="BZ36" s="192"/>
      <c r="CA36" s="192"/>
      <c r="CB36" s="183"/>
      <c r="CC36" s="123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3" t="s">
        <v>122</v>
      </c>
      <c r="BS37" s="194"/>
      <c r="BT37" s="194"/>
      <c r="BU37" s="194"/>
      <c r="BV37" s="195"/>
      <c r="BW37" s="193">
        <f>SUM(BW35:BX36)</f>
        <v>53</v>
      </c>
      <c r="BX37" s="194"/>
      <c r="BY37" s="194">
        <f t="shared" ref="BY37" si="0">SUM(BY35:BZ36)</f>
        <v>0</v>
      </c>
      <c r="BZ37" s="194"/>
      <c r="CA37" s="194">
        <f t="shared" ref="CA37" si="1">SUM(CA35:CB36)</f>
        <v>48</v>
      </c>
      <c r="CB37" s="195"/>
      <c r="CC37" s="123"/>
    </row>
    <row r="38" spans="28:82" x14ac:dyDescent="0.2">
      <c r="CC38" s="123"/>
    </row>
    <row r="40" spans="28:82" x14ac:dyDescent="0.2">
      <c r="AT40" s="196"/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28:82" x14ac:dyDescent="0.2">
      <c r="AT41" s="196"/>
      <c r="AZ41" s="100" t="s">
        <v>92</v>
      </c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28:82" x14ac:dyDescent="0.2">
      <c r="BK42" s="120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28:82" x14ac:dyDescent="0.2">
      <c r="AT43" s="100"/>
      <c r="BK43" s="119" t="str">
        <f>IF(Param!B22&lt;&gt;"", _xlfn.CONCAT(Param!B22," Panels"),"")</f>
        <v>12 Panels</v>
      </c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19" t="s">
        <v>33</v>
      </c>
    </row>
    <row r="47" spans="28:82" x14ac:dyDescent="0.2">
      <c r="BR47" s="71" t="s">
        <v>32</v>
      </c>
      <c r="BS47" s="79"/>
      <c r="BV47" s="110">
        <f>BV48</f>
        <v>18</v>
      </c>
      <c r="BW47" s="71" t="str">
        <f>_xlfn.CONCAT(, BV7, " ", BX8, "W")</f>
        <v>LG NeON 2 W</v>
      </c>
      <c r="BY47" s="79"/>
      <c r="BZ47" s="79"/>
    </row>
    <row r="48" spans="28:82" x14ac:dyDescent="0.2">
      <c r="BR48" s="71" t="s">
        <v>123</v>
      </c>
      <c r="BS48" s="79"/>
      <c r="BV48" s="109">
        <f>BW8</f>
        <v>18</v>
      </c>
      <c r="BW48" s="71" t="str">
        <f>_xlfn.CONCAT(BU35," ")</f>
        <v xml:space="preserve">IQ7+ </v>
      </c>
      <c r="BY48" s="79"/>
      <c r="BZ48" s="79"/>
    </row>
    <row r="49" spans="45:82" x14ac:dyDescent="0.2">
      <c r="BR49" s="71" t="s">
        <v>124</v>
      </c>
      <c r="BS49" s="79"/>
      <c r="BV49" s="109">
        <v>1</v>
      </c>
      <c r="BW49" s="197" t="s">
        <v>125</v>
      </c>
      <c r="BX49" s="198"/>
      <c r="BY49" s="198"/>
      <c r="BZ49" s="198"/>
      <c r="CA49" s="198"/>
      <c r="CB49" s="198"/>
      <c r="CC49" s="198"/>
      <c r="CD49" s="198"/>
    </row>
    <row r="50" spans="45:82" x14ac:dyDescent="0.2">
      <c r="BK50" s="119" t="str">
        <f>IF(Param!B23&lt;&gt;"", _xlfn.CONCAT(Param!B23," Panels"),"")</f>
        <v/>
      </c>
      <c r="BR50" s="71" t="s">
        <v>126</v>
      </c>
      <c r="BS50" s="79"/>
      <c r="BV50" s="109">
        <v>1</v>
      </c>
      <c r="BW50" s="71" t="s">
        <v>127</v>
      </c>
      <c r="BY50" s="79"/>
      <c r="BZ50" s="79"/>
    </row>
    <row r="51" spans="45:82" x14ac:dyDescent="0.2">
      <c r="BR51" s="71" t="s">
        <v>128</v>
      </c>
      <c r="BS51" s="79"/>
      <c r="BV51" s="109">
        <v>2</v>
      </c>
      <c r="BW51" s="71" t="s">
        <v>129</v>
      </c>
      <c r="BY51" s="79"/>
      <c r="BZ51" s="79"/>
    </row>
    <row r="52" spans="45:82" x14ac:dyDescent="0.2">
      <c r="BR52" s="71" t="s">
        <v>130</v>
      </c>
      <c r="BS52" s="79"/>
      <c r="BV52" s="109">
        <v>1</v>
      </c>
      <c r="BW52" s="71" t="s">
        <v>131</v>
      </c>
      <c r="BY52" s="79"/>
      <c r="BZ52" s="79"/>
    </row>
    <row r="53" spans="45:82" x14ac:dyDescent="0.2">
      <c r="AS53" s="119" t="str">
        <f>IF(Param!B22&lt;&gt;"",_xlfn.CONCAT(Param!B31,"mm 4C+E"),_xlfn.CONCAT(Param!B31,"mm 2C+E"))</f>
        <v>4mm 4C+E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45:82" x14ac:dyDescent="0.2">
      <c r="BX54" s="74"/>
    </row>
    <row r="55" spans="45:82" x14ac:dyDescent="0.2">
      <c r="AT55" s="100"/>
      <c r="BX55" s="77"/>
    </row>
    <row r="56" spans="45:82" x14ac:dyDescent="0.2">
      <c r="BK56" s="119" t="str">
        <f>IF(Param!B24&lt;&gt;"", _xlfn.CONCAT(Param!B24," Panels"),"")</f>
        <v>12 Panels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5:82" x14ac:dyDescent="0.2"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5:82" x14ac:dyDescent="0.2"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5:82" x14ac:dyDescent="0.2">
      <c r="AZ59" s="182"/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5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5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5:82" x14ac:dyDescent="0.2">
      <c r="AZ62" s="10"/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5:82" x14ac:dyDescent="0.2">
      <c r="AZ63" s="10"/>
      <c r="BA63" s="10"/>
      <c r="BD63" s="9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5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C67" s="119" t="str">
        <f>IF(Param!B38&lt;&gt;"",_xlfn.CONCAT("Note: ",Param!B38),"")</f>
        <v/>
      </c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58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SUM(BW37:CB37)</f>
        <v>101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44242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161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0"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AZ59:BB59"/>
    <mergeCell ref="BC59:BD59"/>
    <mergeCell ref="BE59:BF59"/>
    <mergeCell ref="BG59:BH59"/>
    <mergeCell ref="BI59:BJ59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AT40:AT41"/>
    <mergeCell ref="BR40:BT40"/>
    <mergeCell ref="BU40:BV40"/>
    <mergeCell ref="BW40:BX40"/>
    <mergeCell ref="BY40:BZ40"/>
    <mergeCell ref="BR37:BV37"/>
    <mergeCell ref="BW37:BX37"/>
    <mergeCell ref="BY37:BZ37"/>
    <mergeCell ref="CA37:CB37"/>
    <mergeCell ref="CA40:CB40"/>
    <mergeCell ref="BR35:BT35"/>
    <mergeCell ref="BU35:BV35"/>
    <mergeCell ref="BW35:BX35"/>
    <mergeCell ref="BY35:BZ35"/>
    <mergeCell ref="CA35:CB35"/>
    <mergeCell ref="BR36:BT36"/>
    <mergeCell ref="BU36:BV36"/>
    <mergeCell ref="BW36:BX36"/>
    <mergeCell ref="BY36:BZ36"/>
    <mergeCell ref="CA36:CB36"/>
    <mergeCell ref="BT33:BU33"/>
    <mergeCell ref="BV33:BW33"/>
    <mergeCell ref="BX33:BY33"/>
    <mergeCell ref="BZ33:CA33"/>
    <mergeCell ref="CB33:CC33"/>
    <mergeCell ref="BR34:BT34"/>
    <mergeCell ref="BU34:BV34"/>
    <mergeCell ref="BW34:BX34"/>
    <mergeCell ref="BY34:BZ34"/>
    <mergeCell ref="CA34:CB34"/>
    <mergeCell ref="BT31:BU31"/>
    <mergeCell ref="BV31:BW31"/>
    <mergeCell ref="BX31:BY31"/>
    <mergeCell ref="BZ31:CA31"/>
    <mergeCell ref="CB31:CC31"/>
    <mergeCell ref="BT32:BU32"/>
    <mergeCell ref="BV32:BW32"/>
    <mergeCell ref="BX32:BY32"/>
    <mergeCell ref="BZ32:CA32"/>
    <mergeCell ref="CB32:CC32"/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Q13" zoomScale="150" zoomScaleNormal="227" workbookViewId="0">
      <selection activeCell="AC34" sqref="AC34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0" t="str">
        <f>Param!B12</f>
        <v>LG NeON 2</v>
      </c>
      <c r="BW7" s="180"/>
      <c r="BX7" s="180"/>
      <c r="BY7" s="180"/>
      <c r="BZ7" s="181"/>
    </row>
    <row r="8" spans="4:81" x14ac:dyDescent="0.2">
      <c r="BR8" s="24" t="s">
        <v>158</v>
      </c>
      <c r="BS8" s="137"/>
      <c r="BT8" s="137"/>
      <c r="BU8" s="137"/>
      <c r="BV8" s="137"/>
      <c r="BW8" s="182">
        <f>Param!B13</f>
        <v>18</v>
      </c>
      <c r="BX8" s="182"/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213">
        <f>Param!B14*BW8/1000</f>
        <v>6.57</v>
      </c>
      <c r="BW12" s="213"/>
      <c r="BX12" s="213"/>
      <c r="BY12" s="213"/>
      <c r="BZ12" s="214"/>
      <c r="CC12" s="78"/>
    </row>
    <row r="13" spans="4:81" x14ac:dyDescent="0.2">
      <c r="Y13" s="100" t="s">
        <v>133</v>
      </c>
      <c r="AZ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28">
        <v>1</v>
      </c>
      <c r="BZ15" s="5"/>
      <c r="CC15" s="78"/>
    </row>
    <row r="16" spans="4:81" x14ac:dyDescent="0.2">
      <c r="BR16" s="24" t="s">
        <v>39</v>
      </c>
      <c r="BS16" s="18"/>
      <c r="BT16" s="18"/>
      <c r="BU16" s="18"/>
      <c r="BV16" s="18" t="s">
        <v>103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9" t="s">
        <v>104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/>
      </c>
      <c r="AU18" s="128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0">
        <f>5</f>
        <v>5</v>
      </c>
      <c r="BX18" s="180"/>
      <c r="BY18" s="138" t="s">
        <v>106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/>
      </c>
      <c r="AU19" s="128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0">
        <v>13.5</v>
      </c>
      <c r="BX19" s="180"/>
      <c r="BY19" s="140" t="s">
        <v>108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36"/>
      <c r="BU20" s="18"/>
      <c r="BV20" s="18"/>
      <c r="BW20" s="118"/>
      <c r="BX20" s="178">
        <v>32</v>
      </c>
      <c r="BY20" s="178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217">
        <v>50</v>
      </c>
      <c r="BY21" s="217"/>
      <c r="BZ21" s="117" t="s">
        <v>112</v>
      </c>
      <c r="CA21" s="172"/>
      <c r="CB21" s="172"/>
      <c r="CC21" s="172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73"/>
      <c r="CB22" s="173"/>
      <c r="CC22" s="173"/>
    </row>
    <row r="23" spans="10:81" x14ac:dyDescent="0.2">
      <c r="AA23" s="128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A24" s="128" t="s">
        <v>114</v>
      </c>
      <c r="BR24" s="24" t="s">
        <v>115</v>
      </c>
      <c r="BS24" s="18"/>
      <c r="BT24" s="18"/>
      <c r="BU24" s="18"/>
      <c r="BW24" s="178">
        <v>1</v>
      </c>
      <c r="BX24" s="178"/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78" t="str">
        <f>Param!E16</f>
        <v>SMA</v>
      </c>
      <c r="BX25" s="178"/>
      <c r="BY25" s="178"/>
      <c r="BZ25" s="179"/>
      <c r="CC25" s="17"/>
    </row>
    <row r="26" spans="10:81" x14ac:dyDescent="0.2">
      <c r="J26" s="128" t="s">
        <v>113</v>
      </c>
      <c r="BR26" s="22" t="s">
        <v>38</v>
      </c>
      <c r="BS26" s="21"/>
      <c r="BT26" s="18"/>
      <c r="BU26" s="18"/>
      <c r="BW26" s="178" t="str">
        <f>Param!E17</f>
        <v>SB4.0-1AV-40</v>
      </c>
      <c r="BX26" s="178"/>
      <c r="BY26" s="178"/>
      <c r="BZ26" s="179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235">
        <f>Param!E20</f>
        <v>4</v>
      </c>
      <c r="BX27" s="235"/>
      <c r="BY27" s="235"/>
      <c r="BZ27" s="236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F29" s="100" t="str">
        <f>IF(Param!B36&lt;&gt;"","Existing array","")</f>
        <v/>
      </c>
      <c r="BB29" s="128" t="s">
        <v>134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F30" s="128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88" t="s">
        <v>140</v>
      </c>
      <c r="BS32" s="189"/>
      <c r="BT32" s="189"/>
      <c r="BU32" s="189" t="s">
        <v>151</v>
      </c>
      <c r="BV32" s="189"/>
      <c r="BW32" s="189" t="s">
        <v>141</v>
      </c>
      <c r="BX32" s="189"/>
      <c r="BY32" s="189" t="s">
        <v>142</v>
      </c>
      <c r="BZ32" s="189"/>
      <c r="CA32" s="189" t="s">
        <v>143</v>
      </c>
      <c r="CB32" s="190"/>
      <c r="CC32" s="10"/>
    </row>
    <row r="33" spans="33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6">
        <v>1</v>
      </c>
      <c r="BV33" s="226"/>
      <c r="BW33" s="226">
        <f>Param!E21</f>
        <v>12</v>
      </c>
      <c r="BX33" s="226"/>
      <c r="BY33" s="231">
        <f>IF(Param!E16="SolarEdge",380,Param!E21*Param!B15)</f>
        <v>500.40000000000003</v>
      </c>
      <c r="BZ33" s="231"/>
      <c r="CA33" s="226">
        <f>IF(Param!E16="SolarEdge",(BW33*BX9)/BY33,Param!B16)</f>
        <v>10.88</v>
      </c>
      <c r="CB33" s="233"/>
      <c r="CC33" s="10"/>
    </row>
    <row r="34" spans="33:82" x14ac:dyDescent="0.2">
      <c r="AG34" s="128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8"/>
      <c r="BV34" s="228"/>
      <c r="BW34" s="230"/>
      <c r="BX34" s="230"/>
      <c r="BY34" s="232"/>
      <c r="BZ34" s="232"/>
      <c r="CA34" s="230"/>
      <c r="CB34" s="234"/>
      <c r="CC34" s="10"/>
    </row>
    <row r="35" spans="33:82" x14ac:dyDescent="0.2">
      <c r="AG35" s="128" t="str">
        <f>IF(Param!B36&lt;&gt;"","Ac Isolator","")</f>
        <v/>
      </c>
      <c r="AL35" s="128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19">
        <v>2</v>
      </c>
      <c r="BV35" s="219"/>
      <c r="BW35" s="219">
        <f>Param!E22</f>
        <v>0</v>
      </c>
      <c r="BX35" s="219"/>
      <c r="BY35" s="220" cm="1">
        <f t="array" ref="BY35">_xlfn.IFS(Param!E22="",0,Param!E16="SolarEdge",380,Param!E16&lt;&gt;"SolarEdge",Param!E21*Param!B15)</f>
        <v>0</v>
      </c>
      <c r="BZ35" s="220"/>
      <c r="CA35" s="221" cm="1">
        <f t="array" ref="CA35">_xlfn.IFS(Param!E22="",0,Param!E16="SolarEdge",(BW33*BX9)/BY33,Param!E16&lt;&gt;"SolarEdge",Param!B16)</f>
        <v>0</v>
      </c>
      <c r="CB35" s="222"/>
      <c r="CC35" s="10"/>
    </row>
    <row r="36" spans="33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19"/>
      <c r="BT36" s="219"/>
      <c r="BU36" s="219"/>
      <c r="BV36" s="219"/>
      <c r="BW36" s="219"/>
      <c r="BX36" s="219"/>
      <c r="BY36" s="220"/>
      <c r="BZ36" s="220"/>
      <c r="CA36" s="223"/>
      <c r="CB36" s="224"/>
      <c r="CC36" s="10"/>
    </row>
    <row r="37" spans="33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33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33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33:82" x14ac:dyDescent="0.2">
      <c r="AT40" s="196"/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33:82" x14ac:dyDescent="0.2">
      <c r="AT41" s="196"/>
      <c r="AZ41" s="100"/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33:82" x14ac:dyDescent="0.2">
      <c r="BK42" s="129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33:82" x14ac:dyDescent="0.2">
      <c r="AT43" s="100"/>
    </row>
    <row r="44" spans="33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33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33:82" x14ac:dyDescent="0.2">
      <c r="BR46" s="80" t="s">
        <v>35</v>
      </c>
      <c r="BS46" s="70"/>
      <c r="BV46" s="109" t="s">
        <v>34</v>
      </c>
      <c r="BW46" s="128" t="s">
        <v>33</v>
      </c>
    </row>
    <row r="47" spans="33:82" x14ac:dyDescent="0.2">
      <c r="BR47" s="71" t="s">
        <v>32</v>
      </c>
      <c r="BS47" s="79"/>
      <c r="BV47" s="110">
        <f>Param!B13</f>
        <v>18</v>
      </c>
      <c r="BW47" s="71" t="str">
        <f>_xlfn.CONCAT(, BV7, " ", BX9, "W")</f>
        <v>LG NeON 2 365W</v>
      </c>
      <c r="BY47" s="79"/>
      <c r="BZ47" s="79"/>
    </row>
    <row r="48" spans="33:82" x14ac:dyDescent="0.2"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128</v>
      </c>
      <c r="BS49" s="79"/>
      <c r="BT49" s="145"/>
      <c r="BU49" s="145"/>
      <c r="BV49" s="109">
        <v>2</v>
      </c>
      <c r="BW49" s="71" t="s">
        <v>129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137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/>
      </c>
      <c r="BR50" s="71" t="s">
        <v>31</v>
      </c>
      <c r="BS50" s="148"/>
      <c r="BT50" s="149"/>
      <c r="BU50" s="149"/>
      <c r="BV50" s="109"/>
      <c r="BW50" s="71" t="s">
        <v>30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139</v>
      </c>
      <c r="AM56" s="129" t="s">
        <v>152</v>
      </c>
      <c r="AP56" s="129" t="s">
        <v>152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138</v>
      </c>
      <c r="AM57" s="129" t="s">
        <v>153</v>
      </c>
      <c r="AP57" s="129" t="s">
        <v>153</v>
      </c>
      <c r="AX57" s="128">
        <f>Param!E21</f>
        <v>12</v>
      </c>
      <c r="AY57" s="128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154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155</v>
      </c>
      <c r="AZ59" s="182"/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135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BW27+BV15*BW18</f>
        <v>9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44242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165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BV6:BZ6"/>
    <mergeCell ref="BV7:BZ7"/>
    <mergeCell ref="BW8:BZ8"/>
    <mergeCell ref="BX11:BZ11"/>
    <mergeCell ref="BV12:BZ12"/>
    <mergeCell ref="BX9:BZ9"/>
    <mergeCell ref="BX10:BZ10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W27:BZ27"/>
    <mergeCell ref="BW18:BX18"/>
    <mergeCell ref="BW24:BZ24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CA41:CB41"/>
    <mergeCell ref="BU42:BV42"/>
    <mergeCell ref="BW42:BX42"/>
    <mergeCell ref="BY42:BZ42"/>
    <mergeCell ref="CA42:CB42"/>
    <mergeCell ref="AZ59:BB59"/>
    <mergeCell ref="BC59:BD59"/>
    <mergeCell ref="BE59:BF59"/>
    <mergeCell ref="BG59:BH59"/>
    <mergeCell ref="BI59:BJ59"/>
    <mergeCell ref="CB69:CD69"/>
    <mergeCell ref="AY71:BA71"/>
    <mergeCell ref="BN72:BP72"/>
    <mergeCell ref="BQ72:BS72"/>
    <mergeCell ref="BT72:BV72"/>
    <mergeCell ref="BX72:BZ72"/>
    <mergeCell ref="BW25:BZ25"/>
    <mergeCell ref="BW26:BZ26"/>
    <mergeCell ref="AY73:BA73"/>
    <mergeCell ref="BB73:BC73"/>
    <mergeCell ref="AY69:BA69"/>
    <mergeCell ref="BU41:BV41"/>
    <mergeCell ref="BW41:BX41"/>
    <mergeCell ref="BY41:BZ41"/>
    <mergeCell ref="BU35:BV36"/>
    <mergeCell ref="BW35:BX36"/>
    <mergeCell ref="BY35:BZ36"/>
    <mergeCell ref="BR32:BT32"/>
    <mergeCell ref="BU32:BV32"/>
    <mergeCell ref="BW32:BX32"/>
    <mergeCell ref="BY32:BZ32"/>
    <mergeCell ref="BR42:BT42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C1" zoomScale="75" zoomScaleNormal="227" workbookViewId="0">
      <selection activeCell="BV7" sqref="BV7:BZ7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X6" s="100" t="s">
        <v>166</v>
      </c>
      <c r="BC6" s="99" t="s">
        <v>135</v>
      </c>
      <c r="BR6" s="24" t="s">
        <v>39</v>
      </c>
      <c r="BS6" s="18"/>
      <c r="BT6" s="18"/>
      <c r="BU6" s="18"/>
      <c r="BV6" s="211" t="str">
        <f>Param!B11</f>
        <v>LG Electronics</v>
      </c>
      <c r="BW6" s="211"/>
      <c r="BX6" s="211"/>
      <c r="BY6" s="211"/>
      <c r="BZ6" s="212"/>
    </row>
    <row r="7" spans="4:81" x14ac:dyDescent="0.2">
      <c r="BR7" s="24" t="s">
        <v>38</v>
      </c>
      <c r="BS7" s="18"/>
      <c r="BT7" s="18"/>
      <c r="BU7" s="18"/>
      <c r="BV7" s="184" t="str">
        <f>Param!B12</f>
        <v>LG NeON 2</v>
      </c>
      <c r="BW7" s="184"/>
      <c r="BX7" s="184"/>
      <c r="BY7" s="184"/>
      <c r="BZ7" s="237"/>
    </row>
    <row r="8" spans="4:81" x14ac:dyDescent="0.2">
      <c r="BR8" s="24" t="s">
        <v>158</v>
      </c>
      <c r="BS8" s="151"/>
      <c r="BT8" s="151"/>
      <c r="BU8" s="151"/>
      <c r="BV8" s="151"/>
      <c r="BX8" s="182">
        <f>Param!B13</f>
        <v>18</v>
      </c>
      <c r="BY8" s="182"/>
      <c r="BZ8" s="183"/>
    </row>
    <row r="9" spans="4:81" x14ac:dyDescent="0.2">
      <c r="BR9" s="24" t="s">
        <v>43</v>
      </c>
      <c r="BS9" s="18"/>
      <c r="BT9" s="18"/>
      <c r="BU9" s="18"/>
      <c r="BV9" s="18"/>
      <c r="BW9" s="18"/>
      <c r="BX9" s="172">
        <f>Param!B14</f>
        <v>365</v>
      </c>
      <c r="BY9" s="172"/>
      <c r="BZ9" s="17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173">
        <f>Param!B15</f>
        <v>41.7</v>
      </c>
      <c r="BY10" s="173"/>
      <c r="BZ10" s="17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74">
        <f>Param!B16</f>
        <v>10.88</v>
      </c>
      <c r="BY11" s="174"/>
      <c r="BZ11" s="177"/>
      <c r="CA11" s="171"/>
      <c r="CB11" s="171"/>
      <c r="CC11" s="171"/>
    </row>
    <row r="12" spans="4:81" x14ac:dyDescent="0.2">
      <c r="BR12" s="28" t="s">
        <v>159</v>
      </c>
      <c r="BS12" s="19"/>
      <c r="BT12" s="19"/>
      <c r="BU12" s="19"/>
      <c r="BV12" s="77"/>
      <c r="BW12" s="77"/>
      <c r="BX12" s="244">
        <f>Param!B14*BX8/1000</f>
        <v>6.57</v>
      </c>
      <c r="BY12" s="244"/>
      <c r="BZ12" s="245"/>
      <c r="CC12" s="78"/>
    </row>
    <row r="13" spans="4:81" x14ac:dyDescent="0.2">
      <c r="Y13" s="100" t="s">
        <v>133</v>
      </c>
      <c r="BD13" s="100" t="s">
        <v>132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X15" s="182">
        <v>1</v>
      </c>
      <c r="BY15" s="182"/>
      <c r="BZ15" s="183"/>
      <c r="CC15" s="78"/>
    </row>
    <row r="16" spans="4:81" x14ac:dyDescent="0.2">
      <c r="BR16" s="24" t="s">
        <v>39</v>
      </c>
      <c r="BS16" s="18"/>
      <c r="BT16" s="18"/>
      <c r="BU16" s="18"/>
      <c r="BW16" s="18"/>
      <c r="BX16" s="178" t="s">
        <v>103</v>
      </c>
      <c r="BY16" s="178"/>
      <c r="BZ16" s="179"/>
      <c r="CC16" s="78"/>
    </row>
    <row r="17" spans="10:81" x14ac:dyDescent="0.2">
      <c r="BE17" s="79"/>
      <c r="BF17" s="79"/>
      <c r="BG17" s="79"/>
      <c r="BH17" s="79"/>
      <c r="BI17" s="99" t="s">
        <v>59</v>
      </c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W17" s="18"/>
      <c r="BX17" s="180" t="s">
        <v>104</v>
      </c>
      <c r="BY17" s="180"/>
      <c r="BZ17" s="181"/>
      <c r="CA17" s="78"/>
      <c r="CB17" s="78"/>
      <c r="CC17" s="78"/>
    </row>
    <row r="18" spans="10:81" ht="16" customHeight="1" x14ac:dyDescent="0.2">
      <c r="AA18" s="99" t="str">
        <f>IF(Param!B36&lt;&gt;"","Main","")</f>
        <v/>
      </c>
      <c r="BE18" s="79"/>
      <c r="BF18" s="79"/>
      <c r="BG18" s="79"/>
      <c r="BH18" s="79"/>
      <c r="BI18" s="99" t="s">
        <v>110</v>
      </c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80">
        <f>5</f>
        <v>5</v>
      </c>
      <c r="BX18" s="180"/>
      <c r="BY18" s="173" t="s">
        <v>106</v>
      </c>
      <c r="BZ18" s="176"/>
      <c r="CA18" s="18"/>
      <c r="CB18" s="18"/>
      <c r="CC18" s="18"/>
    </row>
    <row r="19" spans="10:81" ht="16" customHeight="1" x14ac:dyDescent="0.2">
      <c r="AA19" s="99" t="str">
        <f>IF(Param!B36&lt;&gt;"","Switch","")</f>
        <v/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80">
        <v>13.5</v>
      </c>
      <c r="BX19" s="180"/>
      <c r="BY19" s="174" t="s">
        <v>108</v>
      </c>
      <c r="BZ19" s="177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136</v>
      </c>
      <c r="BS20" s="10"/>
      <c r="BT20" s="152"/>
      <c r="BU20" s="18"/>
      <c r="BV20" s="18"/>
      <c r="BW20" s="118"/>
      <c r="BX20" s="178">
        <v>32</v>
      </c>
      <c r="BY20" s="178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167</v>
      </c>
      <c r="BS21" s="104"/>
      <c r="BT21" s="105"/>
      <c r="BU21" s="19"/>
      <c r="BV21" s="19"/>
      <c r="BW21" s="116"/>
      <c r="BX21" s="217">
        <v>50</v>
      </c>
      <c r="BY21" s="217"/>
      <c r="BZ21" s="117" t="s">
        <v>112</v>
      </c>
      <c r="CA21" s="172"/>
      <c r="CB21" s="172"/>
      <c r="CC21" s="172"/>
    </row>
    <row r="22" spans="10:81" x14ac:dyDescent="0.2">
      <c r="BR22" s="151"/>
      <c r="BS22" s="151"/>
      <c r="BT22" s="151"/>
      <c r="BU22" s="151"/>
      <c r="BV22" s="151"/>
      <c r="BW22" s="151"/>
      <c r="BX22" s="151"/>
      <c r="BY22" s="151"/>
      <c r="BZ22" s="151"/>
      <c r="CA22" s="173"/>
      <c r="CB22" s="173"/>
      <c r="CC22" s="173"/>
    </row>
    <row r="23" spans="10:81" x14ac:dyDescent="0.2">
      <c r="AB23" s="99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74"/>
      <c r="CB23" s="174"/>
      <c r="CC23" s="174"/>
    </row>
    <row r="24" spans="10:81" x14ac:dyDescent="0.2">
      <c r="AB24" s="99" t="s">
        <v>114</v>
      </c>
      <c r="BR24" s="24" t="s">
        <v>115</v>
      </c>
      <c r="BS24" s="18"/>
      <c r="BT24" s="18"/>
      <c r="BU24" s="18"/>
      <c r="BW24" s="18"/>
      <c r="BX24" s="178">
        <v>1</v>
      </c>
      <c r="BY24" s="178"/>
      <c r="BZ24" s="179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"/>
      <c r="BX25" s="178" t="str">
        <f>Param!E16</f>
        <v>SMA</v>
      </c>
      <c r="BY25" s="178"/>
      <c r="BZ25" s="179"/>
      <c r="CC25" s="17"/>
    </row>
    <row r="26" spans="10:81" x14ac:dyDescent="0.2">
      <c r="J26" s="99" t="s">
        <v>113</v>
      </c>
      <c r="BR26" s="22" t="s">
        <v>38</v>
      </c>
      <c r="BS26" s="21"/>
      <c r="BT26" s="18"/>
      <c r="BU26" s="18"/>
      <c r="BW26" s="178" t="str">
        <f>Param!E17</f>
        <v>SB4.0-1AV-40</v>
      </c>
      <c r="BX26" s="178"/>
      <c r="BY26" s="178"/>
      <c r="BZ26" s="179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19"/>
      <c r="BX27" s="235" t="str">
        <f>_xlfn.CONCAT(Param!E20, "kWac")</f>
        <v>4kWac</v>
      </c>
      <c r="BY27" s="235"/>
      <c r="BZ27" s="236"/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/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186"/>
      <c r="BU31" s="186"/>
      <c r="BV31" s="182"/>
      <c r="BW31" s="182"/>
      <c r="BX31" s="182"/>
      <c r="BY31" s="182"/>
      <c r="BZ31" s="182"/>
      <c r="CA31" s="182"/>
      <c r="CB31" s="187"/>
      <c r="CC31" s="187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88" t="s">
        <v>140</v>
      </c>
      <c r="BS32" s="189"/>
      <c r="BT32" s="189"/>
      <c r="BU32" s="189" t="s">
        <v>157</v>
      </c>
      <c r="BV32" s="189"/>
      <c r="BW32" s="189" t="s">
        <v>141</v>
      </c>
      <c r="BX32" s="189"/>
      <c r="BY32" s="189" t="s">
        <v>142</v>
      </c>
      <c r="BZ32" s="189"/>
      <c r="CA32" s="189" t="s">
        <v>143</v>
      </c>
      <c r="CB32" s="190"/>
      <c r="CC32" s="10"/>
    </row>
    <row r="33" spans="28:82" x14ac:dyDescent="0.2">
      <c r="BE33" s="79"/>
      <c r="BF33" s="79"/>
      <c r="BG33" s="79"/>
      <c r="BH33" s="79"/>
      <c r="BI33" s="79"/>
      <c r="BJ33" s="106" t="s">
        <v>117</v>
      </c>
      <c r="BK33" s="79"/>
      <c r="BL33" s="79"/>
      <c r="BM33" s="79"/>
      <c r="BN33" s="79"/>
      <c r="BO33" s="79"/>
      <c r="BP33" s="79"/>
      <c r="BQ33" s="79"/>
      <c r="BR33" s="225" t="s">
        <v>137</v>
      </c>
      <c r="BS33" s="226"/>
      <c r="BT33" s="226"/>
      <c r="BU33" s="225" t="s">
        <v>109</v>
      </c>
      <c r="BV33" s="233"/>
      <c r="BW33" s="226">
        <f>Param!E21</f>
        <v>12</v>
      </c>
      <c r="BX33" s="226"/>
      <c r="BY33" s="226">
        <f>IF(Param!E16="SolarEdge",380,Param!E21*Param!B15)</f>
        <v>500.40000000000003</v>
      </c>
      <c r="BZ33" s="226"/>
      <c r="CA33" s="226">
        <f>IF(Param!E16="SolarEdge",(BW33*#REF!)/BY33,Param!B16)</f>
        <v>10.88</v>
      </c>
      <c r="CB33" s="233"/>
      <c r="CC33" s="10"/>
    </row>
    <row r="34" spans="28:82" x14ac:dyDescent="0.2">
      <c r="AB34" s="99" t="str">
        <f>IF(Param!B36&lt;&gt;"","Inverter supply ","")</f>
        <v/>
      </c>
      <c r="BE34" s="79"/>
      <c r="BF34" s="79"/>
      <c r="BG34" s="79"/>
      <c r="BH34" s="79"/>
      <c r="BI34" s="79"/>
      <c r="BJ34" s="107" t="s">
        <v>118</v>
      </c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9"/>
      <c r="BV34" s="238"/>
      <c r="BW34" s="219">
        <f>Param!E22</f>
        <v>0</v>
      </c>
      <c r="BX34" s="219"/>
      <c r="BY34" s="219">
        <f>IF(Param!E16="SolarEdge",380,Param!E22*Param!B15)</f>
        <v>0</v>
      </c>
      <c r="BZ34" s="219"/>
      <c r="CA34" s="219">
        <f>IF(Param!E16="SolarEdge",(BW34*#REF!)/BY34,Param!B16)</f>
        <v>10.88</v>
      </c>
      <c r="CB34" s="238"/>
      <c r="CC34" s="10"/>
    </row>
    <row r="35" spans="28:82" x14ac:dyDescent="0.2">
      <c r="AB35" s="99" t="str">
        <f>IF(Param!B36&lt;&gt;"","Ac Isolator","")</f>
        <v/>
      </c>
      <c r="AG35" s="9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39" t="s">
        <v>156</v>
      </c>
      <c r="BV35" s="240"/>
      <c r="BW35" s="241">
        <f>Param!E23</f>
        <v>12</v>
      </c>
      <c r="BX35" s="241"/>
      <c r="BY35" s="241">
        <f>IF(Param!E16="SolarEdge",380,Param!E23*Param!B15)</f>
        <v>500.40000000000003</v>
      </c>
      <c r="BZ35" s="241"/>
      <c r="CA35" s="242">
        <f>IF(Param!E16="SolarEdge",(BW33*#REF!)/BY33,Param!B16)</f>
        <v>10.88</v>
      </c>
      <c r="CB35" s="243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19"/>
      <c r="BT36" s="219"/>
      <c r="BU36" s="229"/>
      <c r="BV36" s="238"/>
      <c r="BW36" s="219"/>
      <c r="BX36" s="219"/>
      <c r="BY36" s="219"/>
      <c r="BZ36" s="219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196"/>
      <c r="BF40" s="99" t="s">
        <v>134</v>
      </c>
      <c r="BR40" s="182"/>
      <c r="BS40" s="182"/>
      <c r="BT40" s="182"/>
      <c r="BU40" s="182"/>
      <c r="BV40" s="182"/>
      <c r="BW40" s="182"/>
      <c r="BX40" s="182"/>
      <c r="BY40" s="182"/>
      <c r="BZ40" s="182"/>
      <c r="CA40" s="182"/>
      <c r="CB40" s="182"/>
    </row>
    <row r="41" spans="28:82" x14ac:dyDescent="0.2">
      <c r="AT41" s="196"/>
      <c r="AZ41" s="100"/>
      <c r="BR41" s="182"/>
      <c r="BS41" s="182"/>
      <c r="BT41" s="182"/>
      <c r="BU41" s="182"/>
      <c r="BV41" s="182"/>
      <c r="BW41" s="182"/>
      <c r="BX41" s="182"/>
      <c r="BY41" s="182"/>
      <c r="BZ41" s="182"/>
      <c r="CA41" s="182"/>
      <c r="CB41" s="182"/>
    </row>
    <row r="42" spans="28:82" x14ac:dyDescent="0.2">
      <c r="BK42" s="114"/>
      <c r="BR42" s="182"/>
      <c r="BS42" s="182"/>
      <c r="BT42" s="182"/>
      <c r="BU42" s="182"/>
      <c r="BV42" s="182"/>
      <c r="BW42" s="182"/>
      <c r="BX42" s="182"/>
      <c r="BY42" s="182"/>
      <c r="BZ42" s="182"/>
      <c r="CA42" s="182"/>
      <c r="CB42" s="182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137</v>
      </c>
      <c r="BR46" s="80" t="s">
        <v>35</v>
      </c>
      <c r="BS46" s="70"/>
      <c r="BV46" s="109" t="s">
        <v>34</v>
      </c>
      <c r="BW46" s="99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",BX9, "W")</f>
        <v>LG NeON 2 365W</v>
      </c>
      <c r="BY47" s="79"/>
      <c r="BZ47" s="79"/>
    </row>
    <row r="48" spans="28:82" x14ac:dyDescent="0.2">
      <c r="AL48" s="99" t="s">
        <v>109</v>
      </c>
      <c r="BR48" s="71" t="s">
        <v>123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168</v>
      </c>
      <c r="BS49" s="79"/>
      <c r="BV49" s="109">
        <v>1</v>
      </c>
      <c r="BW49" s="197" t="s">
        <v>169</v>
      </c>
      <c r="BX49" s="198"/>
      <c r="BY49" s="198"/>
      <c r="BZ49" s="198"/>
      <c r="CA49" s="198"/>
      <c r="CB49" s="198"/>
      <c r="CC49" s="198"/>
      <c r="CD49" s="198"/>
    </row>
    <row r="50" spans="27:82" x14ac:dyDescent="0.2">
      <c r="AY50" s="125"/>
      <c r="BK50" s="113" t="str">
        <f>IF(Param!B23&lt;&gt;"", _xlfn.CONCAT(Param!B23," Panels"),"")</f>
        <v/>
      </c>
      <c r="BR50" s="71" t="s">
        <v>170</v>
      </c>
      <c r="BS50" s="79"/>
      <c r="BV50" s="109">
        <v>1</v>
      </c>
      <c r="BW50" s="71" t="s">
        <v>171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152</v>
      </c>
      <c r="AP51" s="135" t="s">
        <v>152</v>
      </c>
      <c r="AW51" s="128">
        <f>Param!E21</f>
        <v>12</v>
      </c>
      <c r="AX51" s="128" t="s">
        <v>150</v>
      </c>
      <c r="BR51" s="71" t="s">
        <v>128</v>
      </c>
      <c r="BS51" s="79"/>
      <c r="BV51" s="109">
        <v>3</v>
      </c>
      <c r="BW51" s="71" t="s">
        <v>172</v>
      </c>
      <c r="BY51" s="79"/>
      <c r="BZ51" s="79"/>
    </row>
    <row r="52" spans="27:82" x14ac:dyDescent="0.2">
      <c r="AM52" s="135" t="s">
        <v>153</v>
      </c>
      <c r="AP52" s="135" t="s">
        <v>153</v>
      </c>
      <c r="BR52" s="71" t="s">
        <v>173</v>
      </c>
      <c r="BS52" s="79"/>
      <c r="BV52" s="109">
        <v>4</v>
      </c>
      <c r="BW52" s="71" t="s">
        <v>174</v>
      </c>
      <c r="BY52" s="79"/>
      <c r="BZ52" s="79"/>
    </row>
    <row r="53" spans="27:82" x14ac:dyDescent="0.2">
      <c r="AC53" s="10" t="s">
        <v>139</v>
      </c>
      <c r="AL53" s="99" t="s">
        <v>156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138</v>
      </c>
      <c r="BX54" s="74"/>
    </row>
    <row r="55" spans="27:82" x14ac:dyDescent="0.2">
      <c r="AT55" s="100"/>
      <c r="BX55" s="77"/>
    </row>
    <row r="56" spans="27:82" x14ac:dyDescent="0.2">
      <c r="AM56" s="127" t="s">
        <v>152</v>
      </c>
      <c r="AP56" s="127" t="s">
        <v>152</v>
      </c>
      <c r="BK56" s="113"/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154</v>
      </c>
      <c r="AM57" s="127" t="s">
        <v>153</v>
      </c>
      <c r="AP57" s="127" t="s">
        <v>153</v>
      </c>
      <c r="AW57" s="99">
        <f>Param!E23</f>
        <v>12</v>
      </c>
      <c r="AX57" s="99" t="s">
        <v>150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155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82"/>
      <c r="BD59" s="182"/>
      <c r="BE59" s="182"/>
      <c r="BF59" s="182"/>
      <c r="BG59" s="182"/>
      <c r="BH59" s="182"/>
      <c r="BI59" s="182"/>
      <c r="BJ59" s="182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9" t="s">
        <v>14</v>
      </c>
      <c r="AZ69" s="199"/>
      <c r="BA69" s="200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203">
        <f>Param!E20+BX15*BW18</f>
        <v>9</v>
      </c>
      <c r="CC69" s="203"/>
      <c r="CD69" s="203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9" t="s">
        <v>11</v>
      </c>
      <c r="AZ71" s="199"/>
      <c r="BA71" s="200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3" t="s">
        <v>61</v>
      </c>
      <c r="BO72" s="194"/>
      <c r="BP72" s="195"/>
      <c r="BQ72" s="193" t="s">
        <v>4</v>
      </c>
      <c r="BR72" s="194"/>
      <c r="BS72" s="195"/>
      <c r="BT72" s="193" t="s">
        <v>4</v>
      </c>
      <c r="BU72" s="194"/>
      <c r="BV72" s="194"/>
      <c r="BW72" s="1"/>
      <c r="BX72" s="204">
        <f ca="1">TODAY()</f>
        <v>44242</v>
      </c>
      <c r="BY72" s="205"/>
      <c r="BZ72" s="206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9" t="s">
        <v>2</v>
      </c>
      <c r="AZ73" s="199"/>
      <c r="BA73" s="200"/>
      <c r="BB73" s="201">
        <f>Param!B2</f>
        <v>26181</v>
      </c>
      <c r="BC73" s="202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164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76">
    <mergeCell ref="CA11:CC11"/>
    <mergeCell ref="CA22:CC22"/>
    <mergeCell ref="CA23:CC23"/>
    <mergeCell ref="BX25:BZ25"/>
    <mergeCell ref="CA21:CC21"/>
    <mergeCell ref="BX12:BZ12"/>
    <mergeCell ref="BX17:BZ17"/>
    <mergeCell ref="BX16:BZ16"/>
    <mergeCell ref="BX15:BZ15"/>
    <mergeCell ref="BT31:BU31"/>
    <mergeCell ref="BR32:BT32"/>
    <mergeCell ref="BU32:BV32"/>
    <mergeCell ref="BW32:BX32"/>
    <mergeCell ref="BY32:BZ32"/>
    <mergeCell ref="BX27:BZ27"/>
    <mergeCell ref="CA35:CB36"/>
    <mergeCell ref="BW33:BX33"/>
    <mergeCell ref="BW34:BX34"/>
    <mergeCell ref="BY33:BZ33"/>
    <mergeCell ref="BY34:BZ34"/>
    <mergeCell ref="CA33:CB33"/>
    <mergeCell ref="CA34:CB34"/>
    <mergeCell ref="CB31:CC31"/>
    <mergeCell ref="BZ31:CA31"/>
    <mergeCell ref="BX31:BY31"/>
    <mergeCell ref="BV31:BW31"/>
    <mergeCell ref="CA32:CB32"/>
    <mergeCell ref="BR33:BT36"/>
    <mergeCell ref="BU33:BV34"/>
    <mergeCell ref="BU35:BV36"/>
    <mergeCell ref="BW35:BX36"/>
    <mergeCell ref="BY35:BZ36"/>
    <mergeCell ref="CA40:CB40"/>
    <mergeCell ref="BR41:BT41"/>
    <mergeCell ref="BU41:BV41"/>
    <mergeCell ref="BW41:BX41"/>
    <mergeCell ref="BY41:BZ41"/>
    <mergeCell ref="CA41:CB41"/>
    <mergeCell ref="AT40:AT41"/>
    <mergeCell ref="BR40:BT40"/>
    <mergeCell ref="BU40:BV40"/>
    <mergeCell ref="BW40:BX40"/>
    <mergeCell ref="BY40:BZ40"/>
    <mergeCell ref="BR42:BT42"/>
    <mergeCell ref="BU42:BV42"/>
    <mergeCell ref="BW42:BX42"/>
    <mergeCell ref="BY42:BZ42"/>
    <mergeCell ref="CA42:CB42"/>
    <mergeCell ref="BW49:CD4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6:BZ6"/>
    <mergeCell ref="BV7:BZ7"/>
    <mergeCell ref="BX11:BZ11"/>
    <mergeCell ref="BW26:BZ26"/>
    <mergeCell ref="BX24:BZ24"/>
    <mergeCell ref="BY18:BZ18"/>
    <mergeCell ref="BY19:BZ19"/>
    <mergeCell ref="BW18:BX18"/>
    <mergeCell ref="BW19:BX19"/>
    <mergeCell ref="BX20:BY20"/>
    <mergeCell ref="BX21:BY21"/>
    <mergeCell ref="BX8:BZ8"/>
    <mergeCell ref="BX9:BZ9"/>
    <mergeCell ref="BX10:BZ10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2021-02-15T07:13:46Z</dcterms:modified>
</cp:coreProperties>
</file>