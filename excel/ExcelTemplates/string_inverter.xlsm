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8CB0CB43-BB39-3F43-B795-FA46DFDF0A89}" xr6:coauthVersionLast="46" xr6:coauthVersionMax="46" xr10:uidLastSave="{00000000-0000-0000-0000-000000000000}"/>
  <bookViews>
    <workbookView xWindow="1060" yWindow="460" windowWidth="28920" windowHeight="17340" activeTab="3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Y26" i="14" l="1"/>
  <c r="CA26" i="14"/>
  <c r="BY27" i="2"/>
  <c r="BY26" i="2"/>
  <c r="BY28" i="2"/>
  <c r="CA28" i="2"/>
  <c r="CA26" i="2"/>
  <c r="BW48" i="14"/>
  <c r="BN69" i="14"/>
  <c r="BW4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G35" i="1"/>
  <c r="BZ38" i="14"/>
  <c r="E35" i="1"/>
  <c r="BV38" i="14"/>
  <c r="C35" i="1"/>
  <c r="BR38" i="14"/>
  <c r="BZ38" i="2"/>
  <c r="BV38" i="2"/>
  <c r="BR38" i="2"/>
  <c r="G34" i="1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4" i="14"/>
  <c r="BW9" i="14"/>
  <c r="BY25" i="14"/>
  <c r="CA24" i="14"/>
  <c r="CA25" i="14"/>
  <c r="BW10" i="14"/>
  <c r="BW11" i="14"/>
  <c r="CA27" i="14"/>
  <c r="BY27" i="14"/>
  <c r="BV19" i="14"/>
  <c r="BV18" i="14"/>
  <c r="BV17" i="14"/>
  <c r="BW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V47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<sst xmlns="http://schemas.openxmlformats.org/spreadsheetml/2006/main" count="271" uniqueCount="153">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</sst>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166" fontId="0" fillId="2" borderId="0" xfId="0" quotePrefix="1" applyNumberFormat="1" applyFill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08144" y="6002700"/>
          <a:ext cx="264689" cy="646116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2986454" y="479334"/>
          <a:ext cx="589715" cy="383992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02858" y="479334"/>
          <a:ext cx="594250" cy="383992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156389" y="7529892"/>
          <a:ext cx="976725" cy="1620157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572244" y="7989377"/>
          <a:ext cx="505004" cy="846410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0872562" y="7926691"/>
          <a:ext cx="3876113" cy="1271710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325507" y="7981569"/>
          <a:ext cx="999840" cy="566349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226524" y="6145943"/>
          <a:ext cx="2522084" cy="244370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26</xdr:row>
      <xdr:rowOff>163583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5446783"/>
          <a:ext cx="4799769" cy="410926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101094" y="9570973"/>
          <a:ext cx="498928" cy="401171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1998273" y="510782"/>
          <a:ext cx="594251" cy="383992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1974850" y="3622221"/>
          <a:ext cx="2576476" cy="217844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145972" y="7280417"/>
          <a:ext cx="246060" cy="284272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145972" y="4760554"/>
          <a:ext cx="246060" cy="288363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152297" y="6054644"/>
          <a:ext cx="264688" cy="659971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084689" y="3497429"/>
          <a:ext cx="5126012" cy="4334844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66383" y="5273261"/>
          <a:ext cx="3878385" cy="7485641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076096" y="5526183"/>
          <a:ext cx="246059" cy="288363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8946868" y="739063"/>
          <a:ext cx="6650653" cy="1710223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4412" y="14140329"/>
          <a:ext cx="9800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0"/>
  <sheetViews>
    <sheetView topLeftCell="A11" zoomScale="99" workbookViewId="0">
      <selection activeCell="E33" sqref="E33"/>
    </sheetView>
  </sheetViews>
  <sheetFormatPr baseColWidth="10" defaultRowHeight="16" x14ac:dyDescent="0.2"/>
  <cols>
    <col min="1" max="1" width="22.1640625" style="123" customWidth="1"/>
    <col min="2" max="2" width="37.1640625" style="53" customWidth="1"/>
    <col min="3" max="3" width="19.1640625" style="146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3" customWidth="1"/>
  </cols>
  <sheetData>
    <row r="1" spans="1:8" x14ac:dyDescent="0.2">
      <c r="A1" s="152" t="s">
        <v>102</v>
      </c>
      <c r="B1" s="152"/>
      <c r="C1" s="152" t="s">
        <v>139</v>
      </c>
      <c r="D1" s="152"/>
    </row>
    <row r="2" spans="1:8" x14ac:dyDescent="0.2">
      <c r="A2" s="89" t="s">
        <v>103</v>
      </c>
      <c r="B2" s="89">
        <v>26181</v>
      </c>
      <c r="C2" s="148" t="s">
        <v>147</v>
      </c>
      <c r="D2" s="89"/>
    </row>
    <row r="3" spans="1:8" ht="17" x14ac:dyDescent="0.2">
      <c r="A3" s="90" t="s">
        <v>105</v>
      </c>
      <c r="B3" s="89" t="s">
        <v>101</v>
      </c>
      <c r="C3" s="147" t="s">
        <v>140</v>
      </c>
      <c r="D3" s="143"/>
    </row>
    <row r="4" spans="1:8" ht="24" customHeight="1" x14ac:dyDescent="0.2">
      <c r="A4" s="89" t="s">
        <v>104</v>
      </c>
      <c r="B4" s="89" t="s">
        <v>115</v>
      </c>
      <c r="C4" s="147" t="s">
        <v>141</v>
      </c>
      <c r="D4" s="143"/>
    </row>
    <row r="5" spans="1:8" x14ac:dyDescent="0.2">
      <c r="A5" s="89" t="s">
        <v>71</v>
      </c>
      <c r="B5" s="89">
        <v>1</v>
      </c>
      <c r="C5" s="147" t="s">
        <v>142</v>
      </c>
      <c r="D5" s="143"/>
    </row>
    <row r="6" spans="1:8" x14ac:dyDescent="0.2">
      <c r="A6" s="140"/>
      <c r="B6" s="140"/>
      <c r="C6" s="147" t="s">
        <v>143</v>
      </c>
      <c r="D6" s="143"/>
    </row>
    <row r="7" spans="1:8" x14ac:dyDescent="0.2">
      <c r="A7" s="140"/>
      <c r="B7" s="140"/>
      <c r="C7" s="147" t="s">
        <v>144</v>
      </c>
      <c r="D7" s="143"/>
    </row>
    <row r="8" spans="1:8" x14ac:dyDescent="0.2">
      <c r="A8" s="140"/>
      <c r="B8" s="140"/>
      <c r="C8" s="147" t="s">
        <v>145</v>
      </c>
      <c r="D8" s="143"/>
    </row>
    <row r="9" spans="1:8" x14ac:dyDescent="0.2">
      <c r="C9" s="147" t="s">
        <v>146</v>
      </c>
      <c r="D9" s="143"/>
    </row>
    <row r="10" spans="1:8" x14ac:dyDescent="0.2">
      <c r="A10" s="153" t="s">
        <v>111</v>
      </c>
      <c r="B10" s="154"/>
      <c r="C10" s="148" t="s">
        <v>148</v>
      </c>
      <c r="D10" s="89"/>
      <c r="E10" s="124"/>
      <c r="F10" s="126"/>
    </row>
    <row r="11" spans="1:8" x14ac:dyDescent="0.2">
      <c r="A11" s="125" t="s">
        <v>106</v>
      </c>
      <c r="B11" s="92" t="s">
        <v>80</v>
      </c>
      <c r="C11" s="144"/>
      <c r="D11" s="122"/>
      <c r="E11" s="124"/>
      <c r="F11" s="126"/>
      <c r="G11" s="126"/>
      <c r="H11" s="126"/>
    </row>
    <row r="12" spans="1:8" x14ac:dyDescent="0.2">
      <c r="A12" s="125" t="s">
        <v>107</v>
      </c>
      <c r="B12" s="92" t="s">
        <v>100</v>
      </c>
      <c r="C12" s="144"/>
      <c r="D12" s="122"/>
      <c r="E12" s="124"/>
      <c r="F12" s="126"/>
      <c r="G12" s="126"/>
      <c r="H12" s="126"/>
    </row>
    <row r="13" spans="1:8" x14ac:dyDescent="0.2">
      <c r="A13" s="125" t="s">
        <v>108</v>
      </c>
      <c r="B13" s="92">
        <v>18</v>
      </c>
      <c r="C13" s="144"/>
      <c r="D13" s="127"/>
      <c r="E13" s="127"/>
      <c r="F13" s="120"/>
      <c r="G13" s="120"/>
      <c r="H13" s="122"/>
    </row>
    <row r="14" spans="1:8" x14ac:dyDescent="0.2">
      <c r="A14" s="89" t="s">
        <v>112</v>
      </c>
      <c r="B14" s="92">
        <v>365</v>
      </c>
    </row>
    <row r="15" spans="1:8" x14ac:dyDescent="0.2">
      <c r="A15" s="89" t="s">
        <v>113</v>
      </c>
      <c r="B15" s="91">
        <v>41.7</v>
      </c>
    </row>
    <row r="16" spans="1:8" x14ac:dyDescent="0.2">
      <c r="A16" s="89" t="s">
        <v>114</v>
      </c>
      <c r="B16" s="91">
        <v>10.88</v>
      </c>
      <c r="C16" s="145"/>
      <c r="D16" s="128"/>
      <c r="E16" s="128"/>
      <c r="F16" s="128"/>
    </row>
    <row r="17" spans="1:6" x14ac:dyDescent="0.2">
      <c r="B17" s="128"/>
      <c r="C17" s="145"/>
      <c r="D17" s="128"/>
      <c r="E17" s="128"/>
      <c r="F17" s="128"/>
    </row>
    <row r="18" spans="1:6" x14ac:dyDescent="0.2">
      <c r="A18" s="152" t="s">
        <v>116</v>
      </c>
      <c r="B18" s="152"/>
      <c r="E18" s="128"/>
      <c r="F18" s="128"/>
    </row>
    <row r="19" spans="1:6" x14ac:dyDescent="0.2">
      <c r="A19" s="89" t="s">
        <v>109</v>
      </c>
      <c r="B19" s="89" t="s">
        <v>119</v>
      </c>
      <c r="E19" s="128"/>
      <c r="F19" s="128"/>
    </row>
    <row r="20" spans="1:6" ht="16" customHeight="1" x14ac:dyDescent="0.2">
      <c r="A20" s="89" t="s">
        <v>110</v>
      </c>
      <c r="B20" s="89" t="s">
        <v>120</v>
      </c>
      <c r="E20" s="128"/>
      <c r="F20" s="128"/>
    </row>
    <row r="21" spans="1:6" ht="16" customHeight="1" x14ac:dyDescent="0.2">
      <c r="A21" s="89" t="s">
        <v>117</v>
      </c>
      <c r="B21" s="89">
        <v>1</v>
      </c>
      <c r="E21" s="128"/>
      <c r="F21" s="128"/>
    </row>
    <row r="22" spans="1:6" x14ac:dyDescent="0.2">
      <c r="A22" s="89" t="s">
        <v>118</v>
      </c>
      <c r="B22" s="89">
        <v>22</v>
      </c>
      <c r="E22" s="128"/>
      <c r="F22" s="128"/>
    </row>
    <row r="23" spans="1:6" x14ac:dyDescent="0.2">
      <c r="A23" s="89" t="s">
        <v>60</v>
      </c>
      <c r="B23" s="89">
        <v>4.2</v>
      </c>
      <c r="E23" s="128"/>
      <c r="F23" s="128"/>
    </row>
    <row r="24" spans="1:6" x14ac:dyDescent="0.2">
      <c r="A24" s="89" t="s">
        <v>121</v>
      </c>
      <c r="B24" s="89">
        <v>12</v>
      </c>
      <c r="E24" s="128"/>
      <c r="F24" s="128"/>
    </row>
    <row r="25" spans="1:6" x14ac:dyDescent="0.2">
      <c r="A25" s="89" t="s">
        <v>122</v>
      </c>
      <c r="B25" s="89"/>
      <c r="E25" s="128"/>
      <c r="F25" s="128"/>
    </row>
    <row r="26" spans="1:6" x14ac:dyDescent="0.2">
      <c r="A26" s="89" t="s">
        <v>123</v>
      </c>
      <c r="B26" s="89">
        <v>12</v>
      </c>
    </row>
    <row r="27" spans="1:6" x14ac:dyDescent="0.2">
      <c r="A27" s="129" t="s">
        <v>124</v>
      </c>
      <c r="B27" s="129"/>
    </row>
    <row r="28" spans="1:6" x14ac:dyDescent="0.2">
      <c r="A28" s="89" t="s">
        <v>130</v>
      </c>
      <c r="B28" s="89"/>
    </row>
    <row r="29" spans="1:6" x14ac:dyDescent="0.2">
      <c r="A29" s="155" t="s">
        <v>125</v>
      </c>
      <c r="B29" s="155"/>
    </row>
    <row r="30" spans="1:6" x14ac:dyDescent="0.2">
      <c r="A30" s="89" t="s">
        <v>126</v>
      </c>
      <c r="B30" s="89"/>
    </row>
    <row r="31" spans="1:6" x14ac:dyDescent="0.2">
      <c r="A31" s="89" t="s">
        <v>127</v>
      </c>
      <c r="B31" s="89"/>
    </row>
    <row r="32" spans="1:6" x14ac:dyDescent="0.2">
      <c r="A32" s="89" t="s">
        <v>128</v>
      </c>
      <c r="B32" s="89"/>
    </row>
    <row r="33" spans="1:2" x14ac:dyDescent="0.2">
      <c r="A33" s="89" t="s">
        <v>129</v>
      </c>
      <c r="B33" s="89"/>
    </row>
    <row r="34" spans="1:2" x14ac:dyDescent="0.2">
      <c r="A34" s="89" t="s">
        <v>138</v>
      </c>
      <c r="B34" s="89"/>
    </row>
    <row r="35" spans="1:2" x14ac:dyDescent="0.2">
      <c r="A35" s="89" t="s">
        <v>149</v>
      </c>
      <c r="B35" s="89"/>
    </row>
    <row r="36" spans="1:2" x14ac:dyDescent="0.2">
      <c r="A36" s="89" t="s">
        <v>150</v>
      </c>
      <c r="B36" s="89"/>
    </row>
    <row r="37" spans="1:2" x14ac:dyDescent="0.2">
      <c r="A37" s="89" t="s">
        <v>151</v>
      </c>
      <c r="B37" s="89"/>
    </row>
    <row r="38" spans="1:2" x14ac:dyDescent="0.2">
      <c r="A38" s="151" t="s">
        <v>131</v>
      </c>
      <c r="B38" s="151"/>
    </row>
    <row r="39" spans="1:2" x14ac:dyDescent="0.2">
      <c r="A39" s="89" t="s">
        <v>132</v>
      </c>
      <c r="B39" s="89"/>
    </row>
    <row r="40" spans="1:2" x14ac:dyDescent="0.2">
      <c r="A40" s="89" t="s">
        <v>137</v>
      </c>
      <c r="B40" s="89"/>
    </row>
  </sheetData>
  <mergeCells count="6">
    <mergeCell ref="A38:B38"/>
    <mergeCell ref="C1:D1"/>
    <mergeCell ref="A1:B1"/>
    <mergeCell ref="A10:B10"/>
    <mergeCell ref="A18:B18"/>
    <mergeCell ref="A29:B29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F32" sqref="F32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Miller, Ian </v>
      </c>
      <c r="D30" s="54" t="s">
        <v>70</v>
      </c>
      <c r="E30" s="156" t="str">
        <f>Param!B4</f>
        <v>154 Princeton Ave  Adamstown Heights</v>
      </c>
      <c r="F30" s="157"/>
      <c r="G30" s="158"/>
    </row>
    <row r="31" spans="2:7" ht="17" thickBot="1" x14ac:dyDescent="0.25">
      <c r="B31" s="159">
        <f>Param!B35</f>
        <v>0</v>
      </c>
      <c r="C31" s="160"/>
      <c r="D31" s="159">
        <f>Param!B36</f>
        <v>0</v>
      </c>
      <c r="E31" s="160"/>
      <c r="F31" s="161">
        <f>Param!B37</f>
        <v>0</v>
      </c>
      <c r="G31" s="162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Param!B33</f>
        <v>0</v>
      </c>
    </row>
    <row r="35" spans="2:7" x14ac:dyDescent="0.2">
      <c r="B35" s="67" t="s">
        <v>75</v>
      </c>
      <c r="C35" s="68">
        <f>Param!B30</f>
        <v>0</v>
      </c>
      <c r="D35" s="67" t="s">
        <v>75</v>
      </c>
      <c r="E35" s="69">
        <f>Param!B31</f>
        <v>0</v>
      </c>
      <c r="F35" s="67" t="s">
        <v>75</v>
      </c>
      <c r="G35" s="69">
        <f>Param!B32</f>
        <v>0</v>
      </c>
    </row>
    <row r="36" spans="2:7" x14ac:dyDescent="0.2">
      <c r="B36" s="67" t="s">
        <v>76</v>
      </c>
      <c r="C36" s="70">
        <f>Param!B22</f>
        <v>22</v>
      </c>
      <c r="D36" s="67" t="s">
        <v>76</v>
      </c>
      <c r="E36" s="71">
        <f>Param!B22</f>
        <v>22</v>
      </c>
      <c r="F36" s="67" t="s">
        <v>76</v>
      </c>
      <c r="G36" s="71">
        <f>Param!B22</f>
        <v>22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0</v>
      </c>
    </row>
    <row r="38" spans="2:7" ht="17" thickBot="1" x14ac:dyDescent="0.25">
      <c r="B38" s="76" t="s">
        <v>78</v>
      </c>
      <c r="C38" s="77" cm="1">
        <f t="array" ref="C38">VoltageDrop(C36,C34,C35,C32)/100</f>
        <v>0</v>
      </c>
      <c r="D38" s="78" t="s">
        <v>78</v>
      </c>
      <c r="E38" s="77" cm="1">
        <f t="array" ref="E38">VoltageDrop(E36,E34,E35,E32)/100</f>
        <v>0</v>
      </c>
      <c r="F38" s="78" t="s">
        <v>78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79</v>
      </c>
      <c r="C39" s="79">
        <f>C38*IF(C32=1,230,400)</f>
        <v>0</v>
      </c>
      <c r="D39" s="76" t="s">
        <v>79</v>
      </c>
      <c r="E39" s="79">
        <f>E38*IF(E32=1,230,400)</f>
        <v>0</v>
      </c>
      <c r="F39" s="76" t="s">
        <v>79</v>
      </c>
      <c r="G39" s="83" t="e">
        <f>G38*IF(G32=1,230,400)</f>
        <v>#VALUE!</v>
      </c>
    </row>
    <row r="40" spans="2:7" x14ac:dyDescent="0.2">
      <c r="B40" s="163" t="s">
        <v>29</v>
      </c>
      <c r="C40" s="141" t="str">
        <f>_xlfn.CONCAT(Param!B34)</f>
        <v/>
      </c>
      <c r="D40" s="80"/>
      <c r="E40" s="80"/>
      <c r="F40" s="165" t="e">
        <f>C38+G38+E38</f>
        <v>#VALUE!</v>
      </c>
      <c r="G40" s="167" t="e">
        <f>G39+E39+C39</f>
        <v>#VALUE!</v>
      </c>
    </row>
    <row r="41" spans="2:7" ht="17" thickBot="1" x14ac:dyDescent="0.25">
      <c r="B41" s="164"/>
      <c r="C41" s="81"/>
      <c r="D41" s="82"/>
      <c r="E41" s="82"/>
      <c r="F41" s="166"/>
      <c r="G41" s="168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AE1" zoomScale="112" zoomScaleNormal="85" workbookViewId="0">
      <selection activeCell="BY27" sqref="BY27:BZ27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9" t="s">
        <v>96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177" t="str">
        <f>Param!B11</f>
        <v>LG Electronics</v>
      </c>
      <c r="BX6" s="177"/>
      <c r="BY6" s="177"/>
      <c r="BZ6" s="17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179" t="str">
        <f>Param!B12</f>
        <v>LG NeON 2</v>
      </c>
      <c r="BX7" s="179"/>
      <c r="BY7" s="179"/>
      <c r="BZ7" s="180"/>
    </row>
    <row r="8" spans="4:81" x14ac:dyDescent="0.2">
      <c r="BL8" s="50"/>
      <c r="BM8" s="50"/>
      <c r="BN8" s="50"/>
      <c r="BR8" s="44" t="s">
        <v>133</v>
      </c>
      <c r="BS8" s="138"/>
      <c r="BT8" s="138"/>
      <c r="BU8" s="138"/>
      <c r="BV8" s="138"/>
      <c r="BW8" s="184">
        <f>Param!B13</f>
        <v>18</v>
      </c>
      <c r="BX8" s="184"/>
      <c r="BY8" s="184"/>
      <c r="BZ8" s="18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169">
        <f>Param!B14</f>
        <v>365</v>
      </c>
      <c r="BX9" s="169"/>
      <c r="BY9" s="169"/>
      <c r="BZ9" s="170"/>
    </row>
    <row r="10" spans="4:81" x14ac:dyDescent="0.2">
      <c r="BR10" s="44" t="s">
        <v>66</v>
      </c>
      <c r="BS10" s="38"/>
      <c r="BT10" s="38"/>
      <c r="BU10" s="38"/>
      <c r="BV10" s="38"/>
      <c r="BW10" s="171">
        <f>Param!B15</f>
        <v>41.7</v>
      </c>
      <c r="BX10" s="171"/>
      <c r="BY10" s="171"/>
      <c r="BZ10" s="172"/>
    </row>
    <row r="11" spans="4:81" x14ac:dyDescent="0.2">
      <c r="BR11" s="44" t="s">
        <v>65</v>
      </c>
      <c r="BS11" s="139"/>
      <c r="BT11" s="139"/>
      <c r="BU11" s="139"/>
      <c r="BV11" s="139"/>
      <c r="BW11" s="173">
        <f>Param!B16</f>
        <v>10.88</v>
      </c>
      <c r="BX11" s="173"/>
      <c r="BY11" s="173"/>
      <c r="BZ11" s="174"/>
      <c r="CA11" s="186"/>
      <c r="CB11" s="186"/>
      <c r="CC11" s="186"/>
    </row>
    <row r="12" spans="4:81" x14ac:dyDescent="0.2">
      <c r="AM12" s="97" t="str">
        <f>IF(Param!D10&lt;&gt;"",_xlfn.CONCAT("Note: ",Param!D10),"")</f>
        <v/>
      </c>
      <c r="BR12" s="48" t="s">
        <v>134</v>
      </c>
      <c r="BS12" s="40"/>
      <c r="BT12" s="40"/>
      <c r="BU12" s="40"/>
      <c r="BV12" s="107"/>
      <c r="BW12" s="175">
        <f>BW8*Param!B14/1000</f>
        <v>6.57</v>
      </c>
      <c r="BX12" s="175"/>
      <c r="BY12" s="175"/>
      <c r="BZ12" s="176"/>
      <c r="CC12" s="108"/>
    </row>
    <row r="13" spans="4:81" x14ac:dyDescent="0.2">
      <c r="BR13" s="138"/>
      <c r="BS13" s="138"/>
      <c r="BT13" s="138"/>
      <c r="BU13" s="138"/>
      <c r="BV13" s="138"/>
      <c r="BW13" s="138"/>
      <c r="BX13" s="138"/>
      <c r="BY13" s="138"/>
      <c r="BZ13" s="138"/>
      <c r="CC13" s="108"/>
    </row>
    <row r="14" spans="4:81" x14ac:dyDescent="0.2">
      <c r="BR14" s="138"/>
      <c r="BS14" s="138"/>
      <c r="BT14" s="138"/>
      <c r="BU14" s="138"/>
      <c r="BV14" s="138"/>
      <c r="BW14" s="138"/>
      <c r="BX14" s="138"/>
      <c r="BY14" s="138"/>
      <c r="BZ14" s="138"/>
      <c r="CC14" s="108"/>
    </row>
    <row r="15" spans="4:81" x14ac:dyDescent="0.2">
      <c r="BK15" s="108"/>
      <c r="BL15" s="108"/>
      <c r="BM15" s="108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8"/>
    </row>
    <row r="16" spans="4:81" x14ac:dyDescent="0.2">
      <c r="BR16" s="44" t="s">
        <v>63</v>
      </c>
      <c r="BS16" s="38"/>
      <c r="BT16" s="38"/>
      <c r="BU16" s="38"/>
      <c r="BV16" s="177">
        <v>1</v>
      </c>
      <c r="BW16" s="177"/>
      <c r="BX16" s="177"/>
      <c r="BY16" s="177"/>
      <c r="BZ16" s="178"/>
      <c r="CC16" s="108"/>
    </row>
    <row r="17" spans="4:81" x14ac:dyDescent="0.2"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R17" s="44" t="s">
        <v>62</v>
      </c>
      <c r="BS17" s="38"/>
      <c r="BT17" s="38"/>
      <c r="BU17" s="38"/>
      <c r="BV17" s="177" t="str">
        <f>Param!B19</f>
        <v>SMA</v>
      </c>
      <c r="BW17" s="177"/>
      <c r="BX17" s="177"/>
      <c r="BY17" s="177"/>
      <c r="BZ17" s="178"/>
      <c r="CA17" s="108"/>
      <c r="CB17" s="108"/>
      <c r="CC17" s="108"/>
    </row>
    <row r="18" spans="4:81" ht="16" customHeight="1" x14ac:dyDescent="0.2"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R18" s="43" t="s">
        <v>61</v>
      </c>
      <c r="BS18" s="42"/>
      <c r="BT18" s="38"/>
      <c r="BU18" s="38"/>
      <c r="BV18" s="177" t="str">
        <f>Param!B20</f>
        <v>SB4.0-1AV-40</v>
      </c>
      <c r="BW18" s="177"/>
      <c r="BX18" s="177"/>
      <c r="BY18" s="177"/>
      <c r="BZ18" s="178"/>
      <c r="CA18" s="38"/>
      <c r="CB18" s="38"/>
      <c r="CC18" s="38"/>
    </row>
    <row r="19" spans="4:81" ht="16" customHeight="1" x14ac:dyDescent="0.2"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A19" s="184"/>
      <c r="CB19" s="184"/>
      <c r="CC19" s="38"/>
    </row>
    <row r="20" spans="4:81" x14ac:dyDescent="0.2">
      <c r="Y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CC20" s="38"/>
    </row>
    <row r="21" spans="4:81" x14ac:dyDescent="0.2"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CC21" s="94"/>
    </row>
    <row r="22" spans="4:81" x14ac:dyDescent="0.2">
      <c r="CC22" s="96"/>
    </row>
    <row r="23" spans="4:81" x14ac:dyDescent="0.2">
      <c r="BR23" s="30" t="s">
        <v>81</v>
      </c>
      <c r="BS23" s="29"/>
      <c r="BT23" s="29"/>
      <c r="BU23" s="29"/>
      <c r="BV23" s="29"/>
      <c r="BW23" s="29"/>
      <c r="BX23" s="29"/>
      <c r="BY23" s="187" t="s">
        <v>82</v>
      </c>
      <c r="BZ23" s="188"/>
      <c r="CA23" s="187" t="s">
        <v>83</v>
      </c>
      <c r="CB23" s="188"/>
      <c r="CC23" s="102"/>
    </row>
    <row r="24" spans="4:81" x14ac:dyDescent="0.2">
      <c r="BR24" s="110" t="s">
        <v>84</v>
      </c>
      <c r="BS24" s="98"/>
      <c r="BT24" s="98"/>
      <c r="BU24" s="98"/>
      <c r="BV24" s="98"/>
      <c r="BW24" s="98"/>
      <c r="BX24" s="111"/>
      <c r="BY24" s="189">
        <f>Param!B24</f>
        <v>12</v>
      </c>
      <c r="BZ24" s="190"/>
      <c r="CA24" s="189">
        <f>Param!B25</f>
        <v>0</v>
      </c>
      <c r="CB24" s="190"/>
      <c r="CC24" s="34"/>
    </row>
    <row r="25" spans="4:81" x14ac:dyDescent="0.2">
      <c r="BR25" s="99" t="s">
        <v>85</v>
      </c>
      <c r="BS25" s="109"/>
      <c r="BT25" s="109"/>
      <c r="BU25" s="109"/>
      <c r="BV25" s="109"/>
      <c r="BW25" s="109"/>
      <c r="BX25" s="101"/>
      <c r="BY25" s="193">
        <f>BY24*BW9</f>
        <v>4380</v>
      </c>
      <c r="BZ25" s="194"/>
      <c r="CA25" s="193">
        <f>CA24*BW9</f>
        <v>0</v>
      </c>
      <c r="CB25" s="194"/>
      <c r="CC25" s="34"/>
    </row>
    <row r="26" spans="4:81" x14ac:dyDescent="0.2">
      <c r="BR26" s="99" t="s">
        <v>86</v>
      </c>
      <c r="BS26" s="109"/>
      <c r="BT26" s="109"/>
      <c r="BU26" s="109"/>
      <c r="BV26" s="109"/>
      <c r="BW26" s="109"/>
      <c r="BX26" s="101"/>
      <c r="BY26" s="193">
        <f>BY24*BW10*1.1</f>
        <v>550.44000000000005</v>
      </c>
      <c r="BZ26" s="194"/>
      <c r="CA26" s="193">
        <f>CA24*BW10*1.1</f>
        <v>0</v>
      </c>
      <c r="CB26" s="194"/>
      <c r="CC26" s="34"/>
    </row>
    <row r="27" spans="4:81" x14ac:dyDescent="0.2">
      <c r="BR27" s="117" t="s">
        <v>87</v>
      </c>
      <c r="BS27" s="118"/>
      <c r="BT27" s="118"/>
      <c r="BU27" s="118"/>
      <c r="BV27" s="118"/>
      <c r="BW27" s="118"/>
      <c r="BX27" s="114"/>
      <c r="BY27" s="191">
        <f>IF(Param!B25&lt;&gt;"",BW11*2,BW11)</f>
        <v>10.88</v>
      </c>
      <c r="BZ27" s="192"/>
      <c r="CA27" s="191">
        <f>BW11*2</f>
        <v>21.76</v>
      </c>
      <c r="CB27" s="192"/>
      <c r="CC27" s="136"/>
    </row>
    <row r="28" spans="4:81" x14ac:dyDescent="0.2">
      <c r="AJ28" s="11"/>
      <c r="BK28" s="109"/>
      <c r="BL28" s="109"/>
      <c r="BM28" s="109"/>
      <c r="BN28" s="109"/>
      <c r="BO28" s="109"/>
      <c r="BP28" s="109"/>
      <c r="BQ28" s="109"/>
      <c r="BR28" s="137"/>
      <c r="BS28" s="137"/>
      <c r="BT28" s="134"/>
      <c r="BU28" s="134"/>
      <c r="BV28" s="135"/>
      <c r="BW28" s="135"/>
      <c r="BX28" s="133"/>
      <c r="BY28" s="133"/>
      <c r="BZ28" s="133"/>
      <c r="CA28" s="133"/>
      <c r="CB28" s="136"/>
      <c r="CC28" s="136"/>
    </row>
    <row r="29" spans="4:81" x14ac:dyDescent="0.2">
      <c r="L29" s="33"/>
      <c r="M29" s="32"/>
      <c r="BK29" s="109"/>
      <c r="BL29" s="109"/>
      <c r="BM29" s="109"/>
      <c r="BN29" s="109"/>
      <c r="BO29" s="109"/>
      <c r="BP29" s="109"/>
      <c r="BQ29" s="109"/>
      <c r="BR29" s="137"/>
      <c r="BS29" s="137"/>
      <c r="BT29" s="134"/>
      <c r="BU29" s="134"/>
      <c r="BV29" s="135"/>
      <c r="BW29" s="135"/>
      <c r="BX29" s="133"/>
      <c r="BY29" s="133"/>
      <c r="BZ29" s="133"/>
      <c r="CA29" s="133"/>
      <c r="CB29" s="136"/>
      <c r="CC29" s="136"/>
    </row>
    <row r="30" spans="4:81" x14ac:dyDescent="0.2">
      <c r="D30" s="130" t="str">
        <f>IF(Param!B39&lt;&gt;"","Main switch","")</f>
        <v/>
      </c>
      <c r="J30" s="116" t="s">
        <v>90</v>
      </c>
      <c r="BK30" s="109"/>
      <c r="BL30" s="109"/>
      <c r="BM30" s="109"/>
      <c r="BN30" s="109"/>
      <c r="BO30" s="109"/>
      <c r="BP30" s="109"/>
      <c r="BQ30" s="109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IF(Param!B39&lt;&gt;"","Inverter supply","")</f>
        <v/>
      </c>
      <c r="J31" s="116" t="s">
        <v>91</v>
      </c>
      <c r="BK31" s="109"/>
      <c r="BL31" s="109"/>
      <c r="BM31" s="109"/>
      <c r="BN31" s="109"/>
      <c r="BO31" s="109"/>
      <c r="BP31" s="109"/>
      <c r="BQ31" s="109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1" x14ac:dyDescent="0.2">
      <c r="BK32" s="31"/>
      <c r="BL32" s="31"/>
      <c r="BM32" s="109"/>
      <c r="BN32" s="109"/>
      <c r="BO32" s="109"/>
      <c r="BP32" s="109"/>
      <c r="BQ32" s="109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s="116" t="s">
        <v>97</v>
      </c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224" t="s">
        <v>135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s="116" t="s">
        <v>88</v>
      </c>
      <c r="BE34" s="109"/>
      <c r="BF34" s="109"/>
      <c r="BG34" s="109"/>
      <c r="BH34" s="109"/>
      <c r="BI34" s="109"/>
      <c r="BK34" s="109"/>
      <c r="BL34" s="109"/>
      <c r="BM34" s="109"/>
      <c r="BN34" s="109"/>
      <c r="BO34" s="109"/>
      <c r="BP34" s="109"/>
      <c r="BQ34" s="109"/>
      <c r="BR34" s="228" t="s">
        <v>126</v>
      </c>
      <c r="BS34" s="229"/>
      <c r="BT34" s="229"/>
      <c r="BU34" s="230"/>
      <c r="BV34" s="231" t="s">
        <v>127</v>
      </c>
      <c r="BW34" s="232"/>
      <c r="BX34" s="232"/>
      <c r="BY34" s="233"/>
      <c r="BZ34" s="234" t="s">
        <v>136</v>
      </c>
      <c r="CA34" s="235"/>
      <c r="CB34" s="235"/>
      <c r="CC34" s="236"/>
    </row>
    <row r="35" spans="17:82" x14ac:dyDescent="0.2">
      <c r="BE35" s="109"/>
      <c r="BF35" s="109"/>
      <c r="BG35" s="109"/>
      <c r="BH35" s="109"/>
      <c r="BI35" s="109"/>
      <c r="BK35" s="109"/>
      <c r="BL35" s="109"/>
      <c r="BM35" s="109"/>
      <c r="BN35" s="109"/>
      <c r="BO35" s="109"/>
      <c r="BP35" s="109"/>
      <c r="BQ35" s="109"/>
      <c r="BR35" s="181">
        <f>Vrise!C32</f>
        <v>1</v>
      </c>
      <c r="BS35" s="182"/>
      <c r="BT35" s="182"/>
      <c r="BU35" s="183"/>
      <c r="BV35" s="181">
        <f>Vrise!E32</f>
        <v>1</v>
      </c>
      <c r="BW35" s="182"/>
      <c r="BX35" s="182"/>
      <c r="BY35" s="182"/>
      <c r="BZ35" s="181">
        <f>Vrise!G32</f>
        <v>1</v>
      </c>
      <c r="CA35" s="182"/>
      <c r="CB35" s="182"/>
      <c r="CC35" s="183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9"/>
      <c r="BF36" s="109"/>
      <c r="BG36" s="109"/>
      <c r="BH36" s="109"/>
      <c r="BI36" s="109"/>
      <c r="BK36" s="109"/>
      <c r="BL36" s="109"/>
      <c r="BM36" s="109"/>
      <c r="BN36" s="109"/>
      <c r="BO36" s="109"/>
      <c r="BP36" s="109"/>
      <c r="BQ36" s="109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09"/>
      <c r="BF37" s="109"/>
      <c r="BG37" s="109"/>
      <c r="BH37" s="109"/>
      <c r="BI37" s="31"/>
      <c r="BJ37" s="31"/>
      <c r="BK37" s="109"/>
      <c r="BL37" s="109"/>
      <c r="BM37" s="109"/>
      <c r="BN37" s="109"/>
      <c r="BO37" s="109"/>
      <c r="BP37" s="109"/>
      <c r="BQ37" s="109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5" t="str">
        <f>_xlfn.CONCAT(Vrise!G36," A")</f>
        <v>22 A</v>
      </c>
      <c r="CA37" s="216"/>
      <c r="CB37" s="216"/>
      <c r="CC37" s="217"/>
    </row>
    <row r="38" spans="17:82" x14ac:dyDescent="0.2">
      <c r="BE38" s="109"/>
      <c r="BF38" s="109"/>
      <c r="BG38" s="109"/>
      <c r="BH38" s="109"/>
      <c r="BI38" s="109"/>
      <c r="BQ38" s="8"/>
      <c r="BR38" s="227" t="str">
        <f>_xlfn.CONCAT(Vrise!C35," m")</f>
        <v>0 m</v>
      </c>
      <c r="BS38" s="184"/>
      <c r="BT38" s="184"/>
      <c r="BU38" s="185"/>
      <c r="BV38" s="227" t="str">
        <f>_xlfn.CONCAT(Vrise!E35," m")</f>
        <v>0 m</v>
      </c>
      <c r="BW38" s="184"/>
      <c r="BX38" s="184"/>
      <c r="BY38" s="185"/>
      <c r="BZ38" s="227" t="str">
        <f>_xlfn.CONCAT(Vrise!G35," m")</f>
        <v>0 m</v>
      </c>
      <c r="CA38" s="184"/>
      <c r="CB38" s="184"/>
      <c r="CC38" s="185"/>
    </row>
    <row r="39" spans="17:82" x14ac:dyDescent="0.2">
      <c r="BE39" s="109"/>
      <c r="BF39" s="109"/>
      <c r="BG39" s="109"/>
      <c r="BH39" s="109"/>
      <c r="BI39" s="109"/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BE40" s="109"/>
      <c r="BF40" s="109"/>
      <c r="BG40" s="109"/>
      <c r="BH40" s="109"/>
      <c r="BI40" s="109"/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BE41" s="109"/>
      <c r="BF41" s="109"/>
      <c r="BG41" s="109"/>
      <c r="BH41" s="109"/>
      <c r="BI41" s="109"/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9"/>
      <c r="BF42" s="109"/>
      <c r="BG42" s="109"/>
      <c r="BH42" s="109"/>
      <c r="BI42" s="109"/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s="116" t="s">
        <v>93</v>
      </c>
    </row>
    <row r="44" spans="17:82" x14ac:dyDescent="0.2">
      <c r="AA44" s="116" t="s">
        <v>92</v>
      </c>
      <c r="AM44" s="116" t="s">
        <v>95</v>
      </c>
      <c r="AR44" s="116" t="s">
        <v>95</v>
      </c>
      <c r="BT44" s="107"/>
      <c r="BU44" s="107"/>
      <c r="BV44" s="107"/>
      <c r="BW44" s="107"/>
      <c r="BX44" s="107"/>
      <c r="BY44" s="107"/>
      <c r="BZ44" s="107"/>
      <c r="CA44" s="107"/>
      <c r="CB44" s="107"/>
    </row>
    <row r="45" spans="17:82" x14ac:dyDescent="0.2">
      <c r="AA45" s="116" t="s">
        <v>34</v>
      </c>
      <c r="AM45" s="116" t="s">
        <v>94</v>
      </c>
      <c r="AR45" s="116" t="s">
        <v>94</v>
      </c>
      <c r="BC45" s="97">
        <f>Param!B24</f>
        <v>12</v>
      </c>
      <c r="BD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6" t="s">
        <v>52</v>
      </c>
      <c r="AR46" s="116" t="s">
        <v>51</v>
      </c>
      <c r="BR46" s="110" t="s">
        <v>48</v>
      </c>
      <c r="BS46" s="98"/>
      <c r="BT46" s="98"/>
      <c r="BU46" s="111"/>
      <c r="BV46" s="27" t="s">
        <v>47</v>
      </c>
      <c r="BW46" s="110" t="s">
        <v>46</v>
      </c>
      <c r="BX46" s="98"/>
      <c r="BY46" s="98"/>
      <c r="BZ46" s="98"/>
      <c r="CA46" s="98"/>
      <c r="CB46" s="98"/>
      <c r="CC46" s="98"/>
      <c r="CD46" s="111"/>
    </row>
    <row r="47" spans="17:82" x14ac:dyDescent="0.2">
      <c r="AH47" s="97" t="s">
        <v>38</v>
      </c>
      <c r="BR47" s="99" t="s">
        <v>45</v>
      </c>
      <c r="BS47" s="109"/>
      <c r="BT47" s="109"/>
      <c r="BU47" s="101"/>
      <c r="BV47" s="25">
        <f>SUM(BY24:CB24)</f>
        <v>12</v>
      </c>
      <c r="BW47" s="99" t="str">
        <f>_xlfn.CONCAT(BW7," ",BW9,"W")</f>
        <v>LG NeON 2 365W</v>
      </c>
      <c r="BX47" s="109"/>
      <c r="BY47" s="109"/>
      <c r="BZ47" s="109"/>
      <c r="CA47" s="109"/>
      <c r="CB47" s="109"/>
      <c r="CC47" s="109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9"/>
      <c r="BT48" s="109"/>
      <c r="BU48" s="101"/>
      <c r="BV48" s="25">
        <v>1</v>
      </c>
      <c r="BW48" s="150" t="str">
        <f>BV18</f>
        <v>SB4.0-1AV-40</v>
      </c>
      <c r="BX48" s="109"/>
      <c r="BY48" s="109"/>
      <c r="BZ48" s="109"/>
      <c r="CA48" s="109"/>
      <c r="CB48" s="109"/>
      <c r="CC48" s="109"/>
      <c r="CD48" s="101"/>
    </row>
    <row r="49" spans="11:82" x14ac:dyDescent="0.2">
      <c r="AM49" s="95"/>
      <c r="AR49" s="95"/>
      <c r="BR49" s="99" t="s">
        <v>39</v>
      </c>
      <c r="BS49" s="109"/>
      <c r="BT49" s="109"/>
      <c r="BU49" s="101"/>
      <c r="BV49" s="25"/>
      <c r="BW49" s="210">
        <f>BV19</f>
        <v>4.2</v>
      </c>
      <c r="BX49" s="211"/>
      <c r="BY49" s="211"/>
      <c r="BZ49" s="109"/>
      <c r="CA49" s="109"/>
      <c r="CB49" s="109"/>
      <c r="CC49" s="109"/>
      <c r="CD49" s="101"/>
    </row>
    <row r="50" spans="11:82" x14ac:dyDescent="0.2">
      <c r="BR50" s="99" t="s">
        <v>37</v>
      </c>
      <c r="BS50" s="109"/>
      <c r="BT50" s="109"/>
      <c r="BU50" s="101"/>
      <c r="BV50" s="25">
        <v>1</v>
      </c>
      <c r="BW50" s="99" t="s">
        <v>36</v>
      </c>
      <c r="BX50" s="109"/>
      <c r="BY50" s="109"/>
      <c r="BZ50" s="109"/>
      <c r="CA50" s="109"/>
      <c r="CB50" s="109"/>
      <c r="CC50" s="109"/>
      <c r="CD50" s="101"/>
    </row>
    <row r="51" spans="11:82" x14ac:dyDescent="0.2">
      <c r="BR51" s="99" t="s">
        <v>34</v>
      </c>
      <c r="BS51" s="109"/>
      <c r="BT51" s="109"/>
      <c r="BU51" s="101"/>
      <c r="BV51" s="25">
        <v>1</v>
      </c>
      <c r="BW51" s="99" t="s">
        <v>89</v>
      </c>
      <c r="BX51" s="109"/>
      <c r="BY51" s="109"/>
      <c r="BZ51" s="109"/>
      <c r="CA51" s="109"/>
      <c r="CB51" s="109"/>
      <c r="CC51" s="109"/>
      <c r="CD51" s="101"/>
    </row>
    <row r="52" spans="11:82" x14ac:dyDescent="0.2">
      <c r="BR52" s="99" t="s">
        <v>33</v>
      </c>
      <c r="BS52" s="109"/>
      <c r="BT52" s="109"/>
      <c r="BU52" s="101"/>
      <c r="BV52" s="25">
        <v>2</v>
      </c>
      <c r="BW52" s="99" t="s">
        <v>32</v>
      </c>
      <c r="BX52" s="109"/>
      <c r="BY52" s="109"/>
      <c r="BZ52" s="109"/>
      <c r="CA52" s="109"/>
      <c r="CB52" s="109"/>
      <c r="CC52" s="109"/>
      <c r="CD52" s="101"/>
    </row>
    <row r="53" spans="11:82" x14ac:dyDescent="0.2">
      <c r="BR53" s="112" t="s">
        <v>31</v>
      </c>
      <c r="BS53" s="113"/>
      <c r="BT53" s="113"/>
      <c r="BU53" s="114"/>
      <c r="BV53" s="24">
        <v>1</v>
      </c>
      <c r="BW53" s="99" t="s">
        <v>30</v>
      </c>
      <c r="BX53" s="109"/>
      <c r="BY53" s="113"/>
      <c r="BZ53" s="113"/>
      <c r="CA53" s="113"/>
      <c r="CB53" s="113"/>
      <c r="CC53" s="113"/>
      <c r="CD53" s="114"/>
    </row>
    <row r="54" spans="11:82" x14ac:dyDescent="0.2">
      <c r="K54" s="87" t="str">
        <f>IF(Param!B39&lt;&gt;"","Existing Array","")</f>
        <v/>
      </c>
      <c r="BW54" s="104"/>
      <c r="BX54" s="104"/>
    </row>
    <row r="55" spans="11:82" x14ac:dyDescent="0.2">
      <c r="K55" s="130" t="str">
        <f>IF(Param!B39&lt;&gt;"",_xlfn.CONCAT(Param!B39," kWac"),"")</f>
        <v/>
      </c>
      <c r="BX55" s="107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1"/>
    </row>
    <row r="57" spans="11:82" x14ac:dyDescent="0.2">
      <c r="BR57" s="99" t="s">
        <v>28</v>
      </c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1"/>
    </row>
    <row r="58" spans="11:82" x14ac:dyDescent="0.2">
      <c r="BR58" s="99" t="s">
        <v>27</v>
      </c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1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99" t="s">
        <v>26</v>
      </c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1"/>
    </row>
    <row r="60" spans="11:82" x14ac:dyDescent="0.2">
      <c r="O60" s="130" t="str">
        <f>IF(Param!B39&lt;&gt;"","Inverter","")</f>
        <v/>
      </c>
      <c r="BR60" s="99" t="s">
        <v>25</v>
      </c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1"/>
    </row>
    <row r="61" spans="11:82" x14ac:dyDescent="0.2">
      <c r="O61" s="130" t="str">
        <f>IF(Param!B39&lt;&gt;"","A.C. Isolator","")</f>
        <v/>
      </c>
      <c r="BR61" s="99" t="s">
        <v>24</v>
      </c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1"/>
    </row>
    <row r="62" spans="11:82" x14ac:dyDescent="0.2">
      <c r="AZ62" s="20"/>
      <c r="BA62" s="20"/>
      <c r="BD62" s="19"/>
      <c r="BE62" s="19"/>
      <c r="BJ62" s="18"/>
      <c r="BR62" s="99" t="s">
        <v>23</v>
      </c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1"/>
    </row>
    <row r="63" spans="11:82" x14ac:dyDescent="0.2">
      <c r="AZ63" s="20"/>
      <c r="BA63" s="20"/>
      <c r="BD63" s="19"/>
      <c r="BE63" s="19"/>
      <c r="BJ63" s="18"/>
      <c r="BR63" s="99" t="s">
        <v>22</v>
      </c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1"/>
    </row>
    <row r="64" spans="11:82" x14ac:dyDescent="0.2">
      <c r="AZ64" s="20"/>
      <c r="BA64" s="20"/>
      <c r="BD64" s="19"/>
      <c r="BE64" s="19"/>
      <c r="BJ64" s="18"/>
      <c r="BR64" s="99" t="s">
        <v>21</v>
      </c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1"/>
    </row>
    <row r="65" spans="2:82" x14ac:dyDescent="0.2">
      <c r="AZ65" s="20"/>
      <c r="BA65" s="20"/>
      <c r="BD65" s="19"/>
      <c r="BE65" s="19"/>
      <c r="BJ65" s="18"/>
      <c r="BR65" s="99" t="s">
        <v>20</v>
      </c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1"/>
    </row>
    <row r="66" spans="2:82" x14ac:dyDescent="0.2">
      <c r="J66" s="97" t="str">
        <f>IF(Param!B40&lt;&gt;"",_xlfn.CONCAT("Note: ",Param!B40),"")</f>
        <v/>
      </c>
      <c r="AO66" s="11"/>
      <c r="BR66" s="112" t="s">
        <v>19</v>
      </c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4"/>
    </row>
    <row r="67" spans="2:82" x14ac:dyDescent="0.2">
      <c r="AO67" s="11"/>
      <c r="BR67" s="103" t="s">
        <v>18</v>
      </c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5"/>
    </row>
    <row r="68" spans="2:82" x14ac:dyDescent="0.2">
      <c r="B68" s="107"/>
      <c r="C68" s="107"/>
      <c r="BR68" s="106" t="s">
        <v>17</v>
      </c>
      <c r="BS68" s="107"/>
      <c r="BT68" s="107"/>
      <c r="BU68" s="107"/>
      <c r="BV68" s="107"/>
      <c r="BW68" s="107"/>
      <c r="BX68" s="107"/>
      <c r="BY68" s="107"/>
      <c r="BZ68" s="107"/>
      <c r="CA68" s="107"/>
      <c r="CB68" s="107"/>
      <c r="CC68" s="107"/>
      <c r="CD68" s="1"/>
    </row>
    <row r="69" spans="2:82" x14ac:dyDescent="0.2">
      <c r="B69" s="97" t="s">
        <v>16</v>
      </c>
      <c r="D69" s="104"/>
      <c r="E69" s="104"/>
      <c r="F69" s="104"/>
      <c r="G69" s="104"/>
      <c r="H69" s="104"/>
      <c r="I69" s="104"/>
      <c r="J69" s="5"/>
      <c r="K69" s="103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5"/>
      <c r="X69" s="103"/>
      <c r="Y69" s="104" t="s">
        <v>15</v>
      </c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97" t="s">
        <v>14</v>
      </c>
      <c r="AZ69" s="197"/>
      <c r="BA69" s="198"/>
      <c r="BB69" s="103" t="str">
        <f>Param!B3</f>
        <v xml:space="preserve">Miller, Ian </v>
      </c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5"/>
      <c r="BN69" s="103" t="str">
        <f>_xlfn.CONCAT(BV47," ",BW7," - ",BV48," ",BW48)</f>
        <v>12 LG NeON 2 - 1 SB4.0-1AV-40</v>
      </c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CB69" s="201">
        <f>BW49</f>
        <v>4.2</v>
      </c>
      <c r="CC69" s="201"/>
      <c r="CD69" s="202"/>
    </row>
    <row r="70" spans="2:82" x14ac:dyDescent="0.2">
      <c r="J70" s="8"/>
      <c r="K70" s="105"/>
      <c r="W70" s="8"/>
      <c r="X70" s="106"/>
      <c r="Y70" s="107" t="s">
        <v>5</v>
      </c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"/>
      <c r="BB70" s="106"/>
      <c r="BC70" s="107"/>
      <c r="BD70" s="107"/>
      <c r="BE70" s="107"/>
      <c r="BF70" s="107"/>
      <c r="BG70" s="107"/>
      <c r="BH70" s="107"/>
      <c r="BI70" s="107"/>
      <c r="BJ70" s="107"/>
      <c r="BK70" s="107"/>
      <c r="BL70" s="107"/>
      <c r="BM70" s="1"/>
      <c r="BN70" s="106" t="s">
        <v>13</v>
      </c>
      <c r="BO70" s="107"/>
      <c r="BP70" s="107"/>
      <c r="BQ70" s="107"/>
      <c r="BR70" s="107"/>
      <c r="BS70" s="107"/>
      <c r="BT70" s="107"/>
      <c r="BU70" s="107"/>
      <c r="BV70" s="107"/>
      <c r="BW70" s="107"/>
      <c r="BX70" s="107"/>
      <c r="BY70" s="107"/>
      <c r="BZ70" s="107"/>
      <c r="CA70" s="107"/>
      <c r="CB70" s="107"/>
      <c r="CC70" s="107"/>
      <c r="CD70" s="1"/>
    </row>
    <row r="71" spans="2:82" x14ac:dyDescent="0.2">
      <c r="J71" s="8"/>
      <c r="K71" s="105"/>
      <c r="W71" s="8"/>
      <c r="X71" s="103"/>
      <c r="Y71" s="104" t="s">
        <v>12</v>
      </c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97" t="s">
        <v>11</v>
      </c>
      <c r="AZ71" s="197"/>
      <c r="BA71" s="198"/>
      <c r="BB71" s="103" t="str">
        <f>Param!B4</f>
        <v>154 Princeton Ave  Adamstown Heights</v>
      </c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5"/>
      <c r="BN71" s="103" t="s">
        <v>10</v>
      </c>
      <c r="BO71" s="104"/>
      <c r="BP71" s="5"/>
      <c r="BQ71" s="103" t="s">
        <v>9</v>
      </c>
      <c r="BR71" s="104"/>
      <c r="BS71" s="5"/>
      <c r="BT71" s="103" t="s">
        <v>8</v>
      </c>
      <c r="BU71" s="104"/>
      <c r="BV71" s="104"/>
      <c r="BW71" s="5"/>
      <c r="BX71" s="103" t="s">
        <v>7</v>
      </c>
      <c r="BY71" s="104"/>
      <c r="BZ71" s="5"/>
      <c r="CA71" s="103" t="s">
        <v>6</v>
      </c>
      <c r="CB71" s="104"/>
      <c r="CC71" s="104"/>
      <c r="CD71" s="5"/>
    </row>
    <row r="72" spans="2:82" x14ac:dyDescent="0.2">
      <c r="J72" s="8"/>
      <c r="K72" s="105"/>
      <c r="W72" s="8"/>
      <c r="X72" s="106"/>
      <c r="Y72" s="107" t="s">
        <v>5</v>
      </c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"/>
      <c r="BB72" s="106"/>
      <c r="BC72" s="107"/>
      <c r="BD72" s="107"/>
      <c r="BE72" s="107"/>
      <c r="BF72" s="107"/>
      <c r="BG72" s="107"/>
      <c r="BH72" s="107"/>
      <c r="BI72" s="107"/>
      <c r="BJ72" s="107"/>
      <c r="BK72" s="107"/>
      <c r="BL72" s="107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44240</v>
      </c>
      <c r="BY72" s="207"/>
      <c r="BZ72" s="208"/>
      <c r="CA72" s="10" t="s">
        <v>3</v>
      </c>
      <c r="CB72" s="107"/>
      <c r="CC72" s="107"/>
      <c r="CD72" s="1"/>
    </row>
    <row r="73" spans="2:82" x14ac:dyDescent="0.2">
      <c r="J73" s="8"/>
      <c r="K73" s="105"/>
      <c r="W73" s="8"/>
      <c r="X73" s="103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Y73" s="197" t="s">
        <v>2</v>
      </c>
      <c r="AZ73" s="197"/>
      <c r="BA73" s="198"/>
      <c r="BB73" s="199">
        <f>Param!B2</f>
        <v>26181</v>
      </c>
      <c r="BC73" s="200"/>
      <c r="BD73" s="104"/>
      <c r="BE73" s="104"/>
      <c r="BF73" s="104"/>
      <c r="BG73" s="104"/>
      <c r="BH73" s="104"/>
      <c r="BI73" s="104"/>
      <c r="BJ73" s="104"/>
      <c r="BK73" s="104"/>
      <c r="BL73" s="104"/>
      <c r="BM73" s="5"/>
      <c r="BN73" s="103" t="s">
        <v>1</v>
      </c>
      <c r="BO73" s="104"/>
      <c r="BP73" s="104"/>
      <c r="BQ73" s="104">
        <v>1</v>
      </c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5"/>
    </row>
    <row r="74" spans="2:82" x14ac:dyDescent="0.2">
      <c r="C74" s="107"/>
      <c r="D74" s="107"/>
      <c r="E74" s="107"/>
      <c r="F74" s="107"/>
      <c r="G74" s="107"/>
      <c r="H74" s="107"/>
      <c r="I74" s="107"/>
      <c r="J74" s="1"/>
      <c r="K74" s="106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"/>
      <c r="X74" s="106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Z74" s="107"/>
      <c r="BA74" s="1"/>
      <c r="BB74" s="106"/>
      <c r="BC74" s="107"/>
      <c r="BD74" s="107"/>
      <c r="BE74" s="107"/>
      <c r="BF74" s="107"/>
      <c r="BG74" s="107"/>
      <c r="BH74" s="107"/>
      <c r="BI74" s="107"/>
      <c r="BJ74" s="107"/>
      <c r="BK74" s="107"/>
      <c r="BL74" s="107"/>
      <c r="BM74" s="1"/>
      <c r="BN74" s="106" t="s">
        <v>0</v>
      </c>
      <c r="BO74" s="107"/>
      <c r="BP74" s="107"/>
      <c r="BQ74" s="3" t="s">
        <v>152</v>
      </c>
      <c r="BR74" s="107"/>
      <c r="BS74" s="107"/>
      <c r="BT74" s="107"/>
      <c r="BU74" s="107"/>
      <c r="BV74" s="107"/>
      <c r="BW74" s="107"/>
      <c r="BX74" s="107"/>
      <c r="BY74" s="107"/>
      <c r="BZ74" s="107"/>
      <c r="CA74" s="107"/>
      <c r="CB74" s="107"/>
      <c r="CC74" s="107"/>
      <c r="CD74" s="1"/>
    </row>
  </sheetData>
  <mergeCells count="82">
    <mergeCell ref="CA25:CB25"/>
    <mergeCell ref="BY26:BZ26"/>
    <mergeCell ref="CA26:CB26"/>
    <mergeCell ref="BT31:BU31"/>
    <mergeCell ref="BV31:BW31"/>
    <mergeCell ref="BX31:BY31"/>
    <mergeCell ref="BZ31:CA31"/>
    <mergeCell ref="CB31:CC31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abSelected="1" topLeftCell="C16" zoomScale="75" zoomScaleNormal="85" workbookViewId="0">
      <selection activeCell="AD52" sqref="AD52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96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37" t="str">
        <f>Param!B11</f>
        <v>LG Electronics</v>
      </c>
      <c r="BW6" s="237"/>
      <c r="BX6" s="237"/>
      <c r="BY6" s="237"/>
      <c r="BZ6" s="23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179" t="str">
        <f>Param!B12</f>
        <v>LG NeON 2</v>
      </c>
      <c r="BW7" s="179"/>
      <c r="BX7" s="179"/>
      <c r="BY7" s="179"/>
      <c r="BZ7" s="180"/>
    </row>
    <row r="8" spans="4:81" x14ac:dyDescent="0.2">
      <c r="BL8" s="50"/>
      <c r="BM8" s="50"/>
      <c r="BN8" s="50"/>
      <c r="BR8" s="44" t="s">
        <v>133</v>
      </c>
      <c r="BW8" s="184">
        <f>Param!B13</f>
        <v>18</v>
      </c>
      <c r="BX8" s="184"/>
      <c r="BY8" s="184"/>
      <c r="BZ8" s="18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169">
        <f>Param!B14</f>
        <v>365</v>
      </c>
      <c r="BY9" s="169"/>
      <c r="BZ9" s="170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171">
        <f>Param!B15</f>
        <v>41.7</v>
      </c>
      <c r="BY10" s="171"/>
      <c r="BZ10" s="172"/>
    </row>
    <row r="11" spans="4:81" x14ac:dyDescent="0.2">
      <c r="BR11" s="44" t="s">
        <v>65</v>
      </c>
      <c r="BS11" s="139"/>
      <c r="BT11" s="139"/>
      <c r="BU11" s="139"/>
      <c r="BV11" s="139"/>
      <c r="BW11" s="139"/>
      <c r="BX11" s="173">
        <f>Param!B16</f>
        <v>10.88</v>
      </c>
      <c r="BY11" s="173"/>
      <c r="BZ11" s="174"/>
      <c r="CA11" s="186"/>
      <c r="CB11" s="186"/>
      <c r="CC11" s="186"/>
    </row>
    <row r="12" spans="4:81" x14ac:dyDescent="0.2">
      <c r="AM12" s="149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39"/>
      <c r="BE12" s="239"/>
      <c r="BF12" s="239"/>
      <c r="BG12" s="239"/>
      <c r="BR12" s="48" t="s">
        <v>134</v>
      </c>
      <c r="BS12" s="40"/>
      <c r="BT12" s="40"/>
      <c r="BU12" s="40"/>
      <c r="BV12" s="254" t="str">
        <f>_xlfn.CONCAT(BW8*Param!B14/1000, " kWdc")</f>
        <v>6.57 kWdc</v>
      </c>
      <c r="BW12" s="254"/>
      <c r="BX12" s="254"/>
      <c r="BY12" s="254"/>
      <c r="BZ12" s="255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39"/>
      <c r="BE13" s="239"/>
      <c r="BF13" s="239"/>
      <c r="BG13" s="239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39"/>
      <c r="BE14" s="239"/>
      <c r="BF14" s="239"/>
      <c r="BG14" s="239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39"/>
      <c r="BE15" s="239"/>
      <c r="BF15" s="239"/>
      <c r="BG15" s="239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39"/>
      <c r="BE16" s="239"/>
      <c r="BF16" s="239"/>
      <c r="BG16" s="239"/>
      <c r="BR16" s="44" t="s">
        <v>63</v>
      </c>
      <c r="BS16" s="38"/>
      <c r="BT16" s="38"/>
      <c r="BU16" s="38"/>
      <c r="BV16" s="177">
        <v>1</v>
      </c>
      <c r="BW16" s="177"/>
      <c r="BX16" s="177"/>
      <c r="BY16" s="177"/>
      <c r="BZ16" s="178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177" t="str">
        <f>Param!B19</f>
        <v>SMA</v>
      </c>
      <c r="BW17" s="177"/>
      <c r="BX17" s="177"/>
      <c r="BY17" s="177"/>
      <c r="BZ17" s="178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177" t="str">
        <f>Param!B20</f>
        <v>SB4.0-1AV-40</v>
      </c>
      <c r="BW18" s="177"/>
      <c r="BX18" s="177"/>
      <c r="BY18" s="177"/>
      <c r="BZ18" s="178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36"/>
    </row>
    <row r="23" spans="4:81" x14ac:dyDescent="0.2">
      <c r="AJ23" s="11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35"/>
    </row>
    <row r="24" spans="4:81" x14ac:dyDescent="0.2">
      <c r="BR24" s="20"/>
      <c r="BS24" s="20"/>
      <c r="BT24" s="134"/>
      <c r="BU24" s="134"/>
      <c r="BV24" s="19"/>
      <c r="BW24" s="19"/>
      <c r="BX24" s="138"/>
      <c r="BY24" s="138"/>
      <c r="BZ24" s="138"/>
      <c r="CA24" s="138"/>
      <c r="CB24" s="34"/>
      <c r="CC24" s="34"/>
    </row>
    <row r="25" spans="4:81" x14ac:dyDescent="0.2">
      <c r="BR25" s="258" t="s">
        <v>59</v>
      </c>
      <c r="BS25" s="252"/>
      <c r="BT25" s="252"/>
      <c r="BU25" s="252" t="s">
        <v>58</v>
      </c>
      <c r="BV25" s="252"/>
      <c r="BW25" s="252" t="s">
        <v>57</v>
      </c>
      <c r="BX25" s="252"/>
      <c r="BY25" s="252" t="s">
        <v>56</v>
      </c>
      <c r="BZ25" s="252"/>
      <c r="CA25" s="252" t="s">
        <v>55</v>
      </c>
      <c r="CB25" s="253"/>
      <c r="CC25" s="34"/>
    </row>
    <row r="26" spans="4:81" x14ac:dyDescent="0.2">
      <c r="BR26" s="228" t="s">
        <v>54</v>
      </c>
      <c r="BS26" s="229"/>
      <c r="BT26" s="230"/>
      <c r="BU26" s="228" t="s">
        <v>53</v>
      </c>
      <c r="BV26" s="230"/>
      <c r="BW26" s="224">
        <f>Param!B24</f>
        <v>12</v>
      </c>
      <c r="BX26" s="219"/>
      <c r="BY26" s="219">
        <f>IF(Param!B19="SolarEdge",380,Param!B24*Param!B15*1.1)</f>
        <v>550.44000000000005</v>
      </c>
      <c r="BZ26" s="220"/>
      <c r="CA26" s="259">
        <f>IF(Param!B19="SolarEdge",(2*BW26*Param!B14)/BY26,2*Param!B16)</f>
        <v>21.76</v>
      </c>
      <c r="CB26" s="260"/>
      <c r="CC26" s="34"/>
    </row>
    <row r="27" spans="4:81" x14ac:dyDescent="0.2">
      <c r="BR27" s="242"/>
      <c r="BS27" s="243"/>
      <c r="BT27" s="244"/>
      <c r="BU27" s="245"/>
      <c r="BV27" s="247"/>
      <c r="BW27" s="246">
        <f>Param!B25</f>
        <v>0</v>
      </c>
      <c r="BX27" s="246"/>
      <c r="BY27" s="246">
        <f>IF(Param!B19="SolarEdge",380,Param!B25*Param!B15*1.1)</f>
        <v>0</v>
      </c>
      <c r="BZ27" s="247"/>
      <c r="CA27" s="250"/>
      <c r="CB27" s="251"/>
      <c r="CC27" s="136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2"/>
      <c r="BS28" s="243"/>
      <c r="BT28" s="244"/>
      <c r="BU28" s="228" t="s">
        <v>50</v>
      </c>
      <c r="BV28" s="230"/>
      <c r="BW28" s="243">
        <f>Param!B26</f>
        <v>12</v>
      </c>
      <c r="BX28" s="243"/>
      <c r="BY28" s="243">
        <f>IF(Param!B19="SolarEdge",380,Param!B26*Param!B15*1.1)</f>
        <v>550.44000000000005</v>
      </c>
      <c r="BZ28" s="243"/>
      <c r="CA28" s="248">
        <f>IF(Param!B19="SolarEdge",(BW28*BX9)/BY28,Param!B16)</f>
        <v>10.88</v>
      </c>
      <c r="CB28" s="249"/>
      <c r="CC28" s="136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5"/>
      <c r="BS29" s="246"/>
      <c r="BT29" s="247"/>
      <c r="BU29" s="245"/>
      <c r="BV29" s="247"/>
      <c r="BW29" s="246"/>
      <c r="BX29" s="246"/>
      <c r="BY29" s="246"/>
      <c r="BZ29" s="246"/>
      <c r="CA29" s="250"/>
      <c r="CB29" s="251"/>
      <c r="CC29" s="136"/>
    </row>
    <row r="30" spans="4:81" x14ac:dyDescent="0.2">
      <c r="D30" s="130" t="str">
        <f>IF(Param!B39&lt;&gt;"","Main switch","")</f>
        <v/>
      </c>
      <c r="J30" t="s">
        <v>90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IF(Param!B39&lt;&gt;"","Inverter supply","")</f>
        <v/>
      </c>
      <c r="J31" t="s">
        <v>91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t="s">
        <v>97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24" t="s">
        <v>135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t="s">
        <v>88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28" t="s">
        <v>126</v>
      </c>
      <c r="BS34" s="229"/>
      <c r="BT34" s="229"/>
      <c r="BU34" s="230"/>
      <c r="BV34" s="231" t="s">
        <v>127</v>
      </c>
      <c r="BW34" s="232"/>
      <c r="BX34" s="232"/>
      <c r="BY34" s="233"/>
      <c r="BZ34" s="234" t="s">
        <v>136</v>
      </c>
      <c r="CA34" s="235"/>
      <c r="CB34" s="235"/>
      <c r="CC34" s="236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81">
        <f>Vrise!C32</f>
        <v>1</v>
      </c>
      <c r="BS35" s="182"/>
      <c r="BT35" s="182"/>
      <c r="BU35" s="183"/>
      <c r="BV35" s="181">
        <f>Vrise!E32</f>
        <v>1</v>
      </c>
      <c r="BW35" s="182"/>
      <c r="BX35" s="182"/>
      <c r="BY35" s="182"/>
      <c r="BZ35" s="181">
        <f>Vrise!G32</f>
        <v>1</v>
      </c>
      <c r="CA35" s="182"/>
      <c r="CB35" s="182"/>
      <c r="CC35" s="183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6" t="str">
        <f>_xlfn.CONCAT(Vrise!G36," A")</f>
        <v>22 A</v>
      </c>
      <c r="CA37" s="216"/>
      <c r="CB37" s="216"/>
      <c r="CC37" s="217"/>
    </row>
    <row r="38" spans="17:82" x14ac:dyDescent="0.2">
      <c r="BQ38" s="8"/>
      <c r="BR38" s="256" t="str">
        <f>_xlfn.CONCAT(Vrise!C35," m")</f>
        <v>0 m</v>
      </c>
      <c r="BS38" s="204"/>
      <c r="BT38" s="204"/>
      <c r="BU38" s="205"/>
      <c r="BV38" s="257" t="str">
        <f>_xlfn.CONCAT(Vrise!E35," m")</f>
        <v>0 m</v>
      </c>
      <c r="BW38" s="204"/>
      <c r="BX38" s="204"/>
      <c r="BY38" s="205"/>
      <c r="BZ38" s="257" t="str">
        <f>_xlfn.CONCAT(Vrise!G35," m")</f>
        <v>0 m</v>
      </c>
      <c r="CA38" s="204"/>
      <c r="CB38" s="204"/>
      <c r="CC38" s="205"/>
    </row>
    <row r="39" spans="17:82" x14ac:dyDescent="0.2">
      <c r="AM39" t="s">
        <v>95</v>
      </c>
      <c r="AR39" s="115" t="s">
        <v>95</v>
      </c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AM40" t="s">
        <v>94</v>
      </c>
      <c r="AR40" s="115" t="s">
        <v>94</v>
      </c>
      <c r="BC40" s="121">
        <f>Param!B24</f>
        <v>12</v>
      </c>
      <c r="BD40" s="121" t="s">
        <v>40</v>
      </c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AM41" t="s">
        <v>52</v>
      </c>
      <c r="AR41" s="115" t="s">
        <v>51</v>
      </c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132" t="str">
        <f>IF(Param!B21=3,_xlfn.CONCAT(Param!B33,"mm 4C+E"),_xlfn.CONCAT(Param!B33,"mm 2C+E"))</f>
        <v>mm 2C+E</v>
      </c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t="s">
        <v>93</v>
      </c>
    </row>
    <row r="44" spans="17:82" x14ac:dyDescent="0.2">
      <c r="AA44" t="s">
        <v>98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5" t="s">
        <v>95</v>
      </c>
      <c r="AR48" s="115" t="s">
        <v>95</v>
      </c>
      <c r="BR48" s="17" t="s">
        <v>44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5" t="s">
        <v>94</v>
      </c>
      <c r="AR49" s="115" t="s">
        <v>94</v>
      </c>
      <c r="BC49">
        <f>Param!B26</f>
        <v>12</v>
      </c>
      <c r="BD49" t="s">
        <v>40</v>
      </c>
      <c r="BR49" s="17" t="s">
        <v>39</v>
      </c>
      <c r="BS49" s="16"/>
      <c r="BT49" s="16"/>
      <c r="BU49" s="15"/>
      <c r="BV49" s="25"/>
      <c r="BW49" s="210">
        <f>BV19</f>
        <v>4.2</v>
      </c>
      <c r="BX49" s="211"/>
      <c r="BY49" s="211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5" t="s">
        <v>42</v>
      </c>
      <c r="AR50" s="115" t="s">
        <v>41</v>
      </c>
      <c r="BR50" s="17" t="s">
        <v>34</v>
      </c>
      <c r="BS50" s="16"/>
      <c r="BT50" s="16"/>
      <c r="BU50" s="15"/>
      <c r="BV50" s="25">
        <v>1</v>
      </c>
      <c r="BW50" s="17" t="s">
        <v>89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7" t="s">
        <v>30</v>
      </c>
      <c r="BX52" s="118"/>
      <c r="BY52" s="118"/>
      <c r="BZ52" s="13"/>
      <c r="CA52" s="13"/>
      <c r="CB52" s="13"/>
      <c r="CC52" s="13"/>
      <c r="CD52" s="12"/>
    </row>
    <row r="54" spans="11:82" x14ac:dyDescent="0.2">
      <c r="K54" s="87" t="str">
        <f>IF(Param!B39&lt;&gt;"","Existing Array","")</f>
        <v/>
      </c>
      <c r="BV54" s="88"/>
      <c r="BW54" s="88"/>
      <c r="BX54" s="88"/>
    </row>
    <row r="55" spans="11:82" x14ac:dyDescent="0.2">
      <c r="K55" t="str">
        <f>IF(Param!B39&lt;&gt;"",_xlfn.CONCAT(Param!B39,"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30" t="str">
        <f>IF(Param!B39&lt;&gt;"","Inverter","")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30" t="str">
        <f>IF(Param!B39&lt;&gt;"","A.C.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1" t="str">
        <f>IF(Param!B39&lt;&gt;"","Grid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2" t="str">
        <f>IF(Param!B40&lt;&gt;"",_xlfn.CONCAT("Note: ",Param!B40),"")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7" t="s">
        <v>14</v>
      </c>
      <c r="AZ69" s="197"/>
      <c r="BA69" s="198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1">
        <f>BW49</f>
        <v>4.2</v>
      </c>
      <c r="CC69" s="201"/>
      <c r="CD69" s="202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7" t="s">
        <v>11</v>
      </c>
      <c r="AZ71" s="197"/>
      <c r="BA71" s="198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44240</v>
      </c>
      <c r="BY72" s="207"/>
      <c r="BZ72" s="208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7" t="s">
        <v>2</v>
      </c>
      <c r="AZ73" s="197"/>
      <c r="BA73" s="198"/>
      <c r="BB73" s="240">
        <f>Param!B2</f>
        <v>26181</v>
      </c>
      <c r="BC73" s="241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152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BZ31:CA31"/>
    <mergeCell ref="CB31:CC31"/>
    <mergeCell ref="CA26:CB27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V12:BZ12"/>
    <mergeCell ref="BV19:BZ19"/>
    <mergeCell ref="BR41:BT41"/>
    <mergeCell ref="BU41:BV41"/>
    <mergeCell ref="BW41:BX41"/>
    <mergeCell ref="BY41:BZ41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BR36:BU36"/>
    <mergeCell ref="BV36:BY36"/>
    <mergeCell ref="BZ36:CC36"/>
    <mergeCell ref="BR37:BU37"/>
    <mergeCell ref="BV37:BY37"/>
    <mergeCell ref="BZ37:CC37"/>
    <mergeCell ref="BR34:BU34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2021-02-13T09:07:19Z</dcterms:modified>
</cp:coreProperties>
</file>