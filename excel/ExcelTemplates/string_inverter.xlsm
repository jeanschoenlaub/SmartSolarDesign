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88D5D153-6F7F-A24A-99A9-9748E1EF3DAF}" xr6:coauthVersionLast="46" xr6:coauthVersionMax="46" xr10:uidLastSave="{00000000-0000-0000-0000-000000000000}"/>
  <bookViews>
    <workbookView xWindow="1120" yWindow="500" windowWidth="28920" windowHeight="17340" activeTab="1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Y24" i="14" l="1"/>
  <c r="CA24" i="14"/>
  <c r="CC24" i="14"/>
  <c r="BV47" i="14"/>
  <c r="BW11" i="14"/>
  <c r="CC27" i="14"/>
  <c r="BC28" i="14"/>
  <c r="E35" i="1"/>
  <c r="G35" i="1"/>
  <c r="G34" i="1"/>
  <c r="BW10" i="14"/>
  <c r="CC26" i="14"/>
  <c r="BW9" i="14"/>
  <c r="CC25" i="14"/>
  <c r="CA25" i="14"/>
  <c r="BD28" i="14"/>
  <c r="BY26" i="14"/>
  <c r="CA26" i="14"/>
  <c r="BY27" i="2"/>
  <c r="BY26" i="2"/>
  <c r="BY28" i="2"/>
  <c r="CA28" i="2"/>
  <c r="CA26" i="2"/>
  <c r="BV18" i="14"/>
  <c r="BW48" i="14"/>
  <c r="BW7" i="14"/>
  <c r="BN69" i="14"/>
  <c r="BV19" i="14"/>
  <c r="BW49" i="14"/>
  <c r="BW47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BZ38" i="14"/>
  <c r="BV38" i="14"/>
  <c r="C35" i="1"/>
  <c r="BR38" i="14"/>
  <c r="BZ38" i="2"/>
  <c r="BV38" i="2"/>
  <c r="BR38" i="2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5" i="14"/>
  <c r="CA27" i="14"/>
  <c r="BY27" i="14"/>
  <c r="BV17" i="14"/>
  <c r="BW6" i="14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<sst xmlns="http://schemas.openxmlformats.org/spreadsheetml/2006/main" count="261" uniqueCount="153">
  <si>
    <t>Date:</t>
  </si>
  <si>
    <t>Version:</t>
  </si>
  <si>
    <t>Job No.</t>
  </si>
  <si>
    <t>ACCREDIATION</t>
  </si>
  <si>
    <t>DATE</t>
  </si>
  <si>
    <t>APPROVED</t>
  </si>
  <si>
    <t>CHECKED</t>
  </si>
  <si>
    <t>DRAWN</t>
  </si>
  <si>
    <t>Project</t>
  </si>
  <si>
    <t>SCALE: NTS</t>
  </si>
  <si>
    <t>Client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</si>
  <si>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</si>
  <si>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</si>
  <si>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</si>
  <si>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</si>
  <si>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</si>
  <si>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</si>
  <si>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</si>
  <si>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</si>
  <si>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</si>
  <si>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</si>
  <si>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</si>
  <si>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</si>
  <si>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</si>
  <si>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</si>
  <si>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</si>
  <si>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</si>
  <si>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</si>
  <si>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</si>
  <si>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</si>
  <si>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</si>
  <si>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</si>
  <si>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</si>
  <si>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</si>
  <si>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</si>
  <si>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</si>
  <si>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</si>
  <si>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</si>
  <si>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</si>
  <si>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</si>
  <si>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</si>
  <si>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</si>
  <si>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</si>
  <si>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</si>
  <si>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</si>
  <si>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</si>
  <si>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</si>
  <si>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</si>
  <si>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</si>
  <si>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</si>
  <si>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</si>
  <si>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</si>
  <si>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</si>
  <si>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</si>
  <si>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</si>
  <si>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</si>
  <si>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</si>
  <si>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</si>
  <si>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</si>
  <si>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</si>
  <si>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</si>
  <si>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</si>
  <si>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</si>
  <si>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</si>
  <si>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</si>
  <si>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</si>
  <si>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</si>
  <si>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</si>
  <si>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</si>
  <si>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</si>
  <si>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</si>
  <si>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</si>
  <si>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</si>
  <si>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</si>
  <si>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</si>
  <si>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</si>
  <si>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</si>
  <si>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</si>
  <si>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</si>
  <si>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</si>
  <si>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</si>
  <si>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</si>
  <si>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</si>
  <si>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</si>
  <si>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</si>
  <si>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</si>
  <si>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</si>
  <si>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</si>
  <si>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</si>
  <si>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</si>
  <si>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</si>
  <si>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</si>
  <si>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</si>
  <si>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</si>
  <si>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</si>
  <si>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</si>
  <si>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</si>
  <si>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</si>
  <si>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</si>
  <si>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</si>
  <si>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</si>
  <si>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</si>
  <si>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</si>
  <si>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</si>
  <si>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</si>
  <si>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</si>
  <si>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</si>
  <si>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</si>
  <si>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</si>
  <si>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</si>
  <si>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</si>
  <si>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</si>
  <si>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</si>
  <si>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</si>
  <si>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</si>
  <si>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</si>
  <si>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</si>
  <si>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</si>
  <si>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</si>
  <si>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</si>
  <si>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</si>
  <si>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</si>
  <si>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</si>
  <si>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</si>
  <si>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</si>
  <si>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</si>
  <si>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</si>
  <si>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</si>
  <si>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</si>
  <si>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</si>
  <si>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</si>
  <si>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</si>
  <si>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</si>
  <si>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</si>
  <si>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</si>
  <si>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</si>
  <si>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</si>
  <si>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</si>
  <si>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</si>
  <si>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</si>
  <si>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</si>
  <si>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</si>
  <si>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</si>
  <si>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</si>
  <si>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</si>
  <si>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</si>
  <si>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</si>
  <si>
    <t>String 3</t>
  </si>
  <si>
    <t>MpptA3</t>
  </si>
  <si>
    <t>MpptA4</t>
  </si>
  <si>
    <t>MpptB3</t>
  </si>
  <si>
    <t>MpptB4</t>
  </si>
  <si>
    <t>Preliminary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</si>
</sst>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2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/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241300</xdr:colOff>
      <xdr:row>0</xdr:row>
      <xdr:rowOff>63500</xdr:rowOff>
    </xdr:from>
    <xdr:to>
      <xdr:col>1</xdr:col>
      <xdr:colOff>1663701</xdr:colOff>
      <xdr:row>5</xdr:row>
      <xdr:rowOff>86160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B91EF20-F8FD-994E-B336-429000199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6800" y="63500"/>
          <a:ext cx="1422401" cy="10386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62573" y="5812704"/>
          <a:ext cx="269224" cy="626461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3036347" y="466231"/>
          <a:ext cx="603322" cy="371544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75429" y="466231"/>
          <a:ext cx="603322" cy="371544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301532" y="7294035"/>
          <a:ext cx="994868" cy="1567744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744601" y="7733865"/>
          <a:ext cx="514076" cy="820204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1067598" y="7677731"/>
          <a:ext cx="3948684" cy="1225849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438900" y="7726057"/>
          <a:ext cx="1017983" cy="553246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448774" y="5949396"/>
          <a:ext cx="2567441" cy="236508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19</xdr:row>
      <xdr:rowOff>98777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3852333"/>
          <a:ext cx="4799769" cy="543842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373237" y="9269600"/>
          <a:ext cx="507999" cy="388068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2034559" y="497679"/>
          <a:ext cx="603322" cy="371544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2006600" y="3510844"/>
          <a:ext cx="2626369" cy="211292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200401" y="7051111"/>
          <a:ext cx="250595" cy="271170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200401" y="4609868"/>
          <a:ext cx="250595" cy="281811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224868" y="5864648"/>
          <a:ext cx="269224" cy="640316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139118" y="3386052"/>
          <a:ext cx="5216726" cy="4197261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98133" y="5109471"/>
          <a:ext cx="3950956" cy="7243232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148667" y="5349290"/>
          <a:ext cx="250595" cy="281812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9105618" y="719409"/>
          <a:ext cx="6773117" cy="1651258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46</xdr:col>
      <xdr:colOff>181424</xdr:colOff>
      <xdr:row>21</xdr:row>
      <xdr:rowOff>175126</xdr:rowOff>
    </xdr:from>
    <xdr:to>
      <xdr:col>58</xdr:col>
      <xdr:colOff>239310</xdr:colOff>
      <xdr:row>42</xdr:row>
      <xdr:rowOff>22131</xdr:rowOff>
    </xdr:to>
    <xdr:grpSp>
      <xdr:nvGrpSpPr>
        <xdr:cNvPr id="278" name="Parra.A2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GrpSpPr/>
      </xdr:nvGrpSpPr>
      <xdr:grpSpPr>
        <a:xfrm>
          <a:off x="11865424" y="4323793"/>
          <a:ext cx="3105886" cy="3995671"/>
          <a:chOff x="11764916" y="1681198"/>
          <a:chExt cx="3106244" cy="4236144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200-000017010000}"/>
              </a:ext>
            </a:extLst>
          </xdr:cNvPr>
          <xdr:cNvGrpSpPr/>
        </xdr:nvGrpSpPr>
        <xdr:grpSpPr>
          <a:xfrm>
            <a:off x="11764916" y="1681198"/>
            <a:ext cx="3104115" cy="4236144"/>
            <a:chOff x="7816995" y="6041149"/>
            <a:chExt cx="3104129" cy="3953116"/>
          </a:xfrm>
        </xdr:grpSpPr>
        <xdr:grpSp>
          <xdr:nvGrpSpPr>
            <xdr:cNvPr id="281" name="Group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GrpSpPr/>
          </xdr:nvGrpSpPr>
          <xdr:grpSpPr>
            <a:xfrm>
              <a:off x="7851537" y="6041149"/>
              <a:ext cx="3069587" cy="1214493"/>
              <a:chOff x="7344413" y="3624645"/>
              <a:chExt cx="3069587" cy="1214493"/>
            </a:xfrm>
          </xdr:grpSpPr>
          <xdr:grpSp>
            <xdr:nvGrpSpPr>
              <xdr:cNvPr id="286" name="Group 285">
                <a:extLst>
                  <a:ext uri="{FF2B5EF4-FFF2-40B4-BE49-F238E27FC236}">
                    <a16:creationId xmlns:a16="http://schemas.microsoft.com/office/drawing/2014/main" id="{00000000-0008-0000-0200-00001E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88" name="Group 287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90" name="Group 289">
                    <a:extLst>
                      <a:ext uri="{FF2B5EF4-FFF2-40B4-BE49-F238E27FC236}">
                        <a16:creationId xmlns:a16="http://schemas.microsoft.com/office/drawing/2014/main" id="{00000000-0008-0000-0200-000022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99" name="Shape 46">
                      <a:extLst>
                        <a:ext uri="{FF2B5EF4-FFF2-40B4-BE49-F238E27FC236}">
                          <a16:creationId xmlns:a16="http://schemas.microsoft.com/office/drawing/2014/main" id="{00000000-0008-0000-0200-00002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00" name="Rectangle 299">
                      <a:extLst>
                        <a:ext uri="{FF2B5EF4-FFF2-40B4-BE49-F238E27FC236}">
                          <a16:creationId xmlns:a16="http://schemas.microsoft.com/office/drawing/2014/main" id="{00000000-0008-0000-0200-00002C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01" name="Shape 46">
                      <a:extLst>
                        <a:ext uri="{FF2B5EF4-FFF2-40B4-BE49-F238E27FC236}">
                          <a16:creationId xmlns:a16="http://schemas.microsoft.com/office/drawing/2014/main" id="{00000000-0008-0000-0200-00002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91" name="Group 290">
                    <a:extLst>
                      <a:ext uri="{FF2B5EF4-FFF2-40B4-BE49-F238E27FC236}">
                        <a16:creationId xmlns:a16="http://schemas.microsoft.com/office/drawing/2014/main" id="{00000000-0008-0000-0200-000023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96" name="Shape 46">
                      <a:extLst>
                        <a:ext uri="{FF2B5EF4-FFF2-40B4-BE49-F238E27FC236}">
                          <a16:creationId xmlns:a16="http://schemas.microsoft.com/office/drawing/2014/main" id="{00000000-0008-0000-0200-00002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97" name="Rectangle 296">
                      <a:extLst>
                        <a:ext uri="{FF2B5EF4-FFF2-40B4-BE49-F238E27FC236}">
                          <a16:creationId xmlns:a16="http://schemas.microsoft.com/office/drawing/2014/main" id="{00000000-0008-0000-0200-000029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98" name="Shape 46">
                      <a:extLst>
                        <a:ext uri="{FF2B5EF4-FFF2-40B4-BE49-F238E27FC236}">
                          <a16:creationId xmlns:a16="http://schemas.microsoft.com/office/drawing/2014/main" id="{00000000-0008-0000-0200-00002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92" name="Shape 27">
                    <a:extLst>
                      <a:ext uri="{FF2B5EF4-FFF2-40B4-BE49-F238E27FC236}">
                        <a16:creationId xmlns:a16="http://schemas.microsoft.com/office/drawing/2014/main" id="{00000000-0008-0000-0200-000024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3" name="Shape 27">
                    <a:extLst>
                      <a:ext uri="{FF2B5EF4-FFF2-40B4-BE49-F238E27FC236}">
                        <a16:creationId xmlns:a16="http://schemas.microsoft.com/office/drawing/2014/main" id="{00000000-0008-0000-0200-000025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4" name="Shape 27">
                    <a:extLst>
                      <a:ext uri="{FF2B5EF4-FFF2-40B4-BE49-F238E27FC236}">
                        <a16:creationId xmlns:a16="http://schemas.microsoft.com/office/drawing/2014/main" id="{00000000-0008-0000-0200-000026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5" name="Shape 27">
                    <a:extLst>
                      <a:ext uri="{FF2B5EF4-FFF2-40B4-BE49-F238E27FC236}">
                        <a16:creationId xmlns:a16="http://schemas.microsoft.com/office/drawing/2014/main" id="{00000000-0008-0000-0200-000027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89" name="Elbow Connector 288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CxnSpPr>
                  <a:stCxn id="297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87" name="Straight Connector 286">
                <a:extLst>
                  <a:ext uri="{FF2B5EF4-FFF2-40B4-BE49-F238E27FC236}">
                    <a16:creationId xmlns:a16="http://schemas.microsoft.com/office/drawing/2014/main" id="{00000000-0008-0000-0200-00001F010000}"/>
                  </a:ext>
                </a:extLst>
              </xdr:cNvPr>
              <xdr:cNvCxnSpPr>
                <a:stCxn id="300" idx="1"/>
              </xdr:cNvCxnSpPr>
            </xdr:nvCxnSpPr>
            <xdr:spPr>
              <a:xfrm flipH="1">
                <a:off x="7344413" y="4027589"/>
                <a:ext cx="1293176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82" name="Straight Connector 281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CxnSpPr/>
          </xdr:nvCxnSpPr>
          <xdr:spPr>
            <a:xfrm>
              <a:off x="8133572" y="7259130"/>
              <a:ext cx="0" cy="270312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Straight Connector 282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CxnSpPr/>
          </xdr:nvCxnSpPr>
          <xdr:spPr>
            <a:xfrm>
              <a:off x="7843922" y="6441788"/>
              <a:ext cx="0" cy="331440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4" name="Shape 27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7816995" y="9727012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5" name="Shape 27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/>
          </xdr:nvSpPr>
          <xdr:spPr>
            <a:xfrm>
              <a:off x="8103131" y="9928533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80" name="Straight Connector 279">
            <a:extLst>
              <a:ext uri="{FF2B5EF4-FFF2-40B4-BE49-F238E27FC236}">
                <a16:creationId xmlns:a16="http://schemas.microsoft.com/office/drawing/2014/main" id="{00000000-0008-0000-0200-000018010000}"/>
              </a:ext>
            </a:extLst>
          </xdr:cNvPr>
          <xdr:cNvCxnSpPr/>
        </xdr:nvCxnSpPr>
        <xdr:spPr>
          <a:xfrm flipH="1">
            <a:off x="12088038" y="2978366"/>
            <a:ext cx="278312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 editAs="oneCell">
    <xdr:from>
      <xdr:col>2</xdr:col>
      <xdr:colOff>67734</xdr:colOff>
      <xdr:row>69</xdr:row>
      <xdr:rowOff>169334</xdr:rowOff>
    </xdr:from>
    <xdr:to>
      <xdr:col>7</xdr:col>
      <xdr:colOff>203200</xdr:colOff>
      <xdr:row>73</xdr:row>
      <xdr:rowOff>29986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734" y="14190134"/>
          <a:ext cx="1405466" cy="673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101599</xdr:colOff>
      <xdr:row>68</xdr:row>
      <xdr:rowOff>117040</xdr:rowOff>
    </xdr:from>
    <xdr:to>
      <xdr:col>19</xdr:col>
      <xdr:colOff>0</xdr:colOff>
      <xdr:row>73</xdr:row>
      <xdr:rowOff>139700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3599" y="13934640"/>
          <a:ext cx="1422401" cy="10386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topLeftCell="A4" zoomScale="99" workbookViewId="0">
      <selection activeCell="F9" sqref="F9"/>
    </sheetView>
  </sheetViews>
  <sheetFormatPr baseColWidth="10" defaultRowHeight="16" x14ac:dyDescent="0.2"/>
  <cols>
    <col min="1" max="1" width="22.1640625" style="122" customWidth="1"/>
    <col min="2" max="2" width="37.1640625" style="53" customWidth="1"/>
    <col min="3" max="3" width="19.1640625" style="145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2" customWidth="1"/>
  </cols>
  <sheetData>
    <row r="1" spans="1:8" x14ac:dyDescent="0.2">
      <c r="A1" s="153" t="s">
        <v>96</v>
      </c>
      <c r="B1" s="153"/>
      <c r="C1" s="153" t="s">
        <v>133</v>
      </c>
      <c r="D1" s="153"/>
    </row>
    <row r="2" spans="1:8" x14ac:dyDescent="0.2">
      <c r="A2" s="89" t="s">
        <v>97</v>
      </c>
      <c r="B2" s="89">
        <v>26181</v>
      </c>
      <c r="C2" s="147" t="s">
        <v>141</v>
      </c>
      <c r="D2" s="89"/>
    </row>
    <row r="3" spans="1:8" ht="17" x14ac:dyDescent="0.2">
      <c r="A3" s="90" t="s">
        <v>99</v>
      </c>
      <c r="B3" s="89" t="s">
        <v>95</v>
      </c>
      <c r="C3" s="146" t="s">
        <v>134</v>
      </c>
      <c r="D3" s="142"/>
    </row>
    <row r="4" spans="1:8" ht="24" customHeight="1" x14ac:dyDescent="0.2">
      <c r="A4" s="89" t="s">
        <v>98</v>
      </c>
      <c r="B4" s="89" t="s">
        <v>109</v>
      </c>
      <c r="C4" s="146" t="s">
        <v>135</v>
      </c>
      <c r="D4" s="142"/>
    </row>
    <row r="5" spans="1:8" x14ac:dyDescent="0.2">
      <c r="A5" s="89" t="s">
        <v>66</v>
      </c>
      <c r="B5" s="89">
        <v>1</v>
      </c>
      <c r="C5" s="146" t="s">
        <v>136</v>
      </c>
      <c r="D5" s="142"/>
    </row>
    <row r="6" spans="1:8" x14ac:dyDescent="0.2">
      <c r="A6" s="139"/>
      <c r="B6" s="139"/>
      <c r="C6" s="146" t="s">
        <v>137</v>
      </c>
      <c r="D6" s="142"/>
    </row>
    <row r="7" spans="1:8" x14ac:dyDescent="0.2">
      <c r="A7" s="139"/>
      <c r="B7" s="139"/>
      <c r="C7" s="146" t="s">
        <v>138</v>
      </c>
      <c r="D7" s="142"/>
    </row>
    <row r="8" spans="1:8" x14ac:dyDescent="0.2">
      <c r="A8" s="139"/>
      <c r="B8" s="139"/>
      <c r="C8" s="146" t="s">
        <v>139</v>
      </c>
      <c r="D8" s="142"/>
    </row>
    <row r="9" spans="1:8" x14ac:dyDescent="0.2">
      <c r="C9" s="146" t="s">
        <v>140</v>
      </c>
      <c r="D9" s="142"/>
    </row>
    <row r="10" spans="1:8" x14ac:dyDescent="0.2">
      <c r="A10" s="154" t="s">
        <v>105</v>
      </c>
      <c r="B10" s="155"/>
      <c r="C10" s="147" t="s">
        <v>142</v>
      </c>
      <c r="D10" s="89"/>
      <c r="E10" s="123"/>
      <c r="F10" s="125"/>
    </row>
    <row r="11" spans="1:8" x14ac:dyDescent="0.2">
      <c r="A11" s="124" t="s">
        <v>100</v>
      </c>
      <c r="B11" s="92" t="s">
        <v>75</v>
      </c>
      <c r="C11" s="143"/>
      <c r="D11" s="121"/>
      <c r="E11" s="123"/>
      <c r="F11" s="125"/>
      <c r="G11" s="125"/>
      <c r="H11" s="125"/>
    </row>
    <row r="12" spans="1:8" x14ac:dyDescent="0.2">
      <c r="A12" s="124" t="s">
        <v>101</v>
      </c>
      <c r="B12" s="92" t="s">
        <v>94</v>
      </c>
      <c r="C12" s="143"/>
      <c r="D12" s="121"/>
      <c r="E12" s="123"/>
      <c r="F12" s="125"/>
      <c r="G12" s="125"/>
      <c r="H12" s="125"/>
    </row>
    <row r="13" spans="1:8" x14ac:dyDescent="0.2">
      <c r="A13" s="124" t="s">
        <v>102</v>
      </c>
      <c r="B13" s="92">
        <v>18</v>
      </c>
      <c r="C13" s="143"/>
      <c r="D13" s="126"/>
      <c r="E13" s="126"/>
      <c r="F13" s="119"/>
      <c r="G13" s="119"/>
      <c r="H13" s="121"/>
    </row>
    <row r="14" spans="1:8" x14ac:dyDescent="0.2">
      <c r="A14" s="89" t="s">
        <v>106</v>
      </c>
      <c r="B14" s="92">
        <v>365</v>
      </c>
    </row>
    <row r="15" spans="1:8" x14ac:dyDescent="0.2">
      <c r="A15" s="89" t="s">
        <v>107</v>
      </c>
      <c r="B15" s="91">
        <v>41.7</v>
      </c>
    </row>
    <row r="16" spans="1:8" x14ac:dyDescent="0.2">
      <c r="A16" s="89" t="s">
        <v>108</v>
      </c>
      <c r="B16" s="91">
        <v>10.88</v>
      </c>
      <c r="C16" s="144"/>
      <c r="D16" s="127"/>
      <c r="E16" s="127"/>
      <c r="F16" s="127"/>
    </row>
    <row r="17" spans="1:6" x14ac:dyDescent="0.2">
      <c r="B17" s="127"/>
      <c r="C17" s="144"/>
      <c r="D17" s="127"/>
      <c r="E17" s="127"/>
      <c r="F17" s="127"/>
    </row>
    <row r="18" spans="1:6" x14ac:dyDescent="0.2">
      <c r="A18" s="153" t="s">
        <v>110</v>
      </c>
      <c r="B18" s="153"/>
      <c r="E18" s="127"/>
      <c r="F18" s="127"/>
    </row>
    <row r="19" spans="1:6" x14ac:dyDescent="0.2">
      <c r="A19" s="89" t="s">
        <v>103</v>
      </c>
      <c r="B19" s="89" t="s">
        <v>113</v>
      </c>
      <c r="E19" s="127"/>
      <c r="F19" s="127"/>
    </row>
    <row r="20" spans="1:6" ht="16" customHeight="1" x14ac:dyDescent="0.2">
      <c r="A20" s="89" t="s">
        <v>104</v>
      </c>
      <c r="B20" s="89" t="s">
        <v>114</v>
      </c>
      <c r="E20" s="127"/>
      <c r="F20" s="127"/>
    </row>
    <row r="21" spans="1:6" ht="16" customHeight="1" x14ac:dyDescent="0.2">
      <c r="A21" s="89" t="s">
        <v>111</v>
      </c>
      <c r="B21" s="89">
        <v>1</v>
      </c>
      <c r="E21" s="127"/>
      <c r="F21" s="127"/>
    </row>
    <row r="22" spans="1:6" x14ac:dyDescent="0.2">
      <c r="A22" s="89" t="s">
        <v>112</v>
      </c>
      <c r="B22" s="89">
        <v>22</v>
      </c>
      <c r="E22" s="127"/>
      <c r="F22" s="127"/>
    </row>
    <row r="23" spans="1:6" x14ac:dyDescent="0.2">
      <c r="A23" s="89" t="s">
        <v>55</v>
      </c>
      <c r="B23" s="89">
        <v>4.2</v>
      </c>
      <c r="E23" s="127"/>
      <c r="F23" s="127"/>
    </row>
    <row r="24" spans="1:6" x14ac:dyDescent="0.2">
      <c r="A24" s="89" t="s">
        <v>115</v>
      </c>
      <c r="B24" s="89">
        <v>12</v>
      </c>
      <c r="E24" s="127"/>
      <c r="F24" s="127"/>
    </row>
    <row r="25" spans="1:6" x14ac:dyDescent="0.2">
      <c r="A25" s="89" t="s">
        <v>116</v>
      </c>
      <c r="B25" s="89"/>
      <c r="E25" s="127"/>
      <c r="F25" s="127"/>
    </row>
    <row r="26" spans="1:6" x14ac:dyDescent="0.2">
      <c r="A26" s="89" t="s">
        <v>117</v>
      </c>
      <c r="B26" s="89">
        <v>12</v>
      </c>
    </row>
    <row r="27" spans="1:6" x14ac:dyDescent="0.2">
      <c r="A27" s="128" t="s">
        <v>118</v>
      </c>
      <c r="B27" s="128"/>
    </row>
    <row r="28" spans="1:6" x14ac:dyDescent="0.2">
      <c r="A28" s="89" t="s">
        <v>148</v>
      </c>
      <c r="B28" s="89"/>
    </row>
    <row r="29" spans="1:6" x14ac:dyDescent="0.2">
      <c r="A29" s="89" t="s">
        <v>149</v>
      </c>
      <c r="B29" s="89"/>
    </row>
    <row r="30" spans="1:6" x14ac:dyDescent="0.2">
      <c r="A30" s="89" t="s">
        <v>150</v>
      </c>
      <c r="B30" s="89"/>
    </row>
    <row r="31" spans="1:6" x14ac:dyDescent="0.2">
      <c r="A31" s="128" t="s">
        <v>151</v>
      </c>
      <c r="B31" s="128"/>
    </row>
    <row r="32" spans="1:6" x14ac:dyDescent="0.2">
      <c r="A32" s="89" t="s">
        <v>124</v>
      </c>
      <c r="B32" s="89"/>
    </row>
    <row r="33" spans="1:2" x14ac:dyDescent="0.2">
      <c r="A33" s="156" t="s">
        <v>119</v>
      </c>
      <c r="B33" s="156"/>
    </row>
    <row r="34" spans="1:2" x14ac:dyDescent="0.2">
      <c r="A34" s="89" t="s">
        <v>120</v>
      </c>
      <c r="B34" s="89"/>
    </row>
    <row r="35" spans="1:2" x14ac:dyDescent="0.2">
      <c r="A35" s="89" t="s">
        <v>121</v>
      </c>
      <c r="B35" s="89"/>
    </row>
    <row r="36" spans="1:2" x14ac:dyDescent="0.2">
      <c r="A36" s="89" t="s">
        <v>122</v>
      </c>
      <c r="B36" s="89"/>
    </row>
    <row r="37" spans="1:2" x14ac:dyDescent="0.2">
      <c r="A37" s="89" t="s">
        <v>123</v>
      </c>
      <c r="B37" s="89"/>
    </row>
    <row r="38" spans="1:2" x14ac:dyDescent="0.2">
      <c r="A38" s="89" t="s">
        <v>132</v>
      </c>
      <c r="B38" s="89"/>
    </row>
    <row r="39" spans="1:2" x14ac:dyDescent="0.2">
      <c r="A39" s="89" t="s">
        <v>143</v>
      </c>
      <c r="B39" s="89"/>
    </row>
    <row r="40" spans="1:2" x14ac:dyDescent="0.2">
      <c r="A40" s="89" t="s">
        <v>144</v>
      </c>
      <c r="B40" s="89"/>
    </row>
    <row r="41" spans="1:2" x14ac:dyDescent="0.2">
      <c r="A41" s="89" t="s">
        <v>145</v>
      </c>
      <c r="B41" s="89"/>
    </row>
    <row r="42" spans="1:2" x14ac:dyDescent="0.2">
      <c r="A42" s="150" t="s">
        <v>125</v>
      </c>
      <c r="B42" s="150"/>
    </row>
    <row r="43" spans="1:2" x14ac:dyDescent="0.2">
      <c r="A43" s="89" t="s">
        <v>126</v>
      </c>
      <c r="B43" s="89"/>
    </row>
    <row r="44" spans="1:2" x14ac:dyDescent="0.2">
      <c r="A44" s="89" t="s">
        <v>131</v>
      </c>
      <c r="B44" s="89"/>
    </row>
  </sheetData>
  <mergeCells count="5">
    <mergeCell ref="C1:D1"/>
    <mergeCell ref="A1:B1"/>
    <mergeCell ref="A10:B10"/>
    <mergeCell ref="A18:B18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abSelected="1" workbookViewId="0">
      <selection activeCell="E35" sqref="E35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64</v>
      </c>
      <c r="C30" s="55" t="str">
        <f>Param!B3</f>
        <v xml:space="preserve">Miller, Ian </v>
      </c>
      <c r="D30" s="54" t="s">
        <v>65</v>
      </c>
      <c r="E30" s="157" t="str">
        <f>Param!B4</f>
        <v>154 Princeton Ave  Adamstown Heights</v>
      </c>
      <c r="F30" s="158"/>
      <c r="G30" s="159"/>
    </row>
    <row r="31" spans="2:7" ht="17" thickBot="1" x14ac:dyDescent="0.25">
      <c r="B31" s="160">
        <f>Param!B39</f>
        <v>0</v>
      </c>
      <c r="C31" s="161"/>
      <c r="D31" s="160">
        <f>Param!B40</f>
        <v>0</v>
      </c>
      <c r="E31" s="161"/>
      <c r="F31" s="162">
        <f>Param!B41</f>
        <v>0</v>
      </c>
      <c r="G31" s="163"/>
    </row>
    <row r="32" spans="2:7" x14ac:dyDescent="0.2">
      <c r="B32" s="56" t="s">
        <v>66</v>
      </c>
      <c r="C32" s="57">
        <f>Param!B21</f>
        <v>1</v>
      </c>
      <c r="D32" s="56" t="s">
        <v>66</v>
      </c>
      <c r="E32" s="57">
        <f>Param!B21</f>
        <v>1</v>
      </c>
      <c r="F32" s="58" t="s">
        <v>66</v>
      </c>
      <c r="G32" s="59">
        <f>Param!B21</f>
        <v>1</v>
      </c>
    </row>
    <row r="33" spans="2:7" x14ac:dyDescent="0.2">
      <c r="B33" s="56" t="s">
        <v>67</v>
      </c>
      <c r="C33" s="60" t="s">
        <v>68</v>
      </c>
      <c r="D33" s="56" t="s">
        <v>67</v>
      </c>
      <c r="E33" s="61" t="s">
        <v>68</v>
      </c>
      <c r="F33" s="62" t="s">
        <v>67</v>
      </c>
      <c r="G33" s="63" t="s">
        <v>68</v>
      </c>
    </row>
    <row r="34" spans="2:7" x14ac:dyDescent="0.2">
      <c r="B34" s="64" t="s">
        <v>69</v>
      </c>
      <c r="C34" s="65">
        <v>16</v>
      </c>
      <c r="D34" s="64" t="s">
        <v>69</v>
      </c>
      <c r="E34" s="65">
        <v>16</v>
      </c>
      <c r="F34" s="64" t="s">
        <v>69</v>
      </c>
      <c r="G34" s="66">
        <f>Param!B37</f>
        <v>0</v>
      </c>
    </row>
    <row r="35" spans="2:7" x14ac:dyDescent="0.2">
      <c r="B35" s="67" t="s">
        <v>70</v>
      </c>
      <c r="C35" s="68">
        <f>Param!B34</f>
        <v>0</v>
      </c>
      <c r="D35" s="67" t="s">
        <v>70</v>
      </c>
      <c r="E35" s="69">
        <f>Param!B35</f>
        <v>0</v>
      </c>
      <c r="F35" s="67" t="s">
        <v>70</v>
      </c>
      <c r="G35" s="69">
        <f>Param!B36</f>
        <v>0</v>
      </c>
    </row>
    <row r="36" spans="2:7" x14ac:dyDescent="0.2">
      <c r="B36" s="67" t="s">
        <v>71</v>
      </c>
      <c r="C36" s="70">
        <f>Param!B22</f>
        <v>22</v>
      </c>
      <c r="D36" s="67" t="s">
        <v>71</v>
      </c>
      <c r="E36" s="71">
        <f>Param!B22</f>
        <v>22</v>
      </c>
      <c r="F36" s="67" t="s">
        <v>71</v>
      </c>
      <c r="G36" s="71">
        <f>Param!B22</f>
        <v>22</v>
      </c>
    </row>
    <row r="37" spans="2:7" ht="17" thickBot="1" x14ac:dyDescent="0.25">
      <c r="B37" s="72" t="s">
        <v>72</v>
      </c>
      <c r="C37" s="73" cm="1">
        <f t="array" ref="C37">AmPerPcntVd(C34,C32)</f>
        <v>818</v>
      </c>
      <c r="D37" s="74" t="s">
        <v>72</v>
      </c>
      <c r="E37" s="73" cm="1">
        <f t="array" ref="E37">AmPerPcntVd(E34,E32)</f>
        <v>818</v>
      </c>
      <c r="F37" s="74" t="s">
        <v>72</v>
      </c>
      <c r="G37" s="75" cm="1">
        <f t="array" ref="G37">AmPerPcntVd(G34,G32)</f>
        <v>0</v>
      </c>
    </row>
    <row r="38" spans="2:7" ht="17" thickBot="1" x14ac:dyDescent="0.25">
      <c r="B38" s="76" t="s">
        <v>73</v>
      </c>
      <c r="C38" s="77" cm="1">
        <f t="array" ref="C38">VoltageDrop(C36,C34,C35,C32)/100</f>
        <v>0</v>
      </c>
      <c r="D38" s="78" t="s">
        <v>73</v>
      </c>
      <c r="E38" s="77" cm="1">
        <f t="array" ref="E38">VoltageDrop(E36,E34,E35,E32)/100</f>
        <v>0</v>
      </c>
      <c r="F38" s="78" t="s">
        <v>73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74</v>
      </c>
      <c r="C39" s="79">
        <f>C38*IF(C32=1,230,400)</f>
        <v>0</v>
      </c>
      <c r="D39" s="76" t="s">
        <v>74</v>
      </c>
      <c r="E39" s="79">
        <f>E38*IF(E32=1,230,400)</f>
        <v>0</v>
      </c>
      <c r="F39" s="76" t="s">
        <v>74</v>
      </c>
      <c r="G39" s="83" t="e">
        <f>G38*IF(G32=1,230,400)</f>
        <v>#VALUE!</v>
      </c>
    </row>
    <row r="40" spans="2:7" x14ac:dyDescent="0.2">
      <c r="B40" s="164" t="s">
        <v>24</v>
      </c>
      <c r="C40" s="140" t="str">
        <f>_xlfn.CONCAT(Param!B38)</f>
        <v/>
      </c>
      <c r="D40" s="80"/>
      <c r="E40" s="80"/>
      <c r="F40" s="166" t="e">
        <f>C38+G38+E38</f>
        <v>#VALUE!</v>
      </c>
      <c r="G40" s="168" t="e">
        <f>G39+E39+C39</f>
        <v>#VALUE!</v>
      </c>
    </row>
    <row r="41" spans="2:7" ht="17" thickBot="1" x14ac:dyDescent="0.25">
      <c r="B41" s="165"/>
      <c r="C41" s="81"/>
      <c r="D41" s="82"/>
      <c r="E41" s="82"/>
      <c r="F41" s="167"/>
      <c r="G41" s="169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opLeftCell="A41" zoomScale="90" zoomScaleNormal="90" workbookViewId="0">
      <selection activeCell="BN72" sqref="BN72:BP72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8" t="s">
        <v>91</v>
      </c>
      <c r="AK5" s="87" t="str">
        <f>IF(Param!D2=1,"Block Diagram","")</f>
        <v/>
      </c>
      <c r="BR5" s="47" t="s">
        <v>63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57</v>
      </c>
      <c r="BS6" s="38"/>
      <c r="BT6" s="38"/>
      <c r="BU6" s="38"/>
      <c r="BW6" s="186" t="str">
        <f>Param!B11</f>
        <v>LG Electronics</v>
      </c>
      <c r="BX6" s="186"/>
      <c r="BY6" s="186"/>
      <c r="BZ6" s="187"/>
    </row>
    <row r="7" spans="4:81" x14ac:dyDescent="0.2">
      <c r="BL7" s="51"/>
      <c r="BM7" s="51"/>
      <c r="BN7" s="51"/>
      <c r="BR7" s="44" t="s">
        <v>56</v>
      </c>
      <c r="BS7" s="38"/>
      <c r="BT7" s="38"/>
      <c r="BU7" s="38"/>
      <c r="BW7" s="188" t="str">
        <f>Param!B12</f>
        <v>LG NeON 2</v>
      </c>
      <c r="BX7" s="188"/>
      <c r="BY7" s="188"/>
      <c r="BZ7" s="189"/>
    </row>
    <row r="8" spans="4:81" x14ac:dyDescent="0.2">
      <c r="BL8" s="50"/>
      <c r="BM8" s="50"/>
      <c r="BN8" s="50"/>
      <c r="BR8" s="44" t="s">
        <v>127</v>
      </c>
      <c r="BS8" s="137"/>
      <c r="BT8" s="137"/>
      <c r="BU8" s="137"/>
      <c r="BV8" s="137"/>
      <c r="BW8" s="193">
        <f>Param!B13</f>
        <v>18</v>
      </c>
      <c r="BX8" s="193"/>
      <c r="BY8" s="193"/>
      <c r="BZ8" s="194"/>
    </row>
    <row r="9" spans="4:81" x14ac:dyDescent="0.2">
      <c r="BL9" s="49"/>
      <c r="BM9" s="49"/>
      <c r="BN9" s="49"/>
      <c r="BR9" s="44" t="s">
        <v>62</v>
      </c>
      <c r="BS9" s="38"/>
      <c r="BT9" s="38"/>
      <c r="BU9" s="38"/>
      <c r="BV9" s="38"/>
      <c r="BW9" s="178">
        <f>Param!B14</f>
        <v>365</v>
      </c>
      <c r="BX9" s="178"/>
      <c r="BY9" s="178"/>
      <c r="BZ9" s="179"/>
    </row>
    <row r="10" spans="4:81" x14ac:dyDescent="0.2">
      <c r="BR10" s="44" t="s">
        <v>61</v>
      </c>
      <c r="BS10" s="38"/>
      <c r="BT10" s="38"/>
      <c r="BU10" s="38"/>
      <c r="BV10" s="38"/>
      <c r="BW10" s="180">
        <f>Param!B15</f>
        <v>41.7</v>
      </c>
      <c r="BX10" s="180"/>
      <c r="BY10" s="180"/>
      <c r="BZ10" s="181"/>
    </row>
    <row r="11" spans="4:81" x14ac:dyDescent="0.2">
      <c r="BR11" s="44" t="s">
        <v>60</v>
      </c>
      <c r="BS11" s="138"/>
      <c r="BT11" s="138"/>
      <c r="BU11" s="138"/>
      <c r="BV11" s="138"/>
      <c r="BW11" s="182">
        <f>Param!B16</f>
        <v>10.88</v>
      </c>
      <c r="BX11" s="182"/>
      <c r="BY11" s="182"/>
      <c r="BZ11" s="183"/>
      <c r="CA11" s="195"/>
      <c r="CB11" s="195"/>
      <c r="CC11" s="195"/>
    </row>
    <row r="12" spans="4:81" x14ac:dyDescent="0.2">
      <c r="AM12" s="97" t="str">
        <f>IF(Param!D10&lt;&gt;"",_xlfn.CONCAT("Note: ",Param!D10),"")</f>
        <v/>
      </c>
      <c r="BR12" s="48" t="s">
        <v>128</v>
      </c>
      <c r="BS12" s="40"/>
      <c r="BT12" s="40"/>
      <c r="BU12" s="40"/>
      <c r="BV12" s="106"/>
      <c r="BW12" s="184">
        <f>BW8*Param!B14/1000</f>
        <v>6.57</v>
      </c>
      <c r="BX12" s="184"/>
      <c r="BY12" s="184"/>
      <c r="BZ12" s="185"/>
      <c r="CC12" s="107"/>
    </row>
    <row r="13" spans="4:81" x14ac:dyDescent="0.2">
      <c r="BR13" s="137"/>
      <c r="BS13" s="137"/>
      <c r="BT13" s="137"/>
      <c r="BU13" s="137"/>
      <c r="BV13" s="137"/>
      <c r="BW13" s="137"/>
      <c r="BX13" s="137"/>
      <c r="BY13" s="137"/>
      <c r="BZ13" s="137"/>
      <c r="CC13" s="107"/>
    </row>
    <row r="14" spans="4:81" x14ac:dyDescent="0.2">
      <c r="BR14" s="137"/>
      <c r="BS14" s="137"/>
      <c r="BT14" s="137"/>
      <c r="BU14" s="137"/>
      <c r="BV14" s="137"/>
      <c r="BW14" s="137"/>
      <c r="BX14" s="137"/>
      <c r="BY14" s="137"/>
      <c r="BZ14" s="137"/>
      <c r="CC14" s="107"/>
    </row>
    <row r="15" spans="4:81" x14ac:dyDescent="0.2">
      <c r="BK15" s="107"/>
      <c r="BL15" s="107"/>
      <c r="BM15" s="107"/>
      <c r="BR15" s="47" t="s">
        <v>59</v>
      </c>
      <c r="BS15" s="46"/>
      <c r="BT15" s="46"/>
      <c r="BU15" s="46"/>
      <c r="BV15" s="46"/>
      <c r="BW15" s="46"/>
      <c r="BX15" s="46"/>
      <c r="BY15" s="46"/>
      <c r="BZ15" s="45"/>
      <c r="CC15" s="107"/>
    </row>
    <row r="16" spans="4:81" x14ac:dyDescent="0.2">
      <c r="BR16" s="44" t="s">
        <v>58</v>
      </c>
      <c r="BS16" s="38"/>
      <c r="BT16" s="38"/>
      <c r="BU16" s="38"/>
      <c r="BV16" s="186">
        <v>1</v>
      </c>
      <c r="BW16" s="186"/>
      <c r="BX16" s="186"/>
      <c r="BY16" s="186"/>
      <c r="BZ16" s="187"/>
      <c r="CC16" s="107"/>
    </row>
    <row r="17" spans="4:82" x14ac:dyDescent="0.2"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R17" s="44" t="s">
        <v>57</v>
      </c>
      <c r="BS17" s="38"/>
      <c r="BT17" s="38"/>
      <c r="BU17" s="38"/>
      <c r="BV17" s="186" t="str">
        <f>Param!B19</f>
        <v>SMA</v>
      </c>
      <c r="BW17" s="186"/>
      <c r="BX17" s="186"/>
      <c r="BY17" s="186"/>
      <c r="BZ17" s="187"/>
      <c r="CA17" s="107"/>
      <c r="CB17" s="107"/>
      <c r="CC17" s="107"/>
    </row>
    <row r="18" spans="4:82" ht="16" customHeight="1" x14ac:dyDescent="0.2"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R18" s="43" t="s">
        <v>56</v>
      </c>
      <c r="BS18" s="42"/>
      <c r="BT18" s="38"/>
      <c r="BU18" s="38"/>
      <c r="BV18" s="186" t="str">
        <f>Param!B20</f>
        <v>SB4.0-1AV-40</v>
      </c>
      <c r="BW18" s="186"/>
      <c r="BX18" s="186"/>
      <c r="BY18" s="186"/>
      <c r="BZ18" s="187"/>
      <c r="CA18" s="38"/>
      <c r="CB18" s="38"/>
      <c r="CC18" s="38"/>
    </row>
    <row r="19" spans="4:82" ht="16" customHeight="1" x14ac:dyDescent="0.2"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R19" s="41" t="s">
        <v>55</v>
      </c>
      <c r="BS19" s="40"/>
      <c r="BT19" s="40"/>
      <c r="BU19" s="40"/>
      <c r="BV19" s="196">
        <f>Param!B23</f>
        <v>4.2</v>
      </c>
      <c r="BW19" s="196"/>
      <c r="BX19" s="196"/>
      <c r="BY19" s="196"/>
      <c r="BZ19" s="197"/>
      <c r="CA19" s="193"/>
      <c r="CB19" s="193"/>
      <c r="CC19" s="38"/>
    </row>
    <row r="20" spans="4:82" x14ac:dyDescent="0.2">
      <c r="Y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CC20" s="38"/>
    </row>
    <row r="21" spans="4:82" x14ac:dyDescent="0.2"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CC21" s="94"/>
    </row>
    <row r="22" spans="4:82" x14ac:dyDescent="0.2">
      <c r="CC22" s="96"/>
    </row>
    <row r="23" spans="4:82" x14ac:dyDescent="0.2">
      <c r="BR23" s="30" t="s">
        <v>76</v>
      </c>
      <c r="BS23" s="29"/>
      <c r="BT23" s="29"/>
      <c r="BU23" s="29"/>
      <c r="BV23" s="29"/>
      <c r="BW23" s="29"/>
      <c r="BX23" s="29"/>
      <c r="BY23" s="170" t="s">
        <v>77</v>
      </c>
      <c r="BZ23" s="171"/>
      <c r="CA23" s="170" t="s">
        <v>78</v>
      </c>
      <c r="CB23" s="171"/>
      <c r="CC23" s="170" t="s">
        <v>147</v>
      </c>
      <c r="CD23" s="171"/>
    </row>
    <row r="24" spans="4:82" x14ac:dyDescent="0.2">
      <c r="BR24" s="109" t="s">
        <v>79</v>
      </c>
      <c r="BS24" s="98"/>
      <c r="BT24" s="98"/>
      <c r="BU24" s="98"/>
      <c r="BV24" s="98"/>
      <c r="BW24" s="98"/>
      <c r="BX24" s="110"/>
      <c r="BY24" s="172">
        <f>Param!B24</f>
        <v>12</v>
      </c>
      <c r="BZ24" s="173"/>
      <c r="CA24" s="172">
        <f>Param!B25</f>
        <v>0</v>
      </c>
      <c r="CB24" s="173"/>
      <c r="CC24" s="172">
        <f>Param!B28</f>
        <v>0</v>
      </c>
      <c r="CD24" s="173"/>
    </row>
    <row r="25" spans="4:82" x14ac:dyDescent="0.2">
      <c r="BR25" s="99" t="s">
        <v>80</v>
      </c>
      <c r="BS25" s="108"/>
      <c r="BT25" s="108"/>
      <c r="BU25" s="108"/>
      <c r="BV25" s="108"/>
      <c r="BW25" s="108"/>
      <c r="BX25" s="101"/>
      <c r="BY25" s="174">
        <f>BY24*BW9</f>
        <v>4380</v>
      </c>
      <c r="BZ25" s="175"/>
      <c r="CA25" s="174">
        <f>CA24*BW9</f>
        <v>0</v>
      </c>
      <c r="CB25" s="175"/>
      <c r="CC25" s="174">
        <f>CC24*BW9</f>
        <v>0</v>
      </c>
      <c r="CD25" s="175"/>
    </row>
    <row r="26" spans="4:82" x14ac:dyDescent="0.2">
      <c r="BR26" s="99" t="s">
        <v>81</v>
      </c>
      <c r="BS26" s="108"/>
      <c r="BT26" s="108"/>
      <c r="BU26" s="108"/>
      <c r="BV26" s="108"/>
      <c r="BW26" s="108"/>
      <c r="BX26" s="101"/>
      <c r="BY26" s="174">
        <f>BY24*BW10*1.1</f>
        <v>550.44000000000005</v>
      </c>
      <c r="BZ26" s="175"/>
      <c r="CA26" s="174">
        <f>CA24*BW10*1.1</f>
        <v>0</v>
      </c>
      <c r="CB26" s="175"/>
      <c r="CC26" s="174">
        <f>CC24*BW10*1.1</f>
        <v>0</v>
      </c>
      <c r="CD26" s="175"/>
    </row>
    <row r="27" spans="4:82" x14ac:dyDescent="0.2">
      <c r="BR27" s="116" t="s">
        <v>82</v>
      </c>
      <c r="BS27" s="117"/>
      <c r="BT27" s="117"/>
      <c r="BU27" s="117"/>
      <c r="BV27" s="117"/>
      <c r="BW27" s="117"/>
      <c r="BX27" s="113"/>
      <c r="BY27" s="176">
        <f>IF(Param!B25&lt;&gt;"",BW11*2,BW11)</f>
        <v>10.88</v>
      </c>
      <c r="BZ27" s="177"/>
      <c r="CA27" s="176">
        <f>BW11*2</f>
        <v>21.76</v>
      </c>
      <c r="CB27" s="177"/>
      <c r="CC27" s="176">
        <f>BW11*2</f>
        <v>21.76</v>
      </c>
      <c r="CD27" s="177"/>
    </row>
    <row r="28" spans="4:82" x14ac:dyDescent="0.2">
      <c r="AJ28" s="11"/>
      <c r="BC28" s="151" t="str">
        <f>IF(Param!B28&lt;&gt;"",Param!B28,"")</f>
        <v/>
      </c>
      <c r="BD28" s="151" t="str">
        <f>IF(Param!B28&lt;&gt;"","Panels","")</f>
        <v/>
      </c>
      <c r="BK28" s="108"/>
      <c r="BL28" s="108"/>
      <c r="BM28" s="108"/>
      <c r="BN28" s="108"/>
      <c r="BO28" s="108"/>
      <c r="BP28" s="108"/>
      <c r="BQ28" s="108"/>
      <c r="BR28" s="136"/>
      <c r="BS28" s="136"/>
      <c r="BT28" s="133"/>
      <c r="BU28" s="133"/>
      <c r="BV28" s="134"/>
      <c r="BW28" s="134"/>
      <c r="BX28" s="132"/>
      <c r="BY28" s="132"/>
      <c r="BZ28" s="132"/>
      <c r="CA28" s="132"/>
      <c r="CB28" s="135"/>
      <c r="CC28" s="135"/>
    </row>
    <row r="29" spans="4:82" x14ac:dyDescent="0.2">
      <c r="L29" s="33"/>
      <c r="M29" s="32"/>
      <c r="BK29" s="108"/>
      <c r="BL29" s="108"/>
      <c r="BM29" s="108"/>
      <c r="BN29" s="108"/>
      <c r="BO29" s="108"/>
      <c r="BP29" s="108"/>
      <c r="BQ29" s="108"/>
      <c r="BR29" s="136"/>
      <c r="BS29" s="136"/>
      <c r="BT29" s="133"/>
      <c r="BU29" s="133"/>
      <c r="BV29" s="134"/>
      <c r="BW29" s="134"/>
      <c r="BX29" s="132"/>
      <c r="BY29" s="132"/>
      <c r="BZ29" s="132"/>
      <c r="CA29" s="132"/>
      <c r="CB29" s="135"/>
      <c r="CC29" s="135"/>
    </row>
    <row r="30" spans="4:82" x14ac:dyDescent="0.2">
      <c r="D30" s="129" t="str">
        <f>IF(Param!B43&lt;&gt;"","Main switch","")</f>
        <v/>
      </c>
      <c r="J30" s="115" t="s">
        <v>85</v>
      </c>
      <c r="BK30" s="108"/>
      <c r="BL30" s="108"/>
      <c r="BM30" s="108"/>
      <c r="BN30" s="108"/>
      <c r="BO30" s="108"/>
      <c r="BP30" s="108"/>
      <c r="BQ30" s="108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2" x14ac:dyDescent="0.2">
      <c r="D31" s="129" t="str">
        <f>IF(Param!B43&lt;&gt;"","Inverter supply","")</f>
        <v/>
      </c>
      <c r="J31" s="115" t="s">
        <v>86</v>
      </c>
      <c r="BK31" s="108"/>
      <c r="BL31" s="108"/>
      <c r="BM31" s="108"/>
      <c r="BN31" s="108"/>
      <c r="BO31" s="108"/>
      <c r="BP31" s="108"/>
      <c r="BQ31" s="108"/>
      <c r="BR31" s="20"/>
      <c r="BS31" s="20"/>
      <c r="BT31" s="226"/>
      <c r="BU31" s="226"/>
      <c r="BV31" s="227"/>
      <c r="BW31" s="227"/>
      <c r="BX31" s="210"/>
      <c r="BY31" s="210"/>
      <c r="BZ31" s="210"/>
      <c r="CA31" s="210"/>
      <c r="CB31" s="224"/>
      <c r="CC31" s="224"/>
    </row>
    <row r="32" spans="4:82" x14ac:dyDescent="0.2">
      <c r="BK32" s="31"/>
      <c r="BL32" s="31"/>
      <c r="BM32" s="108"/>
      <c r="BN32" s="108"/>
      <c r="BO32" s="108"/>
      <c r="BP32" s="108"/>
      <c r="BQ32" s="108"/>
      <c r="BR32" s="20"/>
      <c r="BS32" s="20"/>
      <c r="BT32" s="226"/>
      <c r="BU32" s="226"/>
      <c r="BV32" s="227"/>
      <c r="BW32" s="227"/>
      <c r="BX32" s="210"/>
      <c r="BY32" s="210"/>
      <c r="BZ32" s="210"/>
      <c r="CA32" s="210"/>
      <c r="CB32" s="224"/>
      <c r="CC32" s="224"/>
    </row>
    <row r="33" spans="17:82" x14ac:dyDescent="0.2">
      <c r="S33" s="115" t="s">
        <v>92</v>
      </c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225" t="s">
        <v>129</v>
      </c>
      <c r="BS33" s="220"/>
      <c r="BT33" s="220"/>
      <c r="BU33" s="220"/>
      <c r="BV33" s="220"/>
      <c r="BW33" s="220"/>
      <c r="BX33" s="220"/>
      <c r="BY33" s="220"/>
      <c r="BZ33" s="220"/>
      <c r="CA33" s="220"/>
      <c r="CB33" s="220"/>
      <c r="CC33" s="221"/>
    </row>
    <row r="34" spans="17:82" x14ac:dyDescent="0.2">
      <c r="S34" s="115" t="s">
        <v>83</v>
      </c>
      <c r="BE34" s="108"/>
      <c r="BF34" s="108"/>
      <c r="BG34" s="108"/>
      <c r="BH34" s="108"/>
      <c r="BI34" s="108"/>
      <c r="BK34" s="108"/>
      <c r="BL34" s="108"/>
      <c r="BM34" s="108"/>
      <c r="BN34" s="108"/>
      <c r="BO34" s="108"/>
      <c r="BP34" s="108"/>
      <c r="BQ34" s="108"/>
      <c r="BR34" s="229" t="s">
        <v>120</v>
      </c>
      <c r="BS34" s="230"/>
      <c r="BT34" s="230"/>
      <c r="BU34" s="231"/>
      <c r="BV34" s="232" t="s">
        <v>121</v>
      </c>
      <c r="BW34" s="233"/>
      <c r="BX34" s="233"/>
      <c r="BY34" s="234"/>
      <c r="BZ34" s="235" t="s">
        <v>130</v>
      </c>
      <c r="CA34" s="236"/>
      <c r="CB34" s="236"/>
      <c r="CC34" s="237"/>
    </row>
    <row r="35" spans="17:82" x14ac:dyDescent="0.2">
      <c r="BE35" s="108"/>
      <c r="BF35" s="108"/>
      <c r="BG35" s="108"/>
      <c r="BH35" s="108"/>
      <c r="BI35" s="108"/>
      <c r="BK35" s="108"/>
      <c r="BL35" s="108"/>
      <c r="BM35" s="108"/>
      <c r="BN35" s="108"/>
      <c r="BO35" s="108"/>
      <c r="BP35" s="108"/>
      <c r="BQ35" s="108"/>
      <c r="BR35" s="190">
        <f>Vrise!C32</f>
        <v>1</v>
      </c>
      <c r="BS35" s="191"/>
      <c r="BT35" s="191"/>
      <c r="BU35" s="192"/>
      <c r="BV35" s="190">
        <f>Vrise!E32</f>
        <v>1</v>
      </c>
      <c r="BW35" s="191"/>
      <c r="BX35" s="191"/>
      <c r="BY35" s="191"/>
      <c r="BZ35" s="190">
        <f>Vrise!G32</f>
        <v>1</v>
      </c>
      <c r="CA35" s="191"/>
      <c r="CB35" s="191"/>
      <c r="CC35" s="192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8"/>
      <c r="BF36" s="108"/>
      <c r="BG36" s="108"/>
      <c r="BH36" s="108"/>
      <c r="BI36" s="108"/>
      <c r="BK36" s="108"/>
      <c r="BL36" s="108"/>
      <c r="BM36" s="108"/>
      <c r="BN36" s="108"/>
      <c r="BO36" s="108"/>
      <c r="BP36" s="108"/>
      <c r="BQ36" s="108"/>
      <c r="BR36" s="213">
        <f>Vrise!C34</f>
        <v>16</v>
      </c>
      <c r="BS36" s="214"/>
      <c r="BT36" s="214"/>
      <c r="BU36" s="215"/>
      <c r="BV36" s="213">
        <f>Vrise!E34</f>
        <v>16</v>
      </c>
      <c r="BW36" s="214"/>
      <c r="BX36" s="214"/>
      <c r="BY36" s="215"/>
      <c r="BZ36" s="213">
        <f>Vrise!G34</f>
        <v>0</v>
      </c>
      <c r="CA36" s="214"/>
      <c r="CB36" s="214"/>
      <c r="CC36" s="215"/>
    </row>
    <row r="37" spans="17:82" x14ac:dyDescent="0.2">
      <c r="BE37" s="108"/>
      <c r="BF37" s="108"/>
      <c r="BG37" s="108"/>
      <c r="BH37" s="108"/>
      <c r="BI37" s="31"/>
      <c r="BJ37" s="31"/>
      <c r="BK37" s="108"/>
      <c r="BL37" s="108"/>
      <c r="BM37" s="108"/>
      <c r="BN37" s="108"/>
      <c r="BO37" s="108"/>
      <c r="BP37" s="108"/>
      <c r="BQ37" s="108"/>
      <c r="BR37" s="216" t="str">
        <f>_xlfn.CONCAT(Vrise!C36," A")</f>
        <v>22 A</v>
      </c>
      <c r="BS37" s="217"/>
      <c r="BT37" s="217"/>
      <c r="BU37" s="218"/>
      <c r="BV37" s="216" t="str">
        <f>_xlfn.CONCAT(Vrise!E36," A")</f>
        <v>22 A</v>
      </c>
      <c r="BW37" s="217"/>
      <c r="BX37" s="217"/>
      <c r="BY37" s="218"/>
      <c r="BZ37" s="216" t="str">
        <f>_xlfn.CONCAT(Vrise!G36," A")</f>
        <v>22 A</v>
      </c>
      <c r="CA37" s="217"/>
      <c r="CB37" s="217"/>
      <c r="CC37" s="218"/>
    </row>
    <row r="38" spans="17:82" x14ac:dyDescent="0.2">
      <c r="BE38" s="108"/>
      <c r="BF38" s="108"/>
      <c r="BG38" s="108"/>
      <c r="BH38" s="108"/>
      <c r="BI38" s="108"/>
      <c r="BQ38" s="8"/>
      <c r="BR38" s="228" t="str">
        <f>_xlfn.CONCAT(Vrise!C35," m")</f>
        <v>0 m</v>
      </c>
      <c r="BS38" s="193"/>
      <c r="BT38" s="193"/>
      <c r="BU38" s="194"/>
      <c r="BV38" s="228" t="str">
        <f>_xlfn.CONCAT(Vrise!E35," m")</f>
        <v>0 m</v>
      </c>
      <c r="BW38" s="193"/>
      <c r="BX38" s="193"/>
      <c r="BY38" s="194"/>
      <c r="BZ38" s="228" t="str">
        <f>_xlfn.CONCAT(Vrise!G35," m")</f>
        <v>0 m</v>
      </c>
      <c r="CA38" s="193"/>
      <c r="CB38" s="193"/>
      <c r="CC38" s="194"/>
    </row>
    <row r="39" spans="17:82" x14ac:dyDescent="0.2">
      <c r="BE39" s="108"/>
      <c r="BF39" s="108"/>
      <c r="BG39" s="108"/>
      <c r="BH39" s="108"/>
      <c r="BI39" s="108"/>
      <c r="BR39" s="219">
        <f>Vrise!C38</f>
        <v>0</v>
      </c>
      <c r="BS39" s="222"/>
      <c r="BT39" s="222"/>
      <c r="BU39" s="223"/>
      <c r="BV39" s="219">
        <f>Vrise!E38</f>
        <v>0</v>
      </c>
      <c r="BW39" s="220"/>
      <c r="BX39" s="220"/>
      <c r="BY39" s="221"/>
      <c r="BZ39" s="219" t="e">
        <f>Vrise!G38</f>
        <v>#VALUE!</v>
      </c>
      <c r="CA39" s="222"/>
      <c r="CB39" s="222"/>
      <c r="CC39" s="223"/>
    </row>
    <row r="40" spans="17:82" x14ac:dyDescent="0.2">
      <c r="BE40" s="108"/>
      <c r="BF40" s="108"/>
      <c r="BG40" s="108"/>
      <c r="BH40" s="108"/>
      <c r="BI40" s="108"/>
      <c r="BR40" s="210"/>
      <c r="BS40" s="210"/>
      <c r="BT40" s="210"/>
      <c r="BU40" s="210"/>
      <c r="BV40" s="210"/>
      <c r="BW40" s="210"/>
      <c r="BX40" s="210"/>
      <c r="BY40" s="210"/>
      <c r="BZ40" s="210"/>
      <c r="CA40" s="210"/>
      <c r="CB40" s="210"/>
    </row>
    <row r="41" spans="17:82" x14ac:dyDescent="0.2">
      <c r="BE41" s="108"/>
      <c r="BF41" s="108"/>
      <c r="BG41" s="108"/>
      <c r="BH41" s="108"/>
      <c r="BI41" s="108"/>
      <c r="BR41" s="210"/>
      <c r="BS41" s="210"/>
      <c r="BT41" s="210"/>
      <c r="BU41" s="210"/>
      <c r="BV41" s="210"/>
      <c r="BW41" s="210"/>
      <c r="BX41" s="210"/>
      <c r="BY41" s="210"/>
      <c r="BZ41" s="210"/>
      <c r="CA41" s="210"/>
      <c r="CB41" s="210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8"/>
      <c r="BF42" s="108"/>
      <c r="BG42" s="108"/>
      <c r="BH42" s="108"/>
      <c r="BI42" s="108"/>
      <c r="BR42" s="210"/>
      <c r="BS42" s="210"/>
      <c r="BT42" s="210"/>
      <c r="BU42" s="210"/>
      <c r="BV42" s="210"/>
      <c r="BW42" s="210"/>
      <c r="BX42" s="210"/>
      <c r="BY42" s="210"/>
      <c r="BZ42" s="210"/>
      <c r="CA42" s="210"/>
      <c r="CB42" s="210"/>
    </row>
    <row r="43" spans="17:82" x14ac:dyDescent="0.2">
      <c r="AA43" s="115" t="s">
        <v>88</v>
      </c>
    </row>
    <row r="44" spans="17:82" x14ac:dyDescent="0.2">
      <c r="AA44" s="115" t="s">
        <v>87</v>
      </c>
      <c r="AM44" s="115" t="s">
        <v>90</v>
      </c>
      <c r="AR44" s="115" t="s">
        <v>90</v>
      </c>
      <c r="BT44" s="106"/>
      <c r="BU44" s="106"/>
      <c r="BV44" s="106"/>
      <c r="BW44" s="106"/>
      <c r="BX44" s="106"/>
      <c r="BY44" s="106"/>
      <c r="BZ44" s="106"/>
      <c r="CA44" s="106"/>
      <c r="CB44" s="106"/>
    </row>
    <row r="45" spans="17:82" x14ac:dyDescent="0.2">
      <c r="AA45" s="115" t="s">
        <v>29</v>
      </c>
      <c r="AM45" s="115" t="s">
        <v>89</v>
      </c>
      <c r="AR45" s="115" t="s">
        <v>89</v>
      </c>
      <c r="BC45" s="97">
        <f>Param!B24</f>
        <v>12</v>
      </c>
      <c r="BD45" s="97" t="s">
        <v>35</v>
      </c>
      <c r="BR45" s="30" t="s">
        <v>44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38</v>
      </c>
      <c r="AM46" s="115" t="s">
        <v>47</v>
      </c>
      <c r="AR46" s="115" t="s">
        <v>46</v>
      </c>
      <c r="BR46" s="109" t="s">
        <v>43</v>
      </c>
      <c r="BS46" s="98"/>
      <c r="BT46" s="98"/>
      <c r="BU46" s="110"/>
      <c r="BV46" s="27" t="s">
        <v>42</v>
      </c>
      <c r="BW46" s="109" t="s">
        <v>41</v>
      </c>
      <c r="BX46" s="98"/>
      <c r="BY46" s="98"/>
      <c r="BZ46" s="98"/>
      <c r="CA46" s="98"/>
      <c r="CB46" s="98"/>
      <c r="CC46" s="98"/>
      <c r="CD46" s="110"/>
    </row>
    <row r="47" spans="17:82" x14ac:dyDescent="0.2">
      <c r="AH47" s="97" t="s">
        <v>33</v>
      </c>
      <c r="BR47" s="99" t="s">
        <v>40</v>
      </c>
      <c r="BS47" s="108"/>
      <c r="BT47" s="108"/>
      <c r="BU47" s="101"/>
      <c r="BV47" s="25">
        <f>SUM(BY24:CD24)</f>
        <v>12</v>
      </c>
      <c r="BW47" s="99" t="str">
        <f>_xlfn.CONCAT(BW7," ",BW9,"W")</f>
        <v>LG NeON 2 365W</v>
      </c>
      <c r="BX47" s="108"/>
      <c r="BY47" s="108"/>
      <c r="BZ47" s="108"/>
      <c r="CA47" s="108"/>
      <c r="CB47" s="108"/>
      <c r="CC47" s="108"/>
      <c r="CD47" s="101"/>
    </row>
    <row r="48" spans="17:82" x14ac:dyDescent="0.2">
      <c r="AH48" s="97" t="s">
        <v>30</v>
      </c>
      <c r="AM48" s="95"/>
      <c r="AR48" s="95"/>
      <c r="BR48" s="99" t="s">
        <v>39</v>
      </c>
      <c r="BS48" s="108"/>
      <c r="BT48" s="108"/>
      <c r="BU48" s="101"/>
      <c r="BV48" s="25">
        <v>1</v>
      </c>
      <c r="BW48" s="149" t="str">
        <f>BV18</f>
        <v>SB4.0-1AV-40</v>
      </c>
      <c r="BX48" s="108"/>
      <c r="BY48" s="108"/>
      <c r="BZ48" s="108"/>
      <c r="CA48" s="108"/>
      <c r="CB48" s="108"/>
      <c r="CC48" s="108"/>
      <c r="CD48" s="101"/>
    </row>
    <row r="49" spans="11:82" x14ac:dyDescent="0.2">
      <c r="AM49" s="95"/>
      <c r="AR49" s="95"/>
      <c r="BR49" s="99" t="s">
        <v>34</v>
      </c>
      <c r="BS49" s="108"/>
      <c r="BT49" s="108"/>
      <c r="BU49" s="101"/>
      <c r="BV49" s="25"/>
      <c r="BW49" s="211">
        <f>BV19</f>
        <v>4.2</v>
      </c>
      <c r="BX49" s="212"/>
      <c r="BY49" s="212"/>
      <c r="BZ49" s="108"/>
      <c r="CA49" s="108"/>
      <c r="CB49" s="108"/>
      <c r="CC49" s="108"/>
      <c r="CD49" s="101"/>
    </row>
    <row r="50" spans="11:82" x14ac:dyDescent="0.2">
      <c r="BR50" s="99" t="s">
        <v>32</v>
      </c>
      <c r="BS50" s="108"/>
      <c r="BT50" s="108"/>
      <c r="BU50" s="101"/>
      <c r="BV50" s="25">
        <v>1</v>
      </c>
      <c r="BW50" s="99" t="s">
        <v>31</v>
      </c>
      <c r="BX50" s="108"/>
      <c r="BY50" s="108"/>
      <c r="BZ50" s="108"/>
      <c r="CA50" s="108"/>
      <c r="CB50" s="108"/>
      <c r="CC50" s="108"/>
      <c r="CD50" s="101"/>
    </row>
    <row r="51" spans="11:82" x14ac:dyDescent="0.2">
      <c r="BR51" s="99" t="s">
        <v>29</v>
      </c>
      <c r="BS51" s="108"/>
      <c r="BT51" s="108"/>
      <c r="BU51" s="101"/>
      <c r="BV51" s="25">
        <v>1</v>
      </c>
      <c r="BW51" s="99" t="s">
        <v>84</v>
      </c>
      <c r="BX51" s="108"/>
      <c r="BY51" s="108"/>
      <c r="BZ51" s="108"/>
      <c r="CA51" s="108"/>
      <c r="CB51" s="108"/>
      <c r="CC51" s="108"/>
      <c r="CD51" s="101"/>
    </row>
    <row r="52" spans="11:82" x14ac:dyDescent="0.2">
      <c r="BR52" s="99" t="s">
        <v>28</v>
      </c>
      <c r="BS52" s="108"/>
      <c r="BT52" s="108"/>
      <c r="BU52" s="101"/>
      <c r="BV52" s="25">
        <v>2</v>
      </c>
      <c r="BW52" s="99" t="s">
        <v>27</v>
      </c>
      <c r="BX52" s="108"/>
      <c r="BY52" s="108"/>
      <c r="BZ52" s="108"/>
      <c r="CA52" s="108"/>
      <c r="CB52" s="108"/>
      <c r="CC52" s="108"/>
      <c r="CD52" s="101"/>
    </row>
    <row r="53" spans="11:82" x14ac:dyDescent="0.2">
      <c r="BR53" s="111" t="s">
        <v>26</v>
      </c>
      <c r="BS53" s="112"/>
      <c r="BT53" s="112"/>
      <c r="BU53" s="113"/>
      <c r="BV53" s="24">
        <v>1</v>
      </c>
      <c r="BW53" s="99" t="s">
        <v>25</v>
      </c>
      <c r="BX53" s="108"/>
      <c r="BY53" s="112"/>
      <c r="BZ53" s="112"/>
      <c r="CA53" s="112"/>
      <c r="CB53" s="112"/>
      <c r="CC53" s="112"/>
      <c r="CD53" s="113"/>
    </row>
    <row r="54" spans="11:82" x14ac:dyDescent="0.2">
      <c r="K54" s="87" t="str">
        <f>IF(Param!B43&lt;&gt;"","Existing Array","")</f>
        <v/>
      </c>
      <c r="BW54" s="103"/>
      <c r="BX54" s="103"/>
    </row>
    <row r="55" spans="11:82" x14ac:dyDescent="0.2">
      <c r="K55" s="129" t="str">
        <f>IF(Param!B43&lt;&gt;"",_xlfn.CONCAT(Param!B43," kWac"),"")</f>
        <v/>
      </c>
      <c r="BX55" s="106"/>
    </row>
    <row r="56" spans="11:82" x14ac:dyDescent="0.2">
      <c r="BR56" s="23" t="s">
        <v>24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0"/>
    </row>
    <row r="57" spans="11:82" x14ac:dyDescent="0.2">
      <c r="BR57" s="99" t="s">
        <v>23</v>
      </c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1"/>
    </row>
    <row r="58" spans="11:82" x14ac:dyDescent="0.2">
      <c r="BR58" s="99" t="s">
        <v>22</v>
      </c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1"/>
    </row>
    <row r="59" spans="11:82" x14ac:dyDescent="0.2">
      <c r="AZ59" s="210"/>
      <c r="BA59" s="210"/>
      <c r="BB59" s="210"/>
      <c r="BC59" s="210"/>
      <c r="BD59" s="210"/>
      <c r="BE59" s="210"/>
      <c r="BF59" s="210"/>
      <c r="BG59" s="210"/>
      <c r="BH59" s="210"/>
      <c r="BI59" s="210"/>
      <c r="BJ59" s="210"/>
      <c r="BR59" s="99" t="s">
        <v>21</v>
      </c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1"/>
    </row>
    <row r="60" spans="11:82" x14ac:dyDescent="0.2">
      <c r="O60" s="129" t="str">
        <f>IF(Param!B43&lt;&gt;"","Inverter","")</f>
        <v/>
      </c>
      <c r="BR60" s="99" t="s">
        <v>20</v>
      </c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1"/>
    </row>
    <row r="61" spans="11:82" x14ac:dyDescent="0.2">
      <c r="O61" s="129" t="str">
        <f>IF(Param!B43&lt;&gt;"","A.C. Isolator","")</f>
        <v/>
      </c>
      <c r="BR61" s="99" t="s">
        <v>19</v>
      </c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1"/>
    </row>
    <row r="62" spans="11:82" x14ac:dyDescent="0.2">
      <c r="AZ62" s="20"/>
      <c r="BA62" s="20"/>
      <c r="BD62" s="19"/>
      <c r="BE62" s="19"/>
      <c r="BJ62" s="18"/>
      <c r="BR62" s="99" t="s">
        <v>18</v>
      </c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1"/>
    </row>
    <row r="63" spans="11:82" x14ac:dyDescent="0.2">
      <c r="AZ63" s="20"/>
      <c r="BA63" s="20"/>
      <c r="BD63" s="19"/>
      <c r="BE63" s="19"/>
      <c r="BJ63" s="18"/>
      <c r="BR63" s="99" t="s">
        <v>17</v>
      </c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1"/>
    </row>
    <row r="64" spans="11:82" x14ac:dyDescent="0.2">
      <c r="AZ64" s="20"/>
      <c r="BA64" s="20"/>
      <c r="BD64" s="19"/>
      <c r="BE64" s="19"/>
      <c r="BJ64" s="18"/>
      <c r="BR64" s="99" t="s">
        <v>16</v>
      </c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1"/>
    </row>
    <row r="65" spans="2:82" x14ac:dyDescent="0.2">
      <c r="AZ65" s="20"/>
      <c r="BA65" s="20"/>
      <c r="BD65" s="19"/>
      <c r="BE65" s="19"/>
      <c r="BJ65" s="18"/>
      <c r="BR65" s="99" t="s">
        <v>15</v>
      </c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1"/>
    </row>
    <row r="66" spans="2:82" x14ac:dyDescent="0.2">
      <c r="J66" s="97" t="str">
        <f>IF(Param!B44&lt;&gt;"",_xlfn.CONCAT("Note: ",Param!B44),"")</f>
        <v/>
      </c>
      <c r="AO66" s="11"/>
      <c r="BR66" s="111" t="s">
        <v>14</v>
      </c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3"/>
    </row>
    <row r="67" spans="2:82" x14ac:dyDescent="0.2">
      <c r="AO67" s="11"/>
      <c r="BR67" s="102" t="s">
        <v>13</v>
      </c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5"/>
    </row>
    <row r="68" spans="2:82" x14ac:dyDescent="0.2">
      <c r="B68" s="106"/>
      <c r="C68" s="106"/>
      <c r="BR68" s="105" t="s">
        <v>12</v>
      </c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"/>
    </row>
    <row r="69" spans="2:82" x14ac:dyDescent="0.2">
      <c r="B69" s="97" t="s">
        <v>11</v>
      </c>
      <c r="D69" s="103"/>
      <c r="E69" s="103"/>
      <c r="F69" s="103"/>
      <c r="G69" s="103"/>
      <c r="H69" s="103"/>
      <c r="I69" s="103"/>
      <c r="J69" s="5"/>
      <c r="K69" s="102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5"/>
      <c r="X69" s="102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98" t="s">
        <v>10</v>
      </c>
      <c r="AZ69" s="198"/>
      <c r="BA69" s="199"/>
      <c r="BB69" s="102" t="str">
        <f>Param!B3</f>
        <v xml:space="preserve">Miller, Ian </v>
      </c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5"/>
      <c r="BN69" s="102" t="str">
        <f>_xlfn.CONCAT(BV47," ",BW7," - ",BV48," ",BW48)</f>
        <v>12 LG NeON 2 - 1 SB4.0-1AV-40</v>
      </c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CB69" s="202">
        <f>BW49</f>
        <v>4.2</v>
      </c>
      <c r="CC69" s="202"/>
      <c r="CD69" s="203"/>
    </row>
    <row r="70" spans="2:82" x14ac:dyDescent="0.2">
      <c r="J70" s="8"/>
      <c r="K70" s="104"/>
      <c r="W70" s="8"/>
      <c r="X70" s="105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"/>
      <c r="BB70" s="105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"/>
      <c r="BN70" s="105" t="s">
        <v>9</v>
      </c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"/>
    </row>
    <row r="71" spans="2:82" x14ac:dyDescent="0.2">
      <c r="J71" s="8"/>
      <c r="K71" s="104"/>
      <c r="W71" s="8"/>
      <c r="X71" s="102"/>
      <c r="Y71" s="103"/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98" t="s">
        <v>8</v>
      </c>
      <c r="AZ71" s="198"/>
      <c r="BA71" s="199"/>
      <c r="BB71" s="102" t="str">
        <f>Param!B4</f>
        <v>154 Princeton Ave  Adamstown Heights</v>
      </c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5"/>
      <c r="BN71" s="102" t="s">
        <v>7</v>
      </c>
      <c r="BO71" s="103"/>
      <c r="BP71" s="5"/>
      <c r="BQ71" s="102" t="s">
        <v>6</v>
      </c>
      <c r="BR71" s="103"/>
      <c r="BS71" s="5"/>
      <c r="BT71" s="102" t="s">
        <v>5</v>
      </c>
      <c r="BU71" s="103"/>
      <c r="BV71" s="103"/>
      <c r="BW71" s="5"/>
      <c r="BX71" s="102" t="s">
        <v>4</v>
      </c>
      <c r="BY71" s="103"/>
      <c r="BZ71" s="5"/>
      <c r="CA71" s="102" t="s">
        <v>3</v>
      </c>
      <c r="CB71" s="103"/>
      <c r="CC71" s="103"/>
      <c r="CD71" s="5"/>
    </row>
    <row r="72" spans="2:82" x14ac:dyDescent="0.2">
      <c r="D72" s="152" t="s">
        <v>152</v>
      </c>
      <c r="F72" s="152"/>
      <c r="J72" s="8"/>
      <c r="K72" s="104"/>
      <c r="W72" s="8"/>
      <c r="X72" s="105"/>
      <c r="Y72" s="106"/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"/>
      <c r="BB72" s="105"/>
      <c r="BC72" s="106"/>
      <c r="BD72" s="106"/>
      <c r="BE72" s="106"/>
      <c r="BF72" s="106"/>
      <c r="BG72" s="106"/>
      <c r="BH72" s="106"/>
      <c r="BI72" s="106"/>
      <c r="BJ72" s="106"/>
      <c r="BK72" s="106"/>
      <c r="BL72" s="106"/>
      <c r="BM72" s="1"/>
      <c r="BN72" s="204"/>
      <c r="BO72" s="205"/>
      <c r="BP72" s="206"/>
      <c r="BQ72" s="204"/>
      <c r="BR72" s="205"/>
      <c r="BS72" s="206"/>
      <c r="BT72" s="204"/>
      <c r="BU72" s="205"/>
      <c r="BV72" s="205"/>
      <c r="BW72" s="1"/>
      <c r="BX72" s="207">
        <f ca="1">TODAY()</f>
        <v>44248</v>
      </c>
      <c r="BY72" s="208"/>
      <c r="BZ72" s="209"/>
      <c r="CA72" s="10"/>
      <c r="CB72" s="106"/>
      <c r="CC72" s="106"/>
      <c r="CD72" s="1"/>
    </row>
    <row r="73" spans="2:82" x14ac:dyDescent="0.2">
      <c r="J73" s="8"/>
      <c r="K73" s="104"/>
      <c r="W73" s="8"/>
      <c r="X73" s="102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Y73" s="198" t="s">
        <v>2</v>
      </c>
      <c r="AZ73" s="198"/>
      <c r="BA73" s="199"/>
      <c r="BB73" s="200">
        <f>Param!B2</f>
        <v>26181</v>
      </c>
      <c r="BC73" s="201"/>
      <c r="BD73" s="103"/>
      <c r="BE73" s="103"/>
      <c r="BF73" s="103"/>
      <c r="BG73" s="103"/>
      <c r="BH73" s="103"/>
      <c r="BI73" s="103"/>
      <c r="BJ73" s="103"/>
      <c r="BK73" s="103"/>
      <c r="BL73" s="103"/>
      <c r="BM73" s="5"/>
      <c r="BN73" s="102" t="s">
        <v>1</v>
      </c>
      <c r="BO73" s="103"/>
      <c r="BP73" s="103"/>
      <c r="BQ73" s="103">
        <v>1</v>
      </c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5"/>
    </row>
    <row r="74" spans="2:82" x14ac:dyDescent="0.2">
      <c r="C74" s="106"/>
      <c r="D74" s="106"/>
      <c r="E74" s="106"/>
      <c r="F74" s="106"/>
      <c r="G74" s="106"/>
      <c r="H74" s="106"/>
      <c r="I74" s="106"/>
      <c r="J74" s="1"/>
      <c r="K74" s="105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"/>
      <c r="X74" s="105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Z74" s="106"/>
      <c r="BA74" s="1"/>
      <c r="BB74" s="105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"/>
      <c r="BN74" s="105" t="s">
        <v>0</v>
      </c>
      <c r="BO74" s="106"/>
      <c r="BP74" s="106"/>
      <c r="BQ74" s="3" t="s">
        <v>146</v>
      </c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"/>
    </row>
  </sheetData>
  <mergeCells count="87">
    <mergeCell ref="CA25:CB25"/>
    <mergeCell ref="BY26:BZ26"/>
    <mergeCell ref="CA26:CB26"/>
    <mergeCell ref="BT31:BU31"/>
    <mergeCell ref="BV31:BW31"/>
    <mergeCell ref="BX31:BY31"/>
    <mergeCell ref="BZ31:CA31"/>
    <mergeCell ref="CB31:CC31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40:CB40"/>
    <mergeCell ref="BV36:BY36"/>
    <mergeCell ref="BZ36:CC36"/>
    <mergeCell ref="BV37:BY37"/>
    <mergeCell ref="BZ37:CC37"/>
    <mergeCell ref="BV39:BY39"/>
    <mergeCell ref="BZ39:CC39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BW9:BZ9"/>
    <mergeCell ref="BW10:BZ10"/>
    <mergeCell ref="BW11:BZ11"/>
    <mergeCell ref="BW12:BZ12"/>
    <mergeCell ref="BW6:BZ6"/>
    <mergeCell ref="BW7:BZ7"/>
    <mergeCell ref="CC23:CD23"/>
    <mergeCell ref="CC24:CD24"/>
    <mergeCell ref="CC25:CD25"/>
    <mergeCell ref="CC26:CD26"/>
    <mergeCell ref="CC27:CD27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opLeftCell="C30" zoomScale="75" zoomScaleNormal="85" workbookViewId="0">
      <selection activeCell="AA80" sqref="AA80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91</v>
      </c>
      <c r="BR5" s="47" t="s">
        <v>63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57</v>
      </c>
      <c r="BS6" s="38"/>
      <c r="BT6" s="38"/>
      <c r="BU6" s="38"/>
      <c r="BV6" s="238" t="str">
        <f>Param!B11</f>
        <v>LG Electronics</v>
      </c>
      <c r="BW6" s="238"/>
      <c r="BX6" s="238"/>
      <c r="BY6" s="238"/>
      <c r="BZ6" s="239"/>
    </row>
    <row r="7" spans="4:81" x14ac:dyDescent="0.2">
      <c r="BL7" s="51"/>
      <c r="BM7" s="51"/>
      <c r="BN7" s="51"/>
      <c r="BR7" s="44" t="s">
        <v>56</v>
      </c>
      <c r="BS7" s="38"/>
      <c r="BT7" s="38"/>
      <c r="BU7" s="38"/>
      <c r="BV7" s="188" t="str">
        <f>Param!B12</f>
        <v>LG NeON 2</v>
      </c>
      <c r="BW7" s="188"/>
      <c r="BX7" s="188"/>
      <c r="BY7" s="188"/>
      <c r="BZ7" s="189"/>
    </row>
    <row r="8" spans="4:81" x14ac:dyDescent="0.2">
      <c r="BL8" s="50"/>
      <c r="BM8" s="50"/>
      <c r="BN8" s="50"/>
      <c r="BR8" s="44" t="s">
        <v>127</v>
      </c>
      <c r="BW8" s="193">
        <f>Param!B13</f>
        <v>18</v>
      </c>
      <c r="BX8" s="193"/>
      <c r="BY8" s="193"/>
      <c r="BZ8" s="194"/>
    </row>
    <row r="9" spans="4:81" x14ac:dyDescent="0.2">
      <c r="BL9" s="49"/>
      <c r="BM9" s="49"/>
      <c r="BN9" s="49"/>
      <c r="BR9" s="44" t="s">
        <v>62</v>
      </c>
      <c r="BS9" s="38"/>
      <c r="BT9" s="38"/>
      <c r="BU9" s="38"/>
      <c r="BV9" s="38"/>
      <c r="BW9" s="38"/>
      <c r="BX9" s="178">
        <f>Param!B14</f>
        <v>365</v>
      </c>
      <c r="BY9" s="178"/>
      <c r="BZ9" s="179"/>
    </row>
    <row r="10" spans="4:81" x14ac:dyDescent="0.2">
      <c r="BR10" s="44" t="s">
        <v>61</v>
      </c>
      <c r="BS10" s="38"/>
      <c r="BT10" s="38"/>
      <c r="BU10" s="38"/>
      <c r="BV10" s="38"/>
      <c r="BW10" s="38"/>
      <c r="BX10" s="180">
        <f>Param!B15</f>
        <v>41.7</v>
      </c>
      <c r="BY10" s="180"/>
      <c r="BZ10" s="181"/>
    </row>
    <row r="11" spans="4:81" x14ac:dyDescent="0.2">
      <c r="BR11" s="44" t="s">
        <v>60</v>
      </c>
      <c r="BS11" s="138"/>
      <c r="BT11" s="138"/>
      <c r="BU11" s="138"/>
      <c r="BV11" s="138"/>
      <c r="BW11" s="138"/>
      <c r="BX11" s="182">
        <f>Param!B16</f>
        <v>10.88</v>
      </c>
      <c r="BY11" s="182"/>
      <c r="BZ11" s="183"/>
      <c r="CA11" s="195"/>
      <c r="CB11" s="195"/>
      <c r="CC11" s="195"/>
    </row>
    <row r="12" spans="4:81" x14ac:dyDescent="0.2">
      <c r="AM12" s="148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40"/>
      <c r="BE12" s="240"/>
      <c r="BF12" s="240"/>
      <c r="BG12" s="240"/>
      <c r="BR12" s="48" t="s">
        <v>128</v>
      </c>
      <c r="BS12" s="40"/>
      <c r="BT12" s="40"/>
      <c r="BU12" s="40"/>
      <c r="BV12" s="244" t="str">
        <f>_xlfn.CONCAT(BW8*Param!B14/1000, " kWdc")</f>
        <v>6.57 kWdc</v>
      </c>
      <c r="BW12" s="244"/>
      <c r="BX12" s="244"/>
      <c r="BY12" s="244"/>
      <c r="BZ12" s="245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40"/>
      <c r="BE13" s="240"/>
      <c r="BF13" s="240"/>
      <c r="BG13" s="240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40"/>
      <c r="BE14" s="240"/>
      <c r="BF14" s="240"/>
      <c r="BG14" s="240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40"/>
      <c r="BE15" s="240"/>
      <c r="BF15" s="240"/>
      <c r="BG15" s="240"/>
      <c r="BK15" s="39"/>
      <c r="BL15" s="39"/>
      <c r="BM15" s="39"/>
      <c r="BR15" s="47" t="s">
        <v>59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40"/>
      <c r="BE16" s="240"/>
      <c r="BF16" s="240"/>
      <c r="BG16" s="240"/>
      <c r="BR16" s="44" t="s">
        <v>58</v>
      </c>
      <c r="BS16" s="38"/>
      <c r="BT16" s="38"/>
      <c r="BU16" s="38"/>
      <c r="BV16" s="186">
        <v>1</v>
      </c>
      <c r="BW16" s="186"/>
      <c r="BX16" s="186"/>
      <c r="BY16" s="186"/>
      <c r="BZ16" s="187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57</v>
      </c>
      <c r="BS17" s="38"/>
      <c r="BT17" s="38"/>
      <c r="BU17" s="38"/>
      <c r="BV17" s="186" t="str">
        <f>Param!B19</f>
        <v>SMA</v>
      </c>
      <c r="BW17" s="186"/>
      <c r="BX17" s="186"/>
      <c r="BY17" s="186"/>
      <c r="BZ17" s="187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56</v>
      </c>
      <c r="BS18" s="42"/>
      <c r="BT18" s="38"/>
      <c r="BU18" s="38"/>
      <c r="BV18" s="186" t="str">
        <f>Param!B20</f>
        <v>SB4.0-1AV-40</v>
      </c>
      <c r="BW18" s="186"/>
      <c r="BX18" s="186"/>
      <c r="BY18" s="186"/>
      <c r="BZ18" s="187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55</v>
      </c>
      <c r="BS19" s="40"/>
      <c r="BT19" s="40"/>
      <c r="BU19" s="40"/>
      <c r="BV19" s="196">
        <f>Param!B23</f>
        <v>4.2</v>
      </c>
      <c r="BW19" s="196"/>
      <c r="BX19" s="196"/>
      <c r="BY19" s="196"/>
      <c r="BZ19" s="197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36"/>
    </row>
    <row r="23" spans="4:81" x14ac:dyDescent="0.2">
      <c r="AJ23" s="11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35"/>
    </row>
    <row r="24" spans="4:81" x14ac:dyDescent="0.2">
      <c r="BR24" s="20"/>
      <c r="BS24" s="20"/>
      <c r="BT24" s="133"/>
      <c r="BU24" s="133"/>
      <c r="BV24" s="19"/>
      <c r="BW24" s="19"/>
      <c r="BX24" s="137"/>
      <c r="BY24" s="137"/>
      <c r="BZ24" s="137"/>
      <c r="CA24" s="137"/>
      <c r="CB24" s="34"/>
      <c r="CC24" s="34"/>
    </row>
    <row r="25" spans="4:81" x14ac:dyDescent="0.2">
      <c r="BR25" s="261" t="s">
        <v>54</v>
      </c>
      <c r="BS25" s="243"/>
      <c r="BT25" s="243"/>
      <c r="BU25" s="243" t="s">
        <v>53</v>
      </c>
      <c r="BV25" s="243"/>
      <c r="BW25" s="243" t="s">
        <v>52</v>
      </c>
      <c r="BX25" s="243"/>
      <c r="BY25" s="243" t="s">
        <v>51</v>
      </c>
      <c r="BZ25" s="243"/>
      <c r="CA25" s="243" t="s">
        <v>50</v>
      </c>
      <c r="CB25" s="256"/>
      <c r="CC25" s="34"/>
    </row>
    <row r="26" spans="4:81" x14ac:dyDescent="0.2">
      <c r="BR26" s="229" t="s">
        <v>49</v>
      </c>
      <c r="BS26" s="230"/>
      <c r="BT26" s="231"/>
      <c r="BU26" s="229" t="s">
        <v>48</v>
      </c>
      <c r="BV26" s="231"/>
      <c r="BW26" s="225">
        <f>Param!B24</f>
        <v>12</v>
      </c>
      <c r="BX26" s="220"/>
      <c r="BY26" s="220">
        <f>IF(Param!B19="SolarEdge",380,Param!B24*Param!B15*1.1)</f>
        <v>550.44000000000005</v>
      </c>
      <c r="BZ26" s="221"/>
      <c r="CA26" s="257">
        <f>IF(Param!B19="SolarEdge",(2*BW26*Param!B14)/BY26,2*Param!B16)</f>
        <v>21.76</v>
      </c>
      <c r="CB26" s="258"/>
      <c r="CC26" s="34"/>
    </row>
    <row r="27" spans="4:81" x14ac:dyDescent="0.2">
      <c r="BR27" s="246"/>
      <c r="BS27" s="247"/>
      <c r="BT27" s="248"/>
      <c r="BU27" s="249"/>
      <c r="BV27" s="251"/>
      <c r="BW27" s="250">
        <f>Param!B25</f>
        <v>0</v>
      </c>
      <c r="BX27" s="250"/>
      <c r="BY27" s="250">
        <f>IF(Param!B19="SolarEdge",380,Param!B25*Param!B15*1.1)</f>
        <v>0</v>
      </c>
      <c r="BZ27" s="251"/>
      <c r="CA27" s="254"/>
      <c r="CB27" s="255"/>
      <c r="CC27" s="135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6"/>
      <c r="BS28" s="247"/>
      <c r="BT28" s="248"/>
      <c r="BU28" s="229" t="s">
        <v>45</v>
      </c>
      <c r="BV28" s="231"/>
      <c r="BW28" s="247">
        <f>Param!B26</f>
        <v>12</v>
      </c>
      <c r="BX28" s="247"/>
      <c r="BY28" s="247">
        <f>IF(Param!B19="SolarEdge",380,Param!B26*Param!B15*1.1)</f>
        <v>550.44000000000005</v>
      </c>
      <c r="BZ28" s="247"/>
      <c r="CA28" s="252">
        <f>IF(Param!B19="SolarEdge",(BW28*BX9)/BY28,Param!B16)</f>
        <v>10.88</v>
      </c>
      <c r="CB28" s="253"/>
      <c r="CC28" s="135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9"/>
      <c r="BS29" s="250"/>
      <c r="BT29" s="251"/>
      <c r="BU29" s="249"/>
      <c r="BV29" s="251"/>
      <c r="BW29" s="250"/>
      <c r="BX29" s="250"/>
      <c r="BY29" s="250"/>
      <c r="BZ29" s="250"/>
      <c r="CA29" s="254"/>
      <c r="CB29" s="255"/>
      <c r="CC29" s="135"/>
    </row>
    <row r="30" spans="4:81" x14ac:dyDescent="0.2">
      <c r="D30" s="129" t="str">
        <f>IF(Param!B43&lt;&gt;"","Main switch","")</f>
        <v/>
      </c>
      <c r="J30" t="s">
        <v>85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1" x14ac:dyDescent="0.2">
      <c r="D31" s="129" t="str">
        <f>IF(Param!B43&lt;&gt;"","Inverter supply","")</f>
        <v/>
      </c>
      <c r="J31" t="s">
        <v>86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226"/>
      <c r="BU31" s="226"/>
      <c r="BV31" s="227"/>
      <c r="BW31" s="227"/>
      <c r="BX31" s="210"/>
      <c r="BY31" s="210"/>
      <c r="BZ31" s="210"/>
      <c r="CA31" s="210"/>
      <c r="CB31" s="224"/>
      <c r="CC31" s="224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226"/>
      <c r="BU32" s="226"/>
      <c r="BV32" s="227"/>
      <c r="BW32" s="227"/>
      <c r="BX32" s="210"/>
      <c r="BY32" s="210"/>
      <c r="BZ32" s="210"/>
      <c r="CA32" s="210"/>
      <c r="CB32" s="224"/>
      <c r="CC32" s="224"/>
    </row>
    <row r="33" spans="17:82" x14ac:dyDescent="0.2">
      <c r="S33" t="s">
        <v>92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225" t="s">
        <v>129</v>
      </c>
      <c r="BS33" s="220"/>
      <c r="BT33" s="220"/>
      <c r="BU33" s="220"/>
      <c r="BV33" s="220"/>
      <c r="BW33" s="220"/>
      <c r="BX33" s="220"/>
      <c r="BY33" s="220"/>
      <c r="BZ33" s="220"/>
      <c r="CA33" s="220"/>
      <c r="CB33" s="220"/>
      <c r="CC33" s="221"/>
    </row>
    <row r="34" spans="17:82" x14ac:dyDescent="0.2">
      <c r="S34" t="s">
        <v>83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229" t="s">
        <v>120</v>
      </c>
      <c r="BS34" s="230"/>
      <c r="BT34" s="230"/>
      <c r="BU34" s="231"/>
      <c r="BV34" s="232" t="s">
        <v>121</v>
      </c>
      <c r="BW34" s="233"/>
      <c r="BX34" s="233"/>
      <c r="BY34" s="234"/>
      <c r="BZ34" s="235" t="s">
        <v>130</v>
      </c>
      <c r="CA34" s="236"/>
      <c r="CB34" s="236"/>
      <c r="CC34" s="237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90">
        <f>Vrise!C32</f>
        <v>1</v>
      </c>
      <c r="BS35" s="191"/>
      <c r="BT35" s="191"/>
      <c r="BU35" s="192"/>
      <c r="BV35" s="190">
        <f>Vrise!E32</f>
        <v>1</v>
      </c>
      <c r="BW35" s="191"/>
      <c r="BX35" s="191"/>
      <c r="BY35" s="191"/>
      <c r="BZ35" s="190">
        <f>Vrise!G32</f>
        <v>1</v>
      </c>
      <c r="CA35" s="191"/>
      <c r="CB35" s="191"/>
      <c r="CC35" s="192"/>
    </row>
    <row r="36" spans="17:82" x14ac:dyDescent="0.2">
      <c r="AL36" t="s">
        <v>48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213">
        <f>Vrise!C34</f>
        <v>16</v>
      </c>
      <c r="BS36" s="214"/>
      <c r="BT36" s="214"/>
      <c r="BU36" s="215"/>
      <c r="BV36" s="213">
        <f>Vrise!E34</f>
        <v>16</v>
      </c>
      <c r="BW36" s="214"/>
      <c r="BX36" s="214"/>
      <c r="BY36" s="215"/>
      <c r="BZ36" s="213">
        <f>Vrise!G34</f>
        <v>0</v>
      </c>
      <c r="CA36" s="214"/>
      <c r="CB36" s="214"/>
      <c r="CC36" s="215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216" t="str">
        <f>_xlfn.CONCAT(Vrise!C36," A")</f>
        <v>22 A</v>
      </c>
      <c r="BS37" s="217"/>
      <c r="BT37" s="217"/>
      <c r="BU37" s="218"/>
      <c r="BV37" s="216" t="str">
        <f>_xlfn.CONCAT(Vrise!E36," A")</f>
        <v>22 A</v>
      </c>
      <c r="BW37" s="217"/>
      <c r="BX37" s="217"/>
      <c r="BY37" s="218"/>
      <c r="BZ37" s="217" t="str">
        <f>_xlfn.CONCAT(Vrise!G36," A")</f>
        <v>22 A</v>
      </c>
      <c r="CA37" s="217"/>
      <c r="CB37" s="217"/>
      <c r="CC37" s="218"/>
    </row>
    <row r="38" spans="17:82" x14ac:dyDescent="0.2">
      <c r="BQ38" s="8"/>
      <c r="BR38" s="259" t="str">
        <f>_xlfn.CONCAT(Vrise!C35," m")</f>
        <v>0 m</v>
      </c>
      <c r="BS38" s="205"/>
      <c r="BT38" s="205"/>
      <c r="BU38" s="206"/>
      <c r="BV38" s="260" t="str">
        <f>_xlfn.CONCAT(Vrise!E35," m")</f>
        <v>0 m</v>
      </c>
      <c r="BW38" s="205"/>
      <c r="BX38" s="205"/>
      <c r="BY38" s="206"/>
      <c r="BZ38" s="260" t="str">
        <f>_xlfn.CONCAT(Vrise!G35," m")</f>
        <v>0 m</v>
      </c>
      <c r="CA38" s="205"/>
      <c r="CB38" s="205"/>
      <c r="CC38" s="206"/>
    </row>
    <row r="39" spans="17:82" x14ac:dyDescent="0.2">
      <c r="AM39" t="s">
        <v>90</v>
      </c>
      <c r="AR39" s="114" t="s">
        <v>90</v>
      </c>
      <c r="BR39" s="219">
        <f>Vrise!C38</f>
        <v>0</v>
      </c>
      <c r="BS39" s="222"/>
      <c r="BT39" s="222"/>
      <c r="BU39" s="223"/>
      <c r="BV39" s="219">
        <f>Vrise!E38</f>
        <v>0</v>
      </c>
      <c r="BW39" s="220"/>
      <c r="BX39" s="220"/>
      <c r="BY39" s="221"/>
      <c r="BZ39" s="219" t="e">
        <f>Vrise!G38</f>
        <v>#VALUE!</v>
      </c>
      <c r="CA39" s="222"/>
      <c r="CB39" s="222"/>
      <c r="CC39" s="223"/>
    </row>
    <row r="40" spans="17:82" x14ac:dyDescent="0.2">
      <c r="AM40" t="s">
        <v>89</v>
      </c>
      <c r="AR40" s="114" t="s">
        <v>89</v>
      </c>
      <c r="BC40" s="120">
        <f>Param!B24</f>
        <v>12</v>
      </c>
      <c r="BD40" s="120" t="s">
        <v>35</v>
      </c>
      <c r="BR40" s="210"/>
      <c r="BS40" s="210"/>
      <c r="BT40" s="210"/>
      <c r="BU40" s="210"/>
      <c r="BV40" s="210"/>
      <c r="BW40" s="210"/>
      <c r="BX40" s="210"/>
      <c r="BY40" s="210"/>
      <c r="BZ40" s="210"/>
      <c r="CA40" s="210"/>
      <c r="CB40" s="210"/>
    </row>
    <row r="41" spans="17:82" x14ac:dyDescent="0.2">
      <c r="AM41" t="s">
        <v>47</v>
      </c>
      <c r="AR41" s="114" t="s">
        <v>46</v>
      </c>
      <c r="BR41" s="210"/>
      <c r="BS41" s="210"/>
      <c r="BT41" s="210"/>
      <c r="BU41" s="210"/>
      <c r="BV41" s="210"/>
      <c r="BW41" s="210"/>
      <c r="BX41" s="210"/>
      <c r="BY41" s="210"/>
      <c r="BZ41" s="210"/>
      <c r="CA41" s="210"/>
      <c r="CB41" s="210"/>
    </row>
    <row r="42" spans="17:82" x14ac:dyDescent="0.2">
      <c r="Q42" s="131" t="str">
        <f>IF(Param!B21=3,_xlfn.CONCAT(Param!B37,"mm 4C+E"),_xlfn.CONCAT(Param!B37,"mm 2C+E"))</f>
        <v>mm 2C+E</v>
      </c>
      <c r="BR42" s="210"/>
      <c r="BS42" s="210"/>
      <c r="BT42" s="210"/>
      <c r="BU42" s="210"/>
      <c r="BV42" s="210"/>
      <c r="BW42" s="210"/>
      <c r="BX42" s="210"/>
      <c r="BY42" s="210"/>
      <c r="BZ42" s="210"/>
      <c r="CA42" s="210"/>
      <c r="CB42" s="210"/>
    </row>
    <row r="43" spans="17:82" x14ac:dyDescent="0.2">
      <c r="AA43" t="s">
        <v>88</v>
      </c>
    </row>
    <row r="44" spans="17:82" x14ac:dyDescent="0.2">
      <c r="AA44" t="s">
        <v>93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29</v>
      </c>
      <c r="AL45" t="s">
        <v>45</v>
      </c>
      <c r="BR45" s="30" t="s">
        <v>44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43</v>
      </c>
      <c r="BS46" s="22"/>
      <c r="BT46" s="22"/>
      <c r="BU46" s="21"/>
      <c r="BV46" s="27" t="s">
        <v>42</v>
      </c>
      <c r="BW46" s="26" t="s">
        <v>41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40</v>
      </c>
      <c r="BS47" s="16"/>
      <c r="BT47" s="16"/>
      <c r="BU47" s="15"/>
      <c r="BV47" s="25">
        <f>SUM(BW26:BX29)</f>
        <v>24</v>
      </c>
      <c r="BW47" s="17" t="str">
        <f>_xlfn.CONCAT(BV7," ",BX9,"W")</f>
        <v>LG NeON 2 365W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4" t="s">
        <v>90</v>
      </c>
      <c r="AR48" s="114" t="s">
        <v>90</v>
      </c>
      <c r="BR48" s="17" t="s">
        <v>39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38</v>
      </c>
      <c r="AM49" s="114" t="s">
        <v>89</v>
      </c>
      <c r="AR49" s="114" t="s">
        <v>89</v>
      </c>
      <c r="BC49">
        <f>Param!B26</f>
        <v>12</v>
      </c>
      <c r="BD49" t="s">
        <v>35</v>
      </c>
      <c r="BR49" s="17" t="s">
        <v>34</v>
      </c>
      <c r="BS49" s="16"/>
      <c r="BT49" s="16"/>
      <c r="BU49" s="15"/>
      <c r="BV49" s="25"/>
      <c r="BW49" s="211">
        <f>BV19</f>
        <v>4.2</v>
      </c>
      <c r="BX49" s="212"/>
      <c r="BY49" s="212"/>
      <c r="BZ49" s="16"/>
      <c r="CA49" s="16"/>
      <c r="CB49" s="16"/>
      <c r="CC49" s="16"/>
      <c r="CD49" s="15"/>
    </row>
    <row r="50" spans="11:82" x14ac:dyDescent="0.2">
      <c r="AH50" t="s">
        <v>33</v>
      </c>
      <c r="AM50" s="114" t="s">
        <v>37</v>
      </c>
      <c r="AR50" s="114" t="s">
        <v>36</v>
      </c>
      <c r="BR50" s="17" t="s">
        <v>29</v>
      </c>
      <c r="BS50" s="16"/>
      <c r="BT50" s="16"/>
      <c r="BU50" s="15"/>
      <c r="BV50" s="25">
        <v>1</v>
      </c>
      <c r="BW50" s="17" t="s">
        <v>84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30</v>
      </c>
      <c r="BR51" s="17" t="s">
        <v>28</v>
      </c>
      <c r="BS51" s="16"/>
      <c r="BT51" s="16"/>
      <c r="BU51" s="15"/>
      <c r="BV51" s="25">
        <v>4</v>
      </c>
      <c r="BW51" s="17" t="s">
        <v>27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26</v>
      </c>
      <c r="BS52" s="13"/>
      <c r="BT52" s="13"/>
      <c r="BU52" s="12"/>
      <c r="BV52" s="24">
        <v>1</v>
      </c>
      <c r="BW52" s="116" t="s">
        <v>25</v>
      </c>
      <c r="BX52" s="117"/>
      <c r="BY52" s="117"/>
      <c r="BZ52" s="13"/>
      <c r="CA52" s="13"/>
      <c r="CB52" s="13"/>
      <c r="CC52" s="13"/>
      <c r="CD52" s="12"/>
    </row>
    <row r="54" spans="11:82" x14ac:dyDescent="0.2">
      <c r="K54" s="87" t="str">
        <f>IF(Param!B43&lt;&gt;"","Existing Array","")</f>
        <v/>
      </c>
      <c r="BV54" s="88"/>
      <c r="BW54" s="88"/>
      <c r="BX54" s="88"/>
    </row>
    <row r="55" spans="11:82" x14ac:dyDescent="0.2">
      <c r="K55" t="str">
        <f>IF(Param!B43&lt;&gt;"",_xlfn.CONCAT(Param!B43," kWac"),"")</f>
        <v/>
      </c>
      <c r="BX55" s="2"/>
    </row>
    <row r="56" spans="11:82" x14ac:dyDescent="0.2">
      <c r="BR56" s="23" t="s">
        <v>24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23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22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210"/>
      <c r="BA59" s="210"/>
      <c r="BB59" s="210"/>
      <c r="BC59" s="210"/>
      <c r="BD59" s="210"/>
      <c r="BE59" s="210"/>
      <c r="BF59" s="210"/>
      <c r="BG59" s="210"/>
      <c r="BH59" s="210"/>
      <c r="BI59" s="210"/>
      <c r="BJ59" s="210"/>
      <c r="BR59" s="17" t="s">
        <v>21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29" t="str">
        <f>IF(Param!B43&lt;&gt;"","Inverter","")</f>
        <v/>
      </c>
      <c r="BR60" s="17" t="s">
        <v>20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29" t="str">
        <f>IF(Param!B43&lt;&gt;"","A.C. Isolator","")</f>
        <v/>
      </c>
      <c r="BR61" s="17" t="s">
        <v>19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0" t="str">
        <f>IF(Param!B43&lt;&gt;"","Grid connect inverter","")</f>
        <v/>
      </c>
      <c r="AZ62" s="20"/>
      <c r="BA62" s="20"/>
      <c r="BD62" s="19"/>
      <c r="BE62" s="19"/>
      <c r="BJ62" s="18"/>
      <c r="BR62" s="17" t="s">
        <v>18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17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16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15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1" t="str">
        <f>IF(Param!B44&lt;&gt;"",_xlfn.CONCAT("Note: ",Param!B44),"")</f>
        <v/>
      </c>
      <c r="AO66" s="11"/>
      <c r="BR66" s="14" t="s">
        <v>14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13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12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11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8" t="s">
        <v>10</v>
      </c>
      <c r="AZ69" s="198"/>
      <c r="BA69" s="199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2">
        <f>BW49</f>
        <v>4.2</v>
      </c>
      <c r="CC69" s="202"/>
      <c r="CD69" s="203"/>
    </row>
    <row r="70" spans="2:82" x14ac:dyDescent="0.2">
      <c r="J70" s="8"/>
      <c r="K70" s="9"/>
      <c r="W70" s="8"/>
      <c r="X70" s="4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9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8" t="s">
        <v>8</v>
      </c>
      <c r="AZ71" s="198"/>
      <c r="BA71" s="199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7</v>
      </c>
      <c r="BO71" s="6"/>
      <c r="BP71" s="5"/>
      <c r="BQ71" s="7" t="s">
        <v>6</v>
      </c>
      <c r="BR71" s="6"/>
      <c r="BS71" s="5"/>
      <c r="BT71" s="7" t="s">
        <v>5</v>
      </c>
      <c r="BU71" s="6"/>
      <c r="BV71" s="6"/>
      <c r="BW71" s="5"/>
      <c r="BX71" s="7" t="s">
        <v>4</v>
      </c>
      <c r="BY71" s="6"/>
      <c r="BZ71" s="5"/>
      <c r="CA71" s="7" t="s">
        <v>3</v>
      </c>
      <c r="CB71" s="6"/>
      <c r="CC71" s="6"/>
      <c r="CD71" s="5"/>
    </row>
    <row r="72" spans="2:82" x14ac:dyDescent="0.2">
      <c r="J72" s="8"/>
      <c r="K72" s="9"/>
      <c r="W72" s="8"/>
      <c r="X72" s="4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04"/>
      <c r="BO72" s="205"/>
      <c r="BP72" s="206"/>
      <c r="BQ72" s="204"/>
      <c r="BR72" s="205"/>
      <c r="BS72" s="206"/>
      <c r="BT72" s="204"/>
      <c r="BU72" s="205"/>
      <c r="BV72" s="205"/>
      <c r="BW72" s="1"/>
      <c r="BX72" s="207">
        <f ca="1">TODAY()</f>
        <v>44248</v>
      </c>
      <c r="BY72" s="208"/>
      <c r="BZ72" s="209"/>
      <c r="CA72" s="10"/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8" t="s">
        <v>2</v>
      </c>
      <c r="AZ73" s="198"/>
      <c r="BA73" s="199"/>
      <c r="BB73" s="241">
        <f>Param!B2</f>
        <v>26181</v>
      </c>
      <c r="BC73" s="242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146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CA26:CB27"/>
    <mergeCell ref="BV17:BZ17"/>
    <mergeCell ref="BV18:BZ18"/>
    <mergeCell ref="BV16:BZ16"/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BW25:BX25"/>
    <mergeCell ref="BV12:BZ12"/>
    <mergeCell ref="BV19:BZ19"/>
    <mergeCell ref="BR41:BT41"/>
    <mergeCell ref="BU41:BV41"/>
    <mergeCell ref="BW41:BX41"/>
    <mergeCell ref="BY41:BZ41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CA41:CB41"/>
    <mergeCell ref="BR40:BT40"/>
    <mergeCell ref="BU40:BV40"/>
    <mergeCell ref="BW40:BX40"/>
    <mergeCell ref="BY40:BZ40"/>
    <mergeCell ref="CA40:CB40"/>
    <mergeCell ref="BW49:BY49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CB69:CD69"/>
    <mergeCell ref="AY71:BA71"/>
    <mergeCell ref="BN72:BP72"/>
    <mergeCell ref="BQ72:BS72"/>
    <mergeCell ref="BT72:BV72"/>
    <mergeCell ref="BX72:BZ72"/>
    <mergeCell ref="BD15:BE15"/>
    <mergeCell ref="BF15:BG15"/>
    <mergeCell ref="BD16:BE16"/>
    <mergeCell ref="BF16:BG16"/>
    <mergeCell ref="AY73:BA73"/>
    <mergeCell ref="BB73:BC73"/>
    <mergeCell ref="AY69:BA69"/>
    <mergeCell ref="BD12:BE12"/>
    <mergeCell ref="BF12:BG12"/>
    <mergeCell ref="BD13:BE13"/>
    <mergeCell ref="BF13:BG13"/>
    <mergeCell ref="BD14:BE14"/>
    <mergeCell ref="BF14:BG14"/>
    <mergeCell ref="BV6:BZ6"/>
    <mergeCell ref="BV7:BZ7"/>
    <mergeCell ref="BW8:BZ8"/>
    <mergeCell ref="BX11:BZ11"/>
    <mergeCell ref="BX9:BZ9"/>
    <mergeCell ref="BX10:BZ10"/>
    <mergeCell ref="BR34:BU34"/>
    <mergeCell ref="BR36:BU36"/>
    <mergeCell ref="BV36:BY36"/>
    <mergeCell ref="BZ36:CC36"/>
    <mergeCell ref="BR37:BU37"/>
    <mergeCell ref="BV37:BY37"/>
    <mergeCell ref="BZ37:CC37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2021-02-21T04:38:35Z</dcterms:modified>
</cp:coreProperties>
</file>