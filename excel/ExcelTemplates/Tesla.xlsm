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an/Documents/Dev/AutoSld/excel/ExcelTemplates/"/>
    </mc:Choice>
  </mc:AlternateContent>
  <xr:revisionPtr revIDLastSave="0" documentId="13_ncr:1_{EA7A0205-1DE4-3045-A5CD-CD7860F46FE8}" xr6:coauthVersionLast="46" xr6:coauthVersionMax="46" xr10:uidLastSave="{00000000-0000-0000-0000-000000000000}"/>
  <bookViews>
    <workbookView xWindow="1040" yWindow="460" windowWidth="28920" windowHeight="17340" activeTab="2" xr2:uid="{5C310A73-3E33-5C44-B32F-CABC6D95981F}"/>
  </bookViews>
  <sheets>
    <sheet name="Param" sheetId="3" r:id="rId1"/>
    <sheet name="Vrise" sheetId="1" r:id="rId2"/>
    <sheet name="PW2-ENP-Partial" sheetId="19" r:id="rId3"/>
    <sheet name="PW2-1Mppt-Partial" sheetId="20" r:id="rId4"/>
    <sheet name="PW2-2Mppt-Partial" sheetId="17" r:id="rId5"/>
  </sheets>
  <functionGroups builtInGroupCount="19"/>
  <externalReferences>
    <externalReference r:id="rId6"/>
  </externalReferences>
  <definedNames>
    <definedName name="rule_s1_oversized">[1]Rules!$C$5</definedName>
    <definedName name="rule_s1_under">[1]Rules!$C$10</definedName>
    <definedName name="rule_s2_oversized">[1]Rules!$C$6</definedName>
    <definedName name="rule_s2_under">[1]Rules!$C$11</definedName>
    <definedName name="String_1">[1]Manage!$I$28</definedName>
    <definedName name="String_2">[1]Manage!$I$29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V7" i="17" l="1"/>
  <c r="BX9" i="17"/>
  <c r="BW47" i="17"/>
  <c r="BW18" i="17"/>
  <c r="CB69" i="17"/>
  <c r="BV12" i="20"/>
  <c r="BX8" i="17"/>
  <c r="BX12" i="17"/>
  <c r="BX11" i="17"/>
  <c r="BX10" i="17"/>
  <c r="BV6" i="17"/>
  <c r="BX27" i="17"/>
  <c r="CB69" i="19"/>
  <c r="BV48" i="19"/>
  <c r="BV47" i="19"/>
  <c r="C67" i="19"/>
  <c r="BY37" i="19"/>
  <c r="CA37" i="19"/>
  <c r="BW37" i="19"/>
  <c r="CA35" i="19"/>
  <c r="BY35" i="19"/>
  <c r="BW35" i="19"/>
  <c r="BV12" i="19"/>
  <c r="BX28" i="19"/>
  <c r="BX27" i="19"/>
  <c r="BX24" i="19"/>
  <c r="C40" i="1"/>
  <c r="BW8" i="19"/>
  <c r="BX11" i="19"/>
  <c r="BX10" i="19"/>
  <c r="BX9" i="19"/>
  <c r="BV7" i="19"/>
  <c r="BV6" i="19"/>
  <c r="CB69" i="20"/>
  <c r="BW48" i="20"/>
  <c r="BW47" i="20"/>
  <c r="CA35" i="20" a="1"/>
  <c r="CA35" i="20"/>
  <c r="CA33" i="20"/>
  <c r="BW33" i="20"/>
  <c r="BX11" i="20"/>
  <c r="BX10" i="20"/>
  <c r="BX9" i="20"/>
  <c r="BW8" i="20"/>
  <c r="BV7" i="20"/>
  <c r="BV6" i="20"/>
  <c r="AE21" i="19"/>
  <c r="AE20" i="19"/>
  <c r="AE18" i="19"/>
  <c r="AS53" i="19"/>
  <c r="CA35" i="17"/>
  <c r="CA33" i="17"/>
  <c r="BW35" i="17"/>
  <c r="BY35" i="17"/>
  <c r="BY33" i="17"/>
  <c r="BY34" i="17"/>
  <c r="CA34" i="17"/>
  <c r="BW34" i="17"/>
  <c r="AX45" i="17"/>
  <c r="AW45" i="17"/>
  <c r="AW57" i="17"/>
  <c r="AW51" i="17"/>
  <c r="BY33" i="20"/>
  <c r="BY35" i="20" a="1"/>
  <c r="BY35" i="20"/>
  <c r="BB73" i="20"/>
  <c r="BX72" i="20"/>
  <c r="BB71" i="20"/>
  <c r="BW27" i="20"/>
  <c r="BW18" i="20"/>
  <c r="BW26" i="20"/>
  <c r="BN69" i="20"/>
  <c r="BB69" i="20"/>
  <c r="AX57" i="20"/>
  <c r="AA54" i="20"/>
  <c r="BK50" i="20"/>
  <c r="AY50" i="20"/>
  <c r="AX50" i="20"/>
  <c r="BV47" i="20"/>
  <c r="BW35" i="20"/>
  <c r="AG35" i="20"/>
  <c r="AB35" i="20"/>
  <c r="AB34" i="20"/>
  <c r="AB30" i="20"/>
  <c r="AB29" i="20"/>
  <c r="BW25" i="20"/>
  <c r="AA19" i="20"/>
  <c r="AA18" i="20"/>
  <c r="AA51" i="17"/>
  <c r="BW26" i="17"/>
  <c r="BN69" i="17"/>
  <c r="BW33" i="17"/>
  <c r="BX25" i="17"/>
  <c r="BW48" i="17"/>
  <c r="BV47" i="17"/>
  <c r="BB73" i="19"/>
  <c r="BX72" i="19"/>
  <c r="BB71" i="19"/>
  <c r="BB69" i="19"/>
  <c r="BK56" i="19"/>
  <c r="BK50" i="19"/>
  <c r="BW48" i="19"/>
  <c r="BW47" i="19"/>
  <c r="BK43" i="19"/>
  <c r="AG35" i="19"/>
  <c r="AB35" i="19"/>
  <c r="AB34" i="19"/>
  <c r="AB30" i="19"/>
  <c r="AB29" i="19"/>
  <c r="BX26" i="19"/>
  <c r="BX25" i="19"/>
  <c r="AA20" i="19"/>
  <c r="AA19" i="19"/>
  <c r="BW18" i="19"/>
  <c r="BK50" i="17"/>
  <c r="AA19" i="17"/>
  <c r="AA18" i="17"/>
  <c r="AB29" i="17"/>
  <c r="AB30" i="17"/>
  <c r="AG35" i="17"/>
  <c r="AB35" i="17"/>
  <c r="AB34" i="17"/>
  <c r="BB73" i="17"/>
  <c r="BB71" i="17"/>
  <c r="BB69" i="17"/>
  <c r="BX72" i="17"/>
  <c r="G34" i="1"/>
  <c r="G35" i="1"/>
  <c r="G36" i="1"/>
  <c r="G38" i="1" a="1"/>
  <c r="G38" i="1"/>
  <c r="E36" i="1"/>
  <c r="C36" i="1"/>
  <c r="G32" i="1"/>
  <c r="E32" i="1"/>
  <c r="C32" i="1"/>
  <c r="E35" i="1"/>
  <c r="C35" i="1"/>
  <c r="E30" i="1"/>
  <c r="C30" i="1"/>
  <c r="B31" i="1"/>
  <c r="G37" i="1" a="1"/>
  <c r="C38" i="1" a="1"/>
  <c r="C37" i="1" a="1"/>
  <c r="C37" i="1"/>
  <c r="C38" i="1"/>
  <c r="G37" i="1"/>
  <c r="G39" i="1"/>
  <c r="E37" i="1" a="1"/>
  <c r="E38" i="1" a="1"/>
  <c r="E38" i="1"/>
  <c r="E39" i="1"/>
  <c r="E37" i="1"/>
  <c r="C39" i="1"/>
  <c r="F40" i="1"/>
  <c r="G4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<sst xmlns="http://schemas.openxmlformats.org/spreadsheetml/2006/main" count="398" uniqueCount="175">
  <si>
    <t>Date:</t>
  </si>
  <si>
    <t>Version:</t>
  </si>
  <si>
    <t>Job No.</t>
  </si>
  <si>
    <t>A4035434</t>
  </si>
  <si>
    <t>LW</t>
  </si>
  <si>
    <t>HCB SOLAR | LG ELECTRONICS</t>
  </si>
  <si>
    <t>ACCREDIATION</t>
  </si>
  <si>
    <t>DATE</t>
  </si>
  <si>
    <t>APPROVED</t>
  </si>
  <si>
    <t>CHECKED</t>
  </si>
  <si>
    <t>DRAWN</t>
  </si>
  <si>
    <t>Project</t>
  </si>
  <si>
    <t>Solar Design</t>
  </si>
  <si>
    <t>SCALE: NTS</t>
  </si>
  <si>
    <t>Client</t>
  </si>
  <si>
    <t>Project Management</t>
  </si>
  <si>
    <t>REVISION DESCRIPTION</t>
  </si>
  <si>
    <t>PV Single Line Diagram</t>
  </si>
  <si>
    <t>TITLE</t>
  </si>
  <si>
    <t>per conductor unless otherwise noted.</t>
  </si>
  <si>
    <t>5. All DC and earth cable sizes shall be min 4mm2</t>
  </si>
  <si>
    <t>4. Design is compliant with AS5033/2012</t>
  </si>
  <si>
    <t>per relevant Australian Standards</t>
  </si>
  <si>
    <t>3. All the safety related issues shall be addressed as</t>
  </si>
  <si>
    <t>as per relevant Australian Standards</t>
  </si>
  <si>
    <t xml:space="preserve">2. The cables/switches shall be designed and installed </t>
  </si>
  <si>
    <t>Australian Standards</t>
  </si>
  <si>
    <t>licensed electrical contractor as per relevant</t>
  </si>
  <si>
    <t xml:space="preserve">1. The installation shall be completed by a </t>
  </si>
  <si>
    <t>Notes:</t>
  </si>
  <si>
    <t>Metering as agreed with Distrib.</t>
  </si>
  <si>
    <t>M1</t>
  </si>
  <si>
    <t>PANELS</t>
  </si>
  <si>
    <t>Description</t>
  </si>
  <si>
    <t>Qty</t>
  </si>
  <si>
    <t>ID</t>
  </si>
  <si>
    <t>Bill of Quantities</t>
  </si>
  <si>
    <t>Total kWac</t>
  </si>
  <si>
    <t>Model</t>
  </si>
  <si>
    <t>Make</t>
  </si>
  <si>
    <t>Inverter Parameters</t>
  </si>
  <si>
    <t>Short Circuit Current</t>
  </si>
  <si>
    <t>Open Circuit Voltage</t>
  </si>
  <si>
    <t>Module Power</t>
  </si>
  <si>
    <t>Solar Panel Parameters</t>
  </si>
  <si>
    <t>Customer:</t>
  </si>
  <si>
    <t>Address:</t>
  </si>
  <si>
    <t>Consumer Mains</t>
  </si>
  <si>
    <t>Main Switchboard to Inverter</t>
  </si>
  <si>
    <t>Phases</t>
  </si>
  <si>
    <t>Conductor Type</t>
  </si>
  <si>
    <t>Copper</t>
  </si>
  <si>
    <t>Conductor Size</t>
  </si>
  <si>
    <t>Conductor Length (m)</t>
  </si>
  <si>
    <t>Maximum Amperage/Phase</t>
  </si>
  <si>
    <t>Am per %Vd</t>
  </si>
  <si>
    <t>(%) Voltage Drop</t>
  </si>
  <si>
    <t>(V) Voltage Drop</t>
  </si>
  <si>
    <t>LG Electronics</t>
  </si>
  <si>
    <t>Main Switch</t>
  </si>
  <si>
    <t>MSB</t>
  </si>
  <si>
    <t>JS</t>
  </si>
  <si>
    <t>LG NeON 2</t>
  </si>
  <si>
    <t xml:space="preserve">Miller, Ian </t>
  </si>
  <si>
    <t>Client Information</t>
  </si>
  <si>
    <t>Job Number</t>
  </si>
  <si>
    <t>Address</t>
  </si>
  <si>
    <t>Client Name</t>
  </si>
  <si>
    <t>Panel Manufacturer</t>
  </si>
  <si>
    <t>Panel Model</t>
  </si>
  <si>
    <t>Panel Number</t>
  </si>
  <si>
    <t>Inverter Manufacturer</t>
  </si>
  <si>
    <t>Inverter Model</t>
  </si>
  <si>
    <t>Panel Information</t>
  </si>
  <si>
    <t>Panel Power</t>
  </si>
  <si>
    <t>Panel Voc</t>
  </si>
  <si>
    <t>Panel Isc</t>
  </si>
  <si>
    <t>154 Princeton Ave  Adamstown Heights</t>
  </si>
  <si>
    <t>Inverter Information</t>
  </si>
  <si>
    <t>SMA</t>
  </si>
  <si>
    <t>SB4.0-1AV-40</t>
  </si>
  <si>
    <t>Vrise Info</t>
  </si>
  <si>
    <t>Service Main</t>
  </si>
  <si>
    <t>Consumer Main</t>
  </si>
  <si>
    <t xml:space="preserve">MSB </t>
  </si>
  <si>
    <t>Chosen Cable size</t>
  </si>
  <si>
    <t>Monitoring</t>
  </si>
  <si>
    <t>Arrays:</t>
  </si>
  <si>
    <t>Model:</t>
  </si>
  <si>
    <t>L1</t>
  </si>
  <si>
    <t>L2</t>
  </si>
  <si>
    <t>L3</t>
  </si>
  <si>
    <t>ENP 01</t>
  </si>
  <si>
    <t>Max current</t>
  </si>
  <si>
    <t>String1L1</t>
  </si>
  <si>
    <t>String1L2</t>
  </si>
  <si>
    <t>String1L3</t>
  </si>
  <si>
    <t>Extra Info</t>
  </si>
  <si>
    <t>Existing array (kWac)</t>
  </si>
  <si>
    <t>Block diag (0/1)</t>
  </si>
  <si>
    <t xml:space="preserve">Phases </t>
  </si>
  <si>
    <t>Battery Parameters</t>
  </si>
  <si>
    <t>No. Of batteries</t>
  </si>
  <si>
    <t>Tesla</t>
  </si>
  <si>
    <t>Powerwall 2</t>
  </si>
  <si>
    <t>Rated output power</t>
  </si>
  <si>
    <t>kW</t>
  </si>
  <si>
    <t>Rated capacity</t>
  </si>
  <si>
    <t>kWh</t>
  </si>
  <si>
    <t>A</t>
  </si>
  <si>
    <t>Battery system</t>
  </si>
  <si>
    <t>Max DC Volts</t>
  </si>
  <si>
    <t>V</t>
  </si>
  <si>
    <t xml:space="preserve">Main Switch </t>
  </si>
  <si>
    <t>Inverter supply</t>
  </si>
  <si>
    <t>No. of Inverters:</t>
  </si>
  <si>
    <t>Total Rated AC Power</t>
  </si>
  <si>
    <t xml:space="preserve">Battery system </t>
  </si>
  <si>
    <t>Isolator</t>
  </si>
  <si>
    <t>IQ7+</t>
  </si>
  <si>
    <t>BATT 01</t>
  </si>
  <si>
    <t>PW2</t>
  </si>
  <si>
    <t>Total (kW)</t>
  </si>
  <si>
    <t>INVERTER</t>
  </si>
  <si>
    <t>ENCLOSURE</t>
  </si>
  <si>
    <t xml:space="preserve">Enphase Outdoor 3P </t>
  </si>
  <si>
    <t>Q RELAY</t>
  </si>
  <si>
    <t>Solar Supply AC Isolator</t>
  </si>
  <si>
    <t>AC ISOLATOR</t>
  </si>
  <si>
    <t>1 Pole, 240V AC (if requred)</t>
  </si>
  <si>
    <t>ENVOY</t>
  </si>
  <si>
    <t>Enphase Envoy Metered (3P)</t>
  </si>
  <si>
    <t>Backup Bus</t>
  </si>
  <si>
    <t>Non-Backup Bus</t>
  </si>
  <si>
    <t>Tesla Powerwall 2, 5kW</t>
  </si>
  <si>
    <t>Note: In back up mode, only one phase is energized</t>
  </si>
  <si>
    <t>Max output fault current</t>
  </si>
  <si>
    <t>Inverter 1</t>
  </si>
  <si>
    <t>A.C Isolator</t>
  </si>
  <si>
    <t xml:space="preserve">    Inverter supply</t>
  </si>
  <si>
    <t>Inv</t>
  </si>
  <si>
    <t>N.Panels</t>
  </si>
  <si>
    <t>Voc</t>
  </si>
  <si>
    <t>Isc</t>
  </si>
  <si>
    <t>Inverter Phases</t>
  </si>
  <si>
    <t>Iout Max</t>
  </si>
  <si>
    <t>MpptA1</t>
  </si>
  <si>
    <t>MpptA2</t>
  </si>
  <si>
    <t>MpptB1</t>
  </si>
  <si>
    <t>MpptB2</t>
  </si>
  <si>
    <t>Panels</t>
  </si>
  <si>
    <t>String</t>
  </si>
  <si>
    <t>P.V. Array</t>
  </si>
  <si>
    <t>D.C. Isolator</t>
  </si>
  <si>
    <t>Grid Connect</t>
  </si>
  <si>
    <t>Inverter No. 1</t>
  </si>
  <si>
    <t>B</t>
  </si>
  <si>
    <t>Mppt</t>
  </si>
  <si>
    <t>No. Of Panels</t>
  </si>
  <si>
    <t>Total kWdc</t>
  </si>
  <si>
    <t>Rated AC Power</t>
  </si>
  <si>
    <t xml:space="preserve">20 Jan 2021 </t>
  </si>
  <si>
    <t>SLD Notes</t>
  </si>
  <si>
    <t>Vrise Notes</t>
  </si>
  <si>
    <t>21 Jan 2021</t>
  </si>
  <si>
    <t xml:space="preserve">21 Jan 2021 </t>
  </si>
  <si>
    <t>House DB</t>
  </si>
  <si>
    <t>Max. DC Voltage</t>
  </si>
  <si>
    <t>Gateway</t>
  </si>
  <si>
    <t>Tesla Gateway</t>
  </si>
  <si>
    <t>PowerWall 2</t>
  </si>
  <si>
    <t>Tesla Powerwall 2 (5kW, 13.5 kWh)</t>
  </si>
  <si>
    <t>AC isolators (1P for battery)</t>
  </si>
  <si>
    <t>DC Isolators</t>
  </si>
  <si>
    <t>DC Isolator, 1000V DC, 32A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</si>
</sst>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d/mm/yy;@"/>
    <numFmt numFmtId="165" formatCode="#.0\ \k\W\a\c"/>
    <numFmt numFmtId="166" formatCode="#.##\ \A"/>
    <numFmt numFmtId="167" formatCode="#.#\ \V"/>
    <numFmt numFmtId="168" formatCode="#\ \W"/>
    <numFmt numFmtId="169" formatCode="#.0\ \k\W"/>
    <numFmt numFmtId="170" formatCode="0\ &quot;Phase&quot;"/>
    <numFmt numFmtId="171" formatCode="0\ &quot;mm2&quot;"/>
    <numFmt numFmtId="172" formatCode="0.00000"/>
    <numFmt numFmtId="173" formatCode="#.##\ \k\W\d\c"/>
    <numFmt numFmtId="174" formatCode="0.#\ \k\W\a\c"/>
  </numFmts>
  <fonts count="1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u/>
      <sz val="12"/>
      <color theme="1"/>
      <name val="Calibri"/>
      <family val="2"/>
      <scheme val="minor"/>
    </font>
    <font>
      <b/>
      <u/>
      <sz val="12"/>
      <color theme="1"/>
      <name val="Calibri (Body)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rgb="FF000000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3" fillId="0" borderId="0"/>
    <xf numFmtId="9" fontId="3" fillId="0" borderId="0" applyFont="0" applyFill="0" applyBorder="0" applyAlignment="0" applyProtection="0"/>
  </cellStyleXfs>
  <cellXfs count="246">
    <xf numFmtId="0" fontId="0" fillId="0" borderId="0" xfId="0"/>
    <xf numFmtId="0" fontId="0" fillId="0" borderId="1" xfId="0" applyBorder="1"/>
    <xf numFmtId="0" fontId="0" fillId="0" borderId="2" xfId="0" applyBorder="1"/>
    <xf numFmtId="49" fontId="0" fillId="0" borderId="2" xfId="0" applyNumberFormat="1" applyBorder="1"/>
    <xf numFmtId="0" fontId="0" fillId="0" borderId="4" xfId="0" applyBorder="1"/>
    <xf numFmtId="0" fontId="0" fillId="0" borderId="7" xfId="0" applyBorder="1"/>
    <xf numFmtId="0" fontId="1" fillId="0" borderId="3" xfId="0" applyFont="1" applyBorder="1"/>
    <xf numFmtId="0" fontId="2" fillId="0" borderId="0" xfId="0" applyFont="1"/>
    <xf numFmtId="166" fontId="0" fillId="0" borderId="0" xfId="0" applyNumberFormat="1"/>
    <xf numFmtId="0" fontId="0" fillId="0" borderId="0" xfId="0"/>
    <xf numFmtId="0" fontId="0" fillId="0" borderId="0" xfId="0" applyAlignment="1">
      <alignment vertical="center"/>
    </xf>
    <xf numFmtId="0" fontId="4" fillId="0" borderId="6" xfId="0" applyFont="1" applyBorder="1"/>
    <xf numFmtId="0" fontId="3" fillId="0" borderId="12" xfId="0" applyFont="1" applyBorder="1"/>
    <xf numFmtId="0" fontId="3" fillId="0" borderId="13" xfId="0" applyFont="1" applyBorder="1"/>
    <xf numFmtId="165" fontId="3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2" fontId="0" fillId="0" borderId="0" xfId="0" applyNumberFormat="1"/>
    <xf numFmtId="0" fontId="0" fillId="2" borderId="0" xfId="0" applyFill="1"/>
    <xf numFmtId="0" fontId="0" fillId="2" borderId="2" xfId="0" applyFill="1" applyBorder="1"/>
    <xf numFmtId="0" fontId="5" fillId="2" borderId="3" xfId="0" applyFont="1" applyFill="1" applyBorder="1"/>
    <xf numFmtId="0" fontId="5" fillId="2" borderId="0" xfId="0" applyFont="1" applyFill="1"/>
    <xf numFmtId="0" fontId="5" fillId="2" borderId="8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3" xfId="0" applyFill="1" applyBorder="1"/>
    <xf numFmtId="0" fontId="0" fillId="2" borderId="0" xfId="0" quotePrefix="1" applyFill="1"/>
    <xf numFmtId="0" fontId="0" fillId="0" borderId="0" xfId="0" applyAlignment="1">
      <alignment horizontal="center"/>
    </xf>
    <xf numFmtId="0" fontId="6" fillId="0" borderId="14" xfId="1" applyFont="1" applyBorder="1" applyAlignment="1">
      <alignment horizontal="right"/>
    </xf>
    <xf numFmtId="0" fontId="3" fillId="0" borderId="15" xfId="1" applyBorder="1" applyProtection="1">
      <protection locked="0"/>
    </xf>
    <xf numFmtId="0" fontId="3" fillId="0" borderId="19" xfId="1" applyBorder="1"/>
    <xf numFmtId="170" fontId="3" fillId="0" borderId="3" xfId="1" applyNumberFormat="1" applyBorder="1" applyProtection="1">
      <protection locked="0"/>
    </xf>
    <xf numFmtId="0" fontId="3" fillId="0" borderId="20" xfId="1" applyBorder="1"/>
    <xf numFmtId="170" fontId="3" fillId="0" borderId="21" xfId="1" applyNumberFormat="1" applyBorder="1" applyProtection="1">
      <protection locked="0"/>
    </xf>
    <xf numFmtId="0" fontId="3" fillId="0" borderId="3" xfId="1" applyBorder="1" applyProtection="1">
      <protection locked="0"/>
    </xf>
    <xf numFmtId="0" fontId="3" fillId="0" borderId="22" xfId="1" applyBorder="1" applyProtection="1">
      <protection locked="0"/>
    </xf>
    <xf numFmtId="0" fontId="3" fillId="0" borderId="1" xfId="1" applyBorder="1"/>
    <xf numFmtId="0" fontId="3" fillId="0" borderId="23" xfId="1" applyBorder="1" applyProtection="1">
      <protection locked="0"/>
    </xf>
    <xf numFmtId="0" fontId="3" fillId="0" borderId="24" xfId="1" applyBorder="1"/>
    <xf numFmtId="171" fontId="3" fillId="0" borderId="0" xfId="1" applyNumberFormat="1"/>
    <xf numFmtId="171" fontId="3" fillId="0" borderId="25" xfId="1" applyNumberFormat="1" applyBorder="1"/>
    <xf numFmtId="0" fontId="3" fillId="0" borderId="26" xfId="1" applyBorder="1"/>
    <xf numFmtId="2" fontId="3" fillId="0" borderId="6" xfId="1" applyNumberFormat="1" applyBorder="1" applyProtection="1">
      <protection locked="0"/>
    </xf>
    <xf numFmtId="2" fontId="3" fillId="0" borderId="27" xfId="1" applyNumberFormat="1" applyBorder="1" applyProtection="1">
      <protection locked="0"/>
    </xf>
    <xf numFmtId="2" fontId="3" fillId="0" borderId="5" xfId="1" applyNumberFormat="1" applyBorder="1" applyProtection="1">
      <protection locked="0"/>
    </xf>
    <xf numFmtId="2" fontId="3" fillId="0" borderId="28" xfId="1" applyNumberFormat="1" applyBorder="1" applyProtection="1">
      <protection locked="0"/>
    </xf>
    <xf numFmtId="0" fontId="3" fillId="0" borderId="29" xfId="1" applyBorder="1" applyAlignment="1">
      <alignment horizontal="left"/>
    </xf>
    <xf numFmtId="0" fontId="3" fillId="0" borderId="30" xfId="1" applyBorder="1"/>
    <xf numFmtId="0" fontId="3" fillId="0" borderId="31" xfId="1" applyBorder="1" applyAlignment="1">
      <alignment horizontal="left"/>
    </xf>
    <xf numFmtId="0" fontId="3" fillId="0" borderId="28" xfId="1" applyBorder="1"/>
    <xf numFmtId="0" fontId="3" fillId="0" borderId="14" xfId="1" applyBorder="1"/>
    <xf numFmtId="10" fontId="3" fillId="0" borderId="32" xfId="1" applyNumberFormat="1" applyBorder="1"/>
    <xf numFmtId="0" fontId="3" fillId="0" borderId="33" xfId="1" applyBorder="1"/>
    <xf numFmtId="172" fontId="3" fillId="0" borderId="34" xfId="1" applyNumberFormat="1" applyBorder="1"/>
    <xf numFmtId="10" fontId="3" fillId="0" borderId="35" xfId="1" applyNumberFormat="1" applyBorder="1" applyAlignment="1" applyProtection="1">
      <alignment horizontal="left"/>
      <protection locked="0"/>
    </xf>
    <xf numFmtId="0" fontId="3" fillId="0" borderId="32" xfId="1" applyBorder="1" applyAlignment="1" applyProtection="1">
      <alignment horizontal="left"/>
      <protection locked="0"/>
    </xf>
    <xf numFmtId="0" fontId="3" fillId="0" borderId="39" xfId="1" applyBorder="1" applyAlignment="1" applyProtection="1">
      <alignment horizontal="left"/>
      <protection locked="0"/>
    </xf>
    <xf numFmtId="0" fontId="3" fillId="0" borderId="40" xfId="1" applyBorder="1" applyAlignment="1" applyProtection="1">
      <alignment horizontal="left"/>
      <protection locked="0"/>
    </xf>
    <xf numFmtId="172" fontId="3" fillId="0" borderId="42" xfId="1" applyNumberFormat="1" applyBorder="1"/>
    <xf numFmtId="10" fontId="3" fillId="0" borderId="43" xfId="1" applyNumberFormat="1" applyBorder="1"/>
    <xf numFmtId="0" fontId="0" fillId="0" borderId="0" xfId="0"/>
    <xf numFmtId="0" fontId="0" fillId="0" borderId="0" xfId="0" applyAlignment="1">
      <alignment horizontal="center" vertical="center"/>
    </xf>
    <xf numFmtId="0" fontId="0" fillId="0" borderId="45" xfId="0" applyBorder="1" applyAlignment="1">
      <alignment horizontal="center"/>
    </xf>
    <xf numFmtId="0" fontId="0" fillId="0" borderId="45" xfId="0" applyBorder="1" applyAlignment="1">
      <alignment horizontal="center" wrapText="1"/>
    </xf>
    <xf numFmtId="0" fontId="0" fillId="0" borderId="45" xfId="0" applyBorder="1" applyAlignment="1">
      <alignment horizontal="center" vertical="center"/>
    </xf>
    <xf numFmtId="0" fontId="0" fillId="2" borderId="45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5" xfId="0" applyFont="1" applyBorder="1"/>
    <xf numFmtId="0" fontId="3" fillId="0" borderId="8" xfId="0" applyFont="1" applyBorder="1"/>
    <xf numFmtId="0" fontId="3" fillId="0" borderId="7" xfId="0" applyFont="1" applyBorder="1"/>
    <xf numFmtId="0" fontId="0" fillId="0" borderId="6" xfId="0" applyBorder="1"/>
    <xf numFmtId="0" fontId="0" fillId="0" borderId="5" xfId="0" applyBorder="1"/>
    <xf numFmtId="0" fontId="0" fillId="0" borderId="8" xfId="0" applyBorder="1"/>
    <xf numFmtId="0" fontId="0" fillId="0" borderId="3" xfId="0" applyBorder="1"/>
    <xf numFmtId="0" fontId="0" fillId="0" borderId="2" xfId="0" applyBorder="1"/>
    <xf numFmtId="169" fontId="0" fillId="0" borderId="0" xfId="0" applyNumberFormat="1"/>
    <xf numFmtId="0" fontId="3" fillId="0" borderId="0" xfId="0" applyFont="1"/>
    <xf numFmtId="0" fontId="3" fillId="0" borderId="6" xfId="0" applyFont="1" applyBorder="1"/>
    <xf numFmtId="0" fontId="3" fillId="0" borderId="4" xfId="0" applyFont="1" applyBorder="1"/>
    <xf numFmtId="0" fontId="3" fillId="0" borderId="1" xfId="0" applyFont="1" applyBorder="1"/>
    <xf numFmtId="0" fontId="3" fillId="0" borderId="3" xfId="0" applyFont="1" applyBorder="1"/>
    <xf numFmtId="0" fontId="3" fillId="0" borderId="2" xfId="0" applyFont="1" applyBorder="1"/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0" fillId="2" borderId="4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8" fillId="0" borderId="0" xfId="0" applyFont="1" applyBorder="1" applyAlignment="1"/>
    <xf numFmtId="0" fontId="8" fillId="0" borderId="0" xfId="0" applyFont="1" applyFill="1" applyBorder="1" applyAlignment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/>
    <xf numFmtId="0" fontId="10" fillId="0" borderId="0" xfId="0" applyFont="1"/>
    <xf numFmtId="0" fontId="5" fillId="0" borderId="0" xfId="0" applyFont="1"/>
    <xf numFmtId="0" fontId="0" fillId="0" borderId="8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" xfId="0" applyBorder="1" applyAlignment="1">
      <alignment vertical="center"/>
    </xf>
    <xf numFmtId="0" fontId="1" fillId="0" borderId="2" xfId="0" applyFont="1" applyBorder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12" xfId="0" applyBorder="1"/>
    <xf numFmtId="0" fontId="0" fillId="0" borderId="10" xfId="0" applyBorder="1"/>
    <xf numFmtId="0" fontId="0" fillId="0" borderId="10" xfId="0" applyBorder="1"/>
    <xf numFmtId="0" fontId="0" fillId="0" borderId="9" xfId="0" applyBorder="1"/>
    <xf numFmtId="0" fontId="0" fillId="0" borderId="9" xfId="0" applyBorder="1" applyAlignment="1">
      <alignment horizontal="center"/>
    </xf>
    <xf numFmtId="0" fontId="0" fillId="0" borderId="0" xfId="0"/>
    <xf numFmtId="0" fontId="1" fillId="0" borderId="0" xfId="0" applyFont="1"/>
    <xf numFmtId="0" fontId="0" fillId="2" borderId="7" xfId="0" quotePrefix="1" applyFill="1" applyBorder="1" applyAlignment="1"/>
    <xf numFmtId="0" fontId="0" fillId="2" borderId="2" xfId="0" applyFill="1" applyBorder="1" applyAlignment="1"/>
    <xf numFmtId="0" fontId="0" fillId="2" borderId="1" xfId="0" applyFill="1" applyBorder="1" applyAlignment="1"/>
    <xf numFmtId="0" fontId="0" fillId="2" borderId="0" xfId="0" applyFill="1" applyAlignment="1"/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1" fillId="0" borderId="0" xfId="0" applyFont="1"/>
    <xf numFmtId="0" fontId="0" fillId="0" borderId="0" xfId="0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1" fillId="0" borderId="0" xfId="0" applyFont="1"/>
    <xf numFmtId="0" fontId="1" fillId="0" borderId="0" xfId="0" applyFont="1"/>
    <xf numFmtId="0" fontId="0" fillId="0" borderId="0" xfId="0"/>
    <xf numFmtId="167" fontId="0" fillId="2" borderId="0" xfId="0" quotePrefix="1" applyNumberFormat="1" applyFill="1" applyAlignment="1">
      <alignment horizontal="center"/>
    </xf>
    <xf numFmtId="167" fontId="0" fillId="2" borderId="7" xfId="0" quotePrefix="1" applyNumberFormat="1" applyFill="1" applyBorder="1" applyAlignment="1">
      <alignment horizontal="center"/>
    </xf>
    <xf numFmtId="166" fontId="0" fillId="2" borderId="0" xfId="0" quotePrefix="1" applyNumberFormat="1" applyFill="1" applyAlignment="1">
      <alignment horizontal="center"/>
    </xf>
    <xf numFmtId="166" fontId="0" fillId="2" borderId="7" xfId="0" quotePrefix="1" applyNumberForma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0" borderId="0" xfId="0" applyFont="1"/>
    <xf numFmtId="0" fontId="0" fillId="0" borderId="0" xfId="0"/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3" fillId="0" borderId="0" xfId="0" applyFont="1" applyBorder="1"/>
    <xf numFmtId="0" fontId="0" fillId="0" borderId="0" xfId="0" applyBorder="1"/>
    <xf numFmtId="0" fontId="0" fillId="2" borderId="0" xfId="0" applyFill="1" applyBorder="1"/>
    <xf numFmtId="0" fontId="0" fillId="0" borderId="0" xfId="0"/>
    <xf numFmtId="0" fontId="1" fillId="0" borderId="0" xfId="0" applyFont="1"/>
    <xf numFmtId="0" fontId="0" fillId="3" borderId="4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13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3" fillId="0" borderId="44" xfId="1" applyBorder="1" applyAlignment="1" applyProtection="1">
      <alignment horizontal="left"/>
      <protection locked="0"/>
    </xf>
    <xf numFmtId="0" fontId="3" fillId="0" borderId="15" xfId="1" applyBorder="1" applyAlignment="1" applyProtection="1">
      <alignment horizontal="left"/>
      <protection locked="0"/>
    </xf>
    <xf numFmtId="0" fontId="3" fillId="0" borderId="16" xfId="1" applyBorder="1" applyAlignment="1" applyProtection="1">
      <alignment horizontal="left"/>
      <protection locked="0"/>
    </xf>
    <xf numFmtId="0" fontId="6" fillId="0" borderId="17" xfId="1" applyFont="1" applyBorder="1" applyAlignment="1">
      <alignment horizontal="center"/>
    </xf>
    <xf numFmtId="0" fontId="6" fillId="0" borderId="16" xfId="1" applyFont="1" applyBorder="1" applyAlignment="1">
      <alignment horizontal="center"/>
    </xf>
    <xf numFmtId="0" fontId="7" fillId="0" borderId="17" xfId="1" applyFont="1" applyBorder="1" applyAlignment="1">
      <alignment horizontal="center"/>
    </xf>
    <xf numFmtId="0" fontId="7" fillId="0" borderId="18" xfId="1" applyFont="1" applyBorder="1" applyAlignment="1">
      <alignment horizontal="center"/>
    </xf>
    <xf numFmtId="0" fontId="3" fillId="0" borderId="34" xfId="1" applyBorder="1" applyAlignment="1">
      <alignment horizontal="right" vertical="top"/>
    </xf>
    <xf numFmtId="0" fontId="3" fillId="0" borderId="38" xfId="1" applyBorder="1" applyAlignment="1">
      <alignment horizontal="right" vertical="top"/>
    </xf>
    <xf numFmtId="10" fontId="0" fillId="3" borderId="36" xfId="2" applyNumberFormat="1" applyFont="1" applyFill="1" applyBorder="1" applyAlignment="1">
      <alignment horizontal="center"/>
    </xf>
    <xf numFmtId="10" fontId="0" fillId="3" borderId="41" xfId="2" applyNumberFormat="1" applyFont="1" applyFill="1" applyBorder="1" applyAlignment="1">
      <alignment horizontal="center"/>
    </xf>
    <xf numFmtId="2" fontId="3" fillId="3" borderId="37" xfId="1" applyNumberFormat="1" applyFill="1" applyBorder="1" applyAlignment="1">
      <alignment horizontal="center"/>
    </xf>
    <xf numFmtId="2" fontId="3" fillId="3" borderId="30" xfId="1" applyNumberFormat="1" applyFill="1" applyBorder="1" applyAlignment="1">
      <alignment horizontal="center"/>
    </xf>
    <xf numFmtId="174" fontId="0" fillId="2" borderId="2" xfId="0" applyNumberFormat="1" applyFill="1" applyBorder="1" applyAlignment="1">
      <alignment horizontal="center"/>
    </xf>
    <xf numFmtId="174" fontId="0" fillId="2" borderId="1" xfId="0" applyNumberFormat="1" applyFill="1" applyBorder="1" applyAlignment="1">
      <alignment horizontal="center"/>
    </xf>
    <xf numFmtId="174" fontId="0" fillId="2" borderId="0" xfId="0" applyNumberFormat="1" applyFill="1" applyAlignment="1">
      <alignment horizontal="center"/>
    </xf>
    <xf numFmtId="174" fontId="0" fillId="2" borderId="7" xfId="0" applyNumberFormat="1" applyFill="1" applyBorder="1" applyAlignment="1">
      <alignment horizontal="center"/>
    </xf>
    <xf numFmtId="0" fontId="0" fillId="2" borderId="0" xfId="0" applyFill="1" applyAlignment="1">
      <alignment horizontal="right" indent="1"/>
    </xf>
    <xf numFmtId="0" fontId="0" fillId="2" borderId="7" xfId="0" applyFill="1" applyBorder="1" applyAlignment="1">
      <alignment horizontal="right" indent="1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166" fontId="0" fillId="2" borderId="0" xfId="0" quotePrefix="1" applyNumberFormat="1" applyFill="1" applyAlignment="1">
      <alignment horizontal="center"/>
    </xf>
    <xf numFmtId="166" fontId="0" fillId="2" borderId="7" xfId="0" quotePrefix="1" applyNumberFormat="1" applyFill="1" applyBorder="1" applyAlignment="1">
      <alignment horizontal="center"/>
    </xf>
    <xf numFmtId="173" fontId="0" fillId="2" borderId="2" xfId="0" quotePrefix="1" applyNumberFormat="1" applyFill="1" applyBorder="1" applyAlignment="1">
      <alignment horizontal="left" indent="5"/>
    </xf>
    <xf numFmtId="173" fontId="0" fillId="2" borderId="1" xfId="0" quotePrefix="1" applyNumberFormat="1" applyFill="1" applyBorder="1" applyAlignment="1">
      <alignment horizontal="left" indent="5"/>
    </xf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0" fillId="2" borderId="7" xfId="0" quotePrefix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5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5" xfId="0" applyBorder="1" applyAlignment="1">
      <alignment horizontal="left"/>
    </xf>
    <xf numFmtId="165" fontId="0" fillId="0" borderId="5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3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165" fontId="3" fillId="0" borderId="8" xfId="0" applyNumberFormat="1" applyFont="1" applyBorder="1" applyAlignment="1">
      <alignment horizontal="left"/>
    </xf>
    <xf numFmtId="165" fontId="3" fillId="0" borderId="0" xfId="0" applyNumberFormat="1" applyFont="1" applyAlignment="1">
      <alignment horizontal="left"/>
    </xf>
    <xf numFmtId="0" fontId="3" fillId="0" borderId="0" xfId="0" applyFont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/>
    <xf numFmtId="2" fontId="0" fillId="0" borderId="0" xfId="0" applyNumberFormat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/>
    <xf numFmtId="168" fontId="0" fillId="2" borderId="0" xfId="0" applyNumberFormat="1" applyFill="1" applyAlignment="1">
      <alignment horizontal="center"/>
    </xf>
    <xf numFmtId="167" fontId="0" fillId="2" borderId="0" xfId="0" quotePrefix="1" applyNumberFormat="1" applyFill="1" applyAlignment="1">
      <alignment horizontal="center"/>
    </xf>
    <xf numFmtId="168" fontId="0" fillId="2" borderId="7" xfId="0" applyNumberFormat="1" applyFill="1" applyBorder="1" applyAlignment="1">
      <alignment horizontal="center"/>
    </xf>
    <xf numFmtId="167" fontId="0" fillId="2" borderId="7" xfId="0" quotePrefix="1" applyNumberFormat="1" applyFill="1" applyBorder="1" applyAlignment="1">
      <alignment horizontal="center"/>
    </xf>
    <xf numFmtId="0" fontId="0" fillId="2" borderId="0" xfId="0" quotePrefix="1" applyFill="1" applyAlignment="1">
      <alignment horizontal="center"/>
    </xf>
    <xf numFmtId="0" fontId="0" fillId="2" borderId="0" xfId="0" quotePrefix="1" applyFill="1" applyAlignment="1">
      <alignment horizontal="left" indent="3"/>
    </xf>
    <xf numFmtId="0" fontId="0" fillId="2" borderId="0" xfId="0" quotePrefix="1" applyFill="1" applyAlignment="1">
      <alignment horizontal="left" indent="1"/>
    </xf>
    <xf numFmtId="169" fontId="0" fillId="2" borderId="2" xfId="0" applyNumberFormat="1" applyFill="1" applyBorder="1" applyAlignment="1">
      <alignment horizontal="center"/>
    </xf>
    <xf numFmtId="169" fontId="0" fillId="2" borderId="1" xfId="0" applyNumberFormat="1" applyFill="1" applyBorder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73" fontId="0" fillId="2" borderId="2" xfId="0" quotePrefix="1" applyNumberFormat="1" applyFill="1" applyBorder="1" applyAlignment="1">
      <alignment horizontal="center"/>
    </xf>
    <xf numFmtId="173" fontId="0" fillId="2" borderId="1" xfId="0" quotePrefix="1" applyNumberFormat="1" applyFill="1" applyBorder="1" applyAlignment="1">
      <alignment horizontal="center"/>
    </xf>
    <xf numFmtId="2" fontId="0" fillId="0" borderId="5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7" xfId="0" quotePrefix="1" applyFill="1" applyBorder="1" applyAlignment="1">
      <alignment horizontal="left" indent="3"/>
    </xf>
  </cellXfs>
  <cellStyles count="3">
    <cellStyle name="Normal" xfId="0" builtinId="0"/>
    <cellStyle name="Normal 3" xfId="1" xr:uid="{376FB5DB-2D5B-4841-934A-0E5770B9E993}"/>
    <cellStyle name="Percent 2" xfId="2" xr:uid="{E4FC78C9-C0D4-3C41-AE14-A669A742AAD1}"/>
  </cellStyles>
  <dxfs count="21"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009E47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812799</xdr:colOff>
      <xdr:row>10</xdr:row>
      <xdr:rowOff>168275</xdr:rowOff>
    </xdr:from>
    <xdr:to>
      <xdr:col>6</xdr:col>
      <xdr:colOff>822325</xdr:colOff>
      <xdr:row>22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2799" y="2200275"/>
          <a:ext cx="9928226" cy="2384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139700</xdr:colOff>
      <xdr:row>0</xdr:row>
      <xdr:rowOff>50800</xdr:rowOff>
    </xdr:from>
    <xdr:to>
      <xdr:col>2</xdr:col>
      <xdr:colOff>1511300</xdr:colOff>
      <xdr:row>5</xdr:row>
      <xdr:rowOff>38100</xdr:rowOff>
    </xdr:to>
    <xdr:pic>
      <xdr:nvPicPr>
        <xdr:cNvPr id="3" name="Picture 2" descr="HCBSolar_Gradient_CMYK.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00" y="50800"/>
          <a:ext cx="4102100" cy="1003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1409700</xdr:colOff>
          <xdr:row>16</xdr:row>
          <xdr:rowOff>152400</xdr:rowOff>
        </xdr:from>
        <xdr:to>
          <xdr:col>8</xdr:col>
          <xdr:colOff>508000</xdr:colOff>
          <xdr:row>18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54000" y="221606"/>
          <a:ext cx="206411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9412" y="14140329"/>
          <a:ext cx="2942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6</xdr:col>
      <xdr:colOff>152400</xdr:colOff>
      <xdr:row>21</xdr:row>
      <xdr:rowOff>98891</xdr:rowOff>
    </xdr:from>
    <xdr:to>
      <xdr:col>21</xdr:col>
      <xdr:colOff>67733</xdr:colOff>
      <xdr:row>21</xdr:row>
      <xdr:rowOff>98891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>
          <a:off x="1676400" y="4366091"/>
          <a:ext cx="372533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251970</xdr:colOff>
      <xdr:row>21</xdr:row>
      <xdr:rowOff>97225</xdr:rowOff>
    </xdr:from>
    <xdr:to>
      <xdr:col>12</xdr:col>
      <xdr:colOff>251970</xdr:colOff>
      <xdr:row>24</xdr:row>
      <xdr:rowOff>182297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 flipV="1">
          <a:off x="3299970" y="4364425"/>
          <a:ext cx="0" cy="69467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3011176" y="483012"/>
          <a:ext cx="596457" cy="3874862"/>
          <a:chOff x="3039217" y="322189"/>
          <a:chExt cx="594111" cy="3834356"/>
        </a:xfrm>
      </xdr:grpSpPr>
      <xdr:sp macro="" textlink="">
        <xdr:nvSpPr>
          <xdr:cNvPr id="7" name="Shape 27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9" name="Shape 27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" name="Shape 26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12" name="Shape 27">
                <a:extLst>
                  <a:ext uri="{FF2B5EF4-FFF2-40B4-BE49-F238E27FC236}">
                    <a16:creationId xmlns:a16="http://schemas.microsoft.com/office/drawing/2014/main" id="{00000000-0008-0000-0200-00000C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00000000-0008-0000-0200-00000D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14" name="Oval 13">
                  <a:extLst>
                    <a:ext uri="{FF2B5EF4-FFF2-40B4-BE49-F238E27FC236}">
                      <a16:creationId xmlns:a16="http://schemas.microsoft.com/office/drawing/2014/main" id="{00000000-0008-0000-0200-00000E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15" name="Group 14">
                  <a:extLst>
                    <a:ext uri="{FF2B5EF4-FFF2-40B4-BE49-F238E27FC236}">
                      <a16:creationId xmlns:a16="http://schemas.microsoft.com/office/drawing/2014/main" id="{00000000-0008-0000-0200-00000F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16" name="Shape 22">
                    <a:extLst>
                      <a:ext uri="{FF2B5EF4-FFF2-40B4-BE49-F238E27FC236}">
                        <a16:creationId xmlns:a16="http://schemas.microsoft.com/office/drawing/2014/main" id="{00000000-0008-0000-0200-000010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:ma14="http://schemas.microsoft.com/office/mac/drawingml/2011/main" xmlns="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17" name="Group 16">
                    <a:extLst>
                      <a:ext uri="{FF2B5EF4-FFF2-40B4-BE49-F238E27FC236}">
                        <a16:creationId xmlns:a16="http://schemas.microsoft.com/office/drawing/2014/main" id="{00000000-0008-0000-0200-000011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18" name="Shape 18">
                      <a:extLst>
                        <a:ext uri="{FF2B5EF4-FFF2-40B4-BE49-F238E27FC236}">
                          <a16:creationId xmlns:a16="http://schemas.microsoft.com/office/drawing/2014/main" id="{00000000-0008-0000-0200-000012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9" name="Shape 18">
                      <a:extLst>
                        <a:ext uri="{FF2B5EF4-FFF2-40B4-BE49-F238E27FC236}">
                          <a16:creationId xmlns:a16="http://schemas.microsoft.com/office/drawing/2014/main" id="{00000000-0008-0000-0200-000013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20" name="Straight Connector 19">
                      <a:extLst>
                        <a:ext uri="{FF2B5EF4-FFF2-40B4-BE49-F238E27FC236}">
                          <a16:creationId xmlns:a16="http://schemas.microsoft.com/office/drawing/2014/main" id="{00000000-0008-0000-0200-000014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1" name="Straight Connector 20">
                      <a:extLst>
                        <a:ext uri="{FF2B5EF4-FFF2-40B4-BE49-F238E27FC236}">
                          <a16:creationId xmlns:a16="http://schemas.microsoft.com/office/drawing/2014/main" id="{00000000-0008-0000-0200-000015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" name="Straight Connector 21">
                      <a:extLst>
                        <a:ext uri="{FF2B5EF4-FFF2-40B4-BE49-F238E27FC236}">
                          <a16:creationId xmlns:a16="http://schemas.microsoft.com/office/drawing/2014/main" id="{00000000-0008-0000-0200-000016000000}"/>
                        </a:ext>
                      </a:extLst>
                    </xdr:cNvPr>
                    <xdr:cNvCxnSpPr>
                      <a:endCxn id="19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3" name="Rectangle 22">
                      <a:extLst>
                        <a:ext uri="{FF2B5EF4-FFF2-40B4-BE49-F238E27FC236}">
                          <a16:creationId xmlns:a16="http://schemas.microsoft.com/office/drawing/2014/main" id="{00000000-0008-0000-0200-000017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24" name="3PR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038816" y="483012"/>
          <a:ext cx="598746" cy="3874861"/>
          <a:chOff x="10975311" y="1118934"/>
          <a:chExt cx="590576" cy="4001288"/>
        </a:xfrm>
      </xdr:grpSpPr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33" name="Oval 32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34" name="Shape 27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5" name="Shape 22">
              <a:extLst>
                <a:ext uri="{FF2B5EF4-FFF2-40B4-BE49-F238E27FC236}">
                  <a16:creationId xmlns:a16="http://schemas.microsoft.com/office/drawing/2014/main" id="{00000000-0008-0000-0200-000023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:ma14="http://schemas.microsoft.com/office/mac/drawingml/2011/main" xmlns="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36" name="Shape 27">
              <a:extLst>
                <a:ext uri="{FF2B5EF4-FFF2-40B4-BE49-F238E27FC236}">
                  <a16:creationId xmlns:a16="http://schemas.microsoft.com/office/drawing/2014/main" id="{00000000-0008-0000-0200-000024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7" name="Shape 27">
              <a:extLst>
                <a:ext uri="{FF2B5EF4-FFF2-40B4-BE49-F238E27FC236}">
                  <a16:creationId xmlns:a16="http://schemas.microsoft.com/office/drawing/2014/main" id="{00000000-0008-0000-0200-000025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8" name="Shape 26">
              <a:extLst>
                <a:ext uri="{FF2B5EF4-FFF2-40B4-BE49-F238E27FC236}">
                  <a16:creationId xmlns:a16="http://schemas.microsoft.com/office/drawing/2014/main" id="{00000000-0008-0000-0200-000026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7" name="Shape 18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8" name="Shape 18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9" name="Straight Connector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" name="Straight Connector 29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" name="Straight Connector 30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CxnSpPr>
              <a:endCxn id="28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7</xdr:col>
      <xdr:colOff>219314</xdr:colOff>
      <xdr:row>2</xdr:row>
      <xdr:rowOff>74390</xdr:rowOff>
    </xdr:from>
    <xdr:to>
      <xdr:col>10</xdr:col>
      <xdr:colOff>58684</xdr:colOff>
      <xdr:row>21</xdr:row>
      <xdr:rowOff>42683</xdr:rowOff>
    </xdr:to>
    <xdr:grpSp>
      <xdr:nvGrpSpPr>
        <xdr:cNvPr id="39" name="3PL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pSpPr/>
      </xdr:nvGrpSpPr>
      <xdr:grpSpPr>
        <a:xfrm>
          <a:off x="1981296" y="486282"/>
          <a:ext cx="594505" cy="3881266"/>
          <a:chOff x="2012467" y="325459"/>
          <a:chExt cx="592158" cy="3840760"/>
        </a:xfrm>
      </xdr:grpSpPr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GrpSpPr/>
        </xdr:nvGrpSpPr>
        <xdr:grpSpPr>
          <a:xfrm>
            <a:off x="2012467" y="325459"/>
            <a:ext cx="592158" cy="3836226"/>
            <a:chOff x="10975311" y="1118934"/>
            <a:chExt cx="590576" cy="4000451"/>
          </a:xfrm>
        </xdr:grpSpPr>
        <xdr:grpSp>
          <xdr:nvGrpSpPr>
            <xdr:cNvPr id="42" name="Group 41">
              <a:extLst>
                <a:ext uri="{FF2B5EF4-FFF2-40B4-BE49-F238E27FC236}">
                  <a16:creationId xmlns:a16="http://schemas.microsoft.com/office/drawing/2014/main" id="{00000000-0008-0000-0200-00002A000000}"/>
                </a:ext>
              </a:extLst>
            </xdr:cNvPr>
            <xdr:cNvGrpSpPr/>
          </xdr:nvGrpSpPr>
          <xdr:grpSpPr>
            <a:xfrm>
              <a:off x="10975311" y="1118934"/>
              <a:ext cx="590576" cy="3157044"/>
              <a:chOff x="10975311" y="1118934"/>
              <a:chExt cx="590576" cy="3157044"/>
            </a:xfrm>
          </xdr:grpSpPr>
          <xdr:sp macro="" textlink="">
            <xdr:nvSpPr>
              <xdr:cNvPr id="49" name="Oval 48">
                <a:extLst>
                  <a:ext uri="{FF2B5EF4-FFF2-40B4-BE49-F238E27FC236}">
                    <a16:creationId xmlns:a16="http://schemas.microsoft.com/office/drawing/2014/main" id="{00000000-0008-0000-0200-000031000000}"/>
                  </a:ext>
                </a:extLst>
              </xdr:cNvPr>
              <xdr:cNvSpPr/>
            </xdr:nvSpPr>
            <xdr:spPr>
              <a:xfrm>
                <a:off x="10975311" y="2769957"/>
                <a:ext cx="590576" cy="590576"/>
              </a:xfrm>
              <a:prstGeom prst="ellipse">
                <a:avLst/>
              </a:prstGeom>
              <a:solidFill>
                <a:schemeClr val="bg1"/>
              </a:solidFill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50" name="Shape 27">
                <a:extLst>
                  <a:ext uri="{FF2B5EF4-FFF2-40B4-BE49-F238E27FC236}">
                    <a16:creationId xmlns:a16="http://schemas.microsoft.com/office/drawing/2014/main" id="{00000000-0008-0000-0200-000032000000}"/>
                  </a:ext>
                </a:extLst>
              </xdr:cNvPr>
              <xdr:cNvSpPr/>
            </xdr:nvSpPr>
            <xdr:spPr>
              <a:xfrm>
                <a:off x="11222694" y="111893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1" name="Shape 22">
                <a:extLst>
                  <a:ext uri="{FF2B5EF4-FFF2-40B4-BE49-F238E27FC236}">
                    <a16:creationId xmlns:a16="http://schemas.microsoft.com/office/drawing/2014/main" id="{00000000-0008-0000-0200-000033000000}"/>
                  </a:ext>
                </a:extLst>
              </xdr:cNvPr>
              <xdr:cNvSpPr/>
            </xdr:nvSpPr>
            <xdr:spPr>
              <a:xfrm>
                <a:off x="11173983" y="2958107"/>
                <a:ext cx="229894" cy="214279"/>
              </a:xfrm>
              <a:prstGeom prst="rect">
                <a:avLst/>
              </a:prstGeom>
              <a:noFill/>
              <a:ln w="12700" cap="flat">
                <a:noFill/>
                <a:miter lim="400000"/>
              </a:ln>
              <a:effectLst/>
              <a:extLst>
                <a:ext uri="{C572A759-6A51-4108-AA02-DFA0A04FC94B}">
                  <ma14:wrappingTextBoxFlag xmlns:ma14="http://schemas.microsoft.com/office/mac/drawingml/2011/main" xmlns="" val="1"/>
                </a:ext>
              </a:extLst>
            </xdr:spPr>
            <xdr:txBody>
              <a:bodyPr wrap="square" lIns="50800" tIns="50800" rIns="50800" bIns="50800" numCol="1" anchor="ctr">
                <a:noAutofit/>
              </a:bodyPr>
              <a:lstStyle/>
              <a:p>
                <a:pPr marL="0" marR="0" lvl="0" indent="0" algn="ctr" defTabSz="45720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r>
                  <a:rPr sz="1400" b="1" i="0" u="none" strike="noStrike" cap="none" spc="0" baseline="0">
                    <a:ln>
                      <a:noFill/>
                    </a:ln>
                    <a:solidFill>
                      <a:srgbClr val="000000"/>
                    </a:solidFill>
                    <a:uFillTx/>
                    <a:latin typeface="+mn-lt"/>
                    <a:ea typeface="+mn-ea"/>
                    <a:cs typeface="+mn-cs"/>
                    <a:sym typeface="Helvetica"/>
                  </a:rPr>
                  <a:t>M</a:t>
                </a:r>
              </a:p>
            </xdr:txBody>
          </xdr:sp>
          <xdr:sp macro="" textlink="">
            <xdr:nvSpPr>
              <xdr:cNvPr id="52" name="Shape 27">
                <a:extLst>
                  <a:ext uri="{FF2B5EF4-FFF2-40B4-BE49-F238E27FC236}">
                    <a16:creationId xmlns:a16="http://schemas.microsoft.com/office/drawing/2014/main" id="{00000000-0008-0000-0200-000034000000}"/>
                  </a:ext>
                </a:extLst>
              </xdr:cNvPr>
              <xdr:cNvSpPr/>
            </xdr:nvSpPr>
            <xdr:spPr>
              <a:xfrm>
                <a:off x="11220477" y="377391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3" name="Shape 27">
                <a:extLst>
                  <a:ext uri="{FF2B5EF4-FFF2-40B4-BE49-F238E27FC236}">
                    <a16:creationId xmlns:a16="http://schemas.microsoft.com/office/drawing/2014/main" id="{00000000-0008-0000-0200-000035000000}"/>
                  </a:ext>
                </a:extLst>
              </xdr:cNvPr>
              <xdr:cNvSpPr/>
            </xdr:nvSpPr>
            <xdr:spPr>
              <a:xfrm>
                <a:off x="11221315" y="4171951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4" name="Shape 26">
                <a:extLst>
                  <a:ext uri="{FF2B5EF4-FFF2-40B4-BE49-F238E27FC236}">
                    <a16:creationId xmlns:a16="http://schemas.microsoft.com/office/drawing/2014/main" id="{00000000-0008-0000-0200-000036000000}"/>
                  </a:ext>
                </a:extLst>
              </xdr:cNvPr>
              <xdr:cNvSpPr/>
            </xdr:nvSpPr>
            <xdr:spPr>
              <a:xfrm flipH="1">
                <a:off x="11283191" y="3956253"/>
                <a:ext cx="230430" cy="21475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grpSp>
          <xdr:nvGrpSpPr>
            <xdr:cNvPr id="43" name="Group 42">
              <a:extLst>
                <a:ext uri="{FF2B5EF4-FFF2-40B4-BE49-F238E27FC236}">
                  <a16:creationId xmlns:a16="http://schemas.microsoft.com/office/drawing/2014/main" id="{00000000-0008-0000-0200-00002B000000}"/>
                </a:ext>
              </a:extLst>
            </xdr:cNvPr>
            <xdr:cNvGrpSpPr/>
          </xdr:nvGrpSpPr>
          <xdr:grpSpPr>
            <a:xfrm>
              <a:off x="11022345" y="1228189"/>
              <a:ext cx="502566" cy="3891196"/>
              <a:chOff x="11022345" y="1228189"/>
              <a:chExt cx="502566" cy="3891196"/>
            </a:xfrm>
          </xdr:grpSpPr>
          <xdr:sp macro="" textlink="">
            <xdr:nvSpPr>
              <xdr:cNvPr id="44" name="Shape 18">
                <a:extLst>
                  <a:ext uri="{FF2B5EF4-FFF2-40B4-BE49-F238E27FC236}">
                    <a16:creationId xmlns:a16="http://schemas.microsoft.com/office/drawing/2014/main" id="{00000000-0008-0000-0200-00002C000000}"/>
                  </a:ext>
                </a:extLst>
              </xdr:cNvPr>
              <xdr:cNvSpPr/>
            </xdr:nvSpPr>
            <xdr:spPr>
              <a:xfrm>
                <a:off x="11267984" y="4275144"/>
                <a:ext cx="0" cy="84424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  <a:tailEnd type="triangle" w="med" len="med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45" name="Straight Connector 44">
                <a:extLst>
                  <a:ext uri="{FF2B5EF4-FFF2-40B4-BE49-F238E27FC236}">
                    <a16:creationId xmlns:a16="http://schemas.microsoft.com/office/drawing/2014/main" id="{00000000-0008-0000-0200-00002D000000}"/>
                  </a:ext>
                </a:extLst>
              </xdr:cNvPr>
              <xdr:cNvCxnSpPr/>
            </xdr:nvCxnSpPr>
            <xdr:spPr>
              <a:xfrm>
                <a:off x="11267984" y="1228189"/>
                <a:ext cx="1" cy="154177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6" name="Straight Connector 45">
                <a:extLst>
                  <a:ext uri="{FF2B5EF4-FFF2-40B4-BE49-F238E27FC236}">
                    <a16:creationId xmlns:a16="http://schemas.microsoft.com/office/drawing/2014/main" id="{00000000-0008-0000-0200-00002E000000}"/>
                  </a:ext>
                </a:extLst>
              </xdr:cNvPr>
              <xdr:cNvCxnSpPr/>
            </xdr:nvCxnSpPr>
            <xdr:spPr>
              <a:xfrm>
                <a:off x="11268821" y="3361371"/>
                <a:ext cx="0" cy="417271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7" name="Straight Connector 46">
                <a:extLst>
                  <a:ext uri="{FF2B5EF4-FFF2-40B4-BE49-F238E27FC236}">
                    <a16:creationId xmlns:a16="http://schemas.microsoft.com/office/drawing/2014/main" id="{00000000-0008-0000-0200-00002F000000}"/>
                  </a:ext>
                </a:extLst>
              </xdr:cNvPr>
              <xdr:cNvCxnSpPr>
                <a:cxnSpLocks/>
              </xdr:cNvCxnSpPr>
            </xdr:nvCxnSpPr>
            <xdr:spPr>
              <a:xfrm>
                <a:off x="11267984" y="4688862"/>
                <a:ext cx="256927" cy="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8" name="Rectangle 47">
                <a:extLst>
                  <a:ext uri="{FF2B5EF4-FFF2-40B4-BE49-F238E27FC236}">
                    <a16:creationId xmlns:a16="http://schemas.microsoft.com/office/drawing/2014/main" id="{00000000-0008-0000-0200-000030000000}"/>
                  </a:ext>
                </a:extLst>
              </xdr:cNvPr>
              <xdr:cNvSpPr/>
            </xdr:nvSpPr>
            <xdr:spPr>
              <a:xfrm>
                <a:off x="11022345" y="1630618"/>
                <a:ext cx="501729" cy="820535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sp macro="" textlink="">
        <xdr:nvSpPr>
          <xdr:cNvPr id="41" name="Shape 18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SpPr/>
        </xdr:nvSpPr>
        <xdr:spPr>
          <a:xfrm>
            <a:off x="2567021" y="3752460"/>
            <a:ext cx="0" cy="413759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2</xdr:col>
      <xdr:colOff>8208</xdr:colOff>
      <xdr:row>3</xdr:row>
      <xdr:rowOff>162219</xdr:rowOff>
    </xdr:from>
    <xdr:to>
      <xdr:col>65</xdr:col>
      <xdr:colOff>214218</xdr:colOff>
      <xdr:row>27</xdr:row>
      <xdr:rowOff>0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GrpSpPr/>
      </xdr:nvGrpSpPr>
      <xdr:grpSpPr>
        <a:xfrm>
          <a:off x="511631" y="780057"/>
          <a:ext cx="16063848" cy="4780484"/>
          <a:chOff x="497840" y="771821"/>
          <a:chExt cx="4673317" cy="4695674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/>
        </xdr:nvSpPr>
        <xdr:spPr>
          <a:xfrm>
            <a:off x="497840" y="771821"/>
            <a:ext cx="4673317" cy="469567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536903" y="1145658"/>
            <a:ext cx="1574800" cy="2777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Service Fuses</a:t>
            </a:r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541851" y="1835505"/>
            <a:ext cx="2919045" cy="11630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Metering</a:t>
            </a:r>
            <a:r>
              <a:rPr lang="en-GB" sz="1200" baseline="0"/>
              <a:t> as</a:t>
            </a:r>
          </a:p>
          <a:p>
            <a:pPr algn="l"/>
            <a:r>
              <a:rPr lang="en-GB" sz="1200" baseline="0"/>
              <a:t>agreed with </a:t>
            </a:r>
          </a:p>
          <a:p>
            <a:pPr algn="l"/>
            <a:r>
              <a:rPr lang="en-GB" sz="1200" baseline="0"/>
              <a:t>the electricity</a:t>
            </a:r>
          </a:p>
          <a:p>
            <a:pPr algn="l"/>
            <a:r>
              <a:rPr lang="en-GB" sz="1200" baseline="0"/>
              <a:t>distributer</a:t>
            </a:r>
            <a:endParaRPr lang="en-GB" sz="1200"/>
          </a:p>
          <a:p>
            <a:pPr algn="l"/>
            <a:endParaRPr lang="en-GB" sz="1200"/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549438" y="2949042"/>
            <a:ext cx="1574800" cy="5847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Main Switch</a:t>
            </a:r>
          </a:p>
          <a:p>
            <a:pPr algn="l"/>
            <a:r>
              <a:rPr lang="en-GB" sz="1200"/>
              <a:t>Grid</a:t>
            </a:r>
            <a:r>
              <a:rPr lang="en-GB" sz="1200" baseline="0"/>
              <a:t> Supply</a:t>
            </a:r>
            <a:endParaRPr lang="en-GB" sz="1200"/>
          </a:p>
          <a:p>
            <a:pPr algn="l"/>
            <a:endParaRPr lang="en-GB" sz="1200"/>
          </a:p>
        </xdr:txBody>
      </xdr:sp>
    </xdr:grpSp>
    <xdr:clientData/>
  </xdr:twoCellAnchor>
  <xdr:twoCellAnchor>
    <xdr:from>
      <xdr:col>56</xdr:col>
      <xdr:colOff>156107</xdr:colOff>
      <xdr:row>19</xdr:row>
      <xdr:rowOff>34127</xdr:rowOff>
    </xdr:from>
    <xdr:to>
      <xdr:col>60</xdr:col>
      <xdr:colOff>159618</xdr:colOff>
      <xdr:row>23</xdr:row>
      <xdr:rowOff>139605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GrpSpPr/>
      </xdr:nvGrpSpPr>
      <xdr:grpSpPr>
        <a:xfrm>
          <a:off x="14251963" y="3947100"/>
          <a:ext cx="1010358" cy="929262"/>
          <a:chOff x="10475279" y="4413061"/>
          <a:chExt cx="1019511" cy="918310"/>
        </a:xfrm>
      </xdr:grpSpPr>
      <xdr:sp macro="" textlink="">
        <xdr:nvSpPr>
          <xdr:cNvPr id="61" name="Shape 18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/>
        </xdr:nvSpPr>
        <xdr:spPr>
          <a:xfrm flipH="1">
            <a:off x="10475279" y="4413061"/>
            <a:ext cx="0" cy="555610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566246" y="4657597"/>
            <a:ext cx="928544" cy="6737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Backup</a:t>
            </a:r>
          </a:p>
          <a:p>
            <a:r>
              <a:rPr lang="en-GB" sz="1100"/>
              <a:t>Loads</a:t>
            </a:r>
          </a:p>
          <a:p>
            <a:endParaRPr lang="en-GB" sz="1800"/>
          </a:p>
        </xdr:txBody>
      </xdr:sp>
    </xdr:grpSp>
    <xdr:clientData/>
  </xdr:twoCellAnchor>
  <xdr:twoCellAnchor>
    <xdr:from>
      <xdr:col>13</xdr:col>
      <xdr:colOff>18802</xdr:colOff>
      <xdr:row>46</xdr:row>
      <xdr:rowOff>161825</xdr:rowOff>
    </xdr:from>
    <xdr:to>
      <xdr:col>38</xdr:col>
      <xdr:colOff>118533</xdr:colOff>
      <xdr:row>46</xdr:row>
      <xdr:rowOff>161825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>
          <a:off x="3320802" y="9509025"/>
          <a:ext cx="6449731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221951</xdr:colOff>
      <xdr:row>42</xdr:row>
      <xdr:rowOff>173218</xdr:rowOff>
    </xdr:from>
    <xdr:to>
      <xdr:col>13</xdr:col>
      <xdr:colOff>65334</xdr:colOff>
      <xdr:row>43</xdr:row>
      <xdr:rowOff>78335</xdr:rowOff>
    </xdr:to>
    <xdr:sp macro="" textlink="">
      <xdr:nvSpPr>
        <xdr:cNvPr id="64" name="Shape 27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3269951" y="8707618"/>
          <a:ext cx="97383" cy="108317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222738</xdr:colOff>
      <xdr:row>44</xdr:row>
      <xdr:rowOff>54733</xdr:rowOff>
    </xdr:from>
    <xdr:to>
      <xdr:col>13</xdr:col>
      <xdr:colOff>66121</xdr:colOff>
      <xdr:row>44</xdr:row>
      <xdr:rowOff>154475</xdr:rowOff>
    </xdr:to>
    <xdr:sp macro="" textlink="">
      <xdr:nvSpPr>
        <xdr:cNvPr id="65" name="Shape 27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3270738" y="8995533"/>
          <a:ext cx="97383" cy="99742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17943</xdr:colOff>
      <xdr:row>31</xdr:row>
      <xdr:rowOff>132517</xdr:rowOff>
    </xdr:from>
    <xdr:to>
      <xdr:col>13</xdr:col>
      <xdr:colOff>17944</xdr:colOff>
      <xdr:row>43</xdr:row>
      <xdr:rowOff>19891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>
          <a:endCxn id="64" idx="0"/>
        </xdr:cNvCxnSpPr>
      </xdr:nvCxnSpPr>
      <xdr:spPr>
        <a:xfrm>
          <a:off x="3319943" y="6431717"/>
          <a:ext cx="1" cy="23257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4008</xdr:colOff>
      <xdr:row>30</xdr:row>
      <xdr:rowOff>112543</xdr:rowOff>
    </xdr:from>
    <xdr:to>
      <xdr:col>18</xdr:col>
      <xdr:colOff>193429</xdr:colOff>
      <xdr:row>45</xdr:row>
      <xdr:rowOff>56598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1782008" y="6208543"/>
          <a:ext cx="2983421" cy="2992055"/>
        </a:xfrm>
        <a:prstGeom prst="rect">
          <a:avLst/>
        </a:prstGeom>
        <a:noFill/>
        <a:ln w="1270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14248</xdr:colOff>
      <xdr:row>27</xdr:row>
      <xdr:rowOff>180487</xdr:rowOff>
    </xdr:from>
    <xdr:to>
      <xdr:col>13</xdr:col>
      <xdr:colOff>14248</xdr:colOff>
      <xdr:row>32</xdr:row>
      <xdr:rowOff>201264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/>
      </xdr:nvCxnSpPr>
      <xdr:spPr>
        <a:xfrm>
          <a:off x="3316248" y="5666887"/>
          <a:ext cx="0" cy="103677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151437</xdr:colOff>
      <xdr:row>22</xdr:row>
      <xdr:rowOff>118462</xdr:rowOff>
    </xdr:from>
    <xdr:to>
      <xdr:col>13</xdr:col>
      <xdr:colOff>116077</xdr:colOff>
      <xdr:row>23</xdr:row>
      <xdr:rowOff>138639</xdr:rowOff>
    </xdr:to>
    <xdr:sp macro="" textlink="">
      <xdr:nvSpPr>
        <xdr:cNvPr id="69" name="Shape 26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>
        <a:xfrm flipH="1">
          <a:off x="3199437" y="4588862"/>
          <a:ext cx="218640" cy="223377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135370</xdr:colOff>
      <xdr:row>43</xdr:row>
      <xdr:rowOff>157360</xdr:rowOff>
    </xdr:from>
    <xdr:to>
      <xdr:col>16</xdr:col>
      <xdr:colOff>211785</xdr:colOff>
      <xdr:row>43</xdr:row>
      <xdr:rowOff>157361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 flipV="1">
          <a:off x="3437370" y="8894960"/>
          <a:ext cx="838415" cy="1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245796</xdr:colOff>
      <xdr:row>33</xdr:row>
      <xdr:rowOff>151631</xdr:rowOff>
    </xdr:from>
    <xdr:to>
      <xdr:col>16</xdr:col>
      <xdr:colOff>160742</xdr:colOff>
      <xdr:row>35</xdr:row>
      <xdr:rowOff>202002</xdr:rowOff>
    </xdr:to>
    <xdr:sp macro="" textlink="">
      <xdr:nvSpPr>
        <xdr:cNvPr id="71" name="Shape 27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/>
      </xdr:nvSpPr>
      <xdr:spPr>
        <a:xfrm>
          <a:off x="3801796" y="6857231"/>
          <a:ext cx="422946" cy="456771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11</xdr:col>
      <xdr:colOff>202829</xdr:colOff>
      <xdr:row>33</xdr:row>
      <xdr:rowOff>58522</xdr:rowOff>
    </xdr:from>
    <xdr:to>
      <xdr:col>17</xdr:col>
      <xdr:colOff>230115</xdr:colOff>
      <xdr:row>37</xdr:row>
      <xdr:rowOff>69438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>
        <a:xfrm>
          <a:off x="2996829" y="6764122"/>
          <a:ext cx="1551286" cy="823716"/>
        </a:xfrm>
        <a:prstGeom prst="rect">
          <a:avLst/>
        </a:prstGeom>
        <a:noFill/>
        <a:ln w="635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225878</xdr:colOff>
      <xdr:row>37</xdr:row>
      <xdr:rowOff>68908</xdr:rowOff>
    </xdr:from>
    <xdr:to>
      <xdr:col>16</xdr:col>
      <xdr:colOff>225878</xdr:colOff>
      <xdr:row>43</xdr:row>
      <xdr:rowOff>166701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>
          <a:off x="4289878" y="7587308"/>
          <a:ext cx="0" cy="1316993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236387</xdr:colOff>
      <xdr:row>35</xdr:row>
      <xdr:rowOff>34262</xdr:rowOff>
    </xdr:from>
    <xdr:to>
      <xdr:col>14</xdr:col>
      <xdr:colOff>245763</xdr:colOff>
      <xdr:row>35</xdr:row>
      <xdr:rowOff>34262</xdr:rowOff>
    </xdr:to>
    <xdr:cxnSp macro="">
      <xdr:nvCxnSpPr>
        <xdr:cNvPr id="74" name="Straight Connector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 flipH="1">
          <a:off x="3538387" y="7146262"/>
          <a:ext cx="263376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32723</xdr:colOff>
      <xdr:row>33</xdr:row>
      <xdr:rowOff>175920</xdr:rowOff>
    </xdr:from>
    <xdr:to>
      <xdr:col>16</xdr:col>
      <xdr:colOff>107087</xdr:colOff>
      <xdr:row>35</xdr:row>
      <xdr:rowOff>70052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 txBox="1"/>
      </xdr:nvSpPr>
      <xdr:spPr>
        <a:xfrm>
          <a:off x="3842723" y="6881520"/>
          <a:ext cx="328364" cy="300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/>
            <a:t>M</a:t>
          </a:r>
        </a:p>
      </xdr:txBody>
    </xdr:sp>
    <xdr:clientData/>
  </xdr:twoCellAnchor>
  <xdr:twoCellAnchor>
    <xdr:from>
      <xdr:col>14</xdr:col>
      <xdr:colOff>100162</xdr:colOff>
      <xdr:row>35</xdr:row>
      <xdr:rowOff>151016</xdr:rowOff>
    </xdr:from>
    <xdr:to>
      <xdr:col>17</xdr:col>
      <xdr:colOff>185284</xdr:colOff>
      <xdr:row>38</xdr:row>
      <xdr:rowOff>28167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 txBox="1"/>
      </xdr:nvSpPr>
      <xdr:spPr>
        <a:xfrm>
          <a:off x="3656162" y="7263016"/>
          <a:ext cx="847122" cy="4867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/>
            <a:t>Tesla Energy Meter</a:t>
          </a:r>
        </a:p>
        <a:p>
          <a:endParaRPr lang="en-GB" sz="1100"/>
        </a:p>
      </xdr:txBody>
    </xdr:sp>
    <xdr:clientData/>
  </xdr:twoCellAnchor>
  <xdr:twoCellAnchor>
    <xdr:from>
      <xdr:col>12</xdr:col>
      <xdr:colOff>16585</xdr:colOff>
      <xdr:row>34</xdr:row>
      <xdr:rowOff>159420</xdr:rowOff>
    </xdr:from>
    <xdr:to>
      <xdr:col>14</xdr:col>
      <xdr:colOff>8182</xdr:colOff>
      <xdr:row>35</xdr:row>
      <xdr:rowOff>167209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3064585" y="7068220"/>
          <a:ext cx="499597" cy="210989"/>
        </a:xfrm>
        <a:prstGeom prst="rect">
          <a:avLst/>
        </a:prstGeom>
        <a:solidFill>
          <a:schemeClr val="bg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800"/>
            <a:t>NET CT</a:t>
          </a:r>
        </a:p>
      </xdr:txBody>
    </xdr:sp>
    <xdr:clientData/>
  </xdr:twoCellAnchor>
  <xdr:twoCellAnchor>
    <xdr:from>
      <xdr:col>7</xdr:col>
      <xdr:colOff>73977</xdr:colOff>
      <xdr:row>33</xdr:row>
      <xdr:rowOff>150038</xdr:rowOff>
    </xdr:from>
    <xdr:to>
      <xdr:col>11</xdr:col>
      <xdr:colOff>75565</xdr:colOff>
      <xdr:row>37</xdr:row>
      <xdr:rowOff>152400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851977" y="6855638"/>
          <a:ext cx="1017588" cy="8151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/>
            <a:t>Tesla Backup Gateway</a:t>
          </a:r>
        </a:p>
        <a:p>
          <a:endParaRPr lang="en-GB" sz="1800"/>
        </a:p>
      </xdr:txBody>
    </xdr:sp>
    <xdr:clientData/>
  </xdr:twoCellAnchor>
  <xdr:twoCellAnchor>
    <xdr:from>
      <xdr:col>13</xdr:col>
      <xdr:colOff>17230</xdr:colOff>
      <xdr:row>44</xdr:row>
      <xdr:rowOff>155781</xdr:rowOff>
    </xdr:from>
    <xdr:to>
      <xdr:col>13</xdr:col>
      <xdr:colOff>17230</xdr:colOff>
      <xdr:row>46</xdr:row>
      <xdr:rowOff>177810</xdr:rowOff>
    </xdr:to>
    <xdr:cxnSp macro="">
      <xdr:nvCxnSpPr>
        <xdr:cNvPr id="79" name="Straight Connector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CxnSpPr/>
      </xdr:nvCxnSpPr>
      <xdr:spPr>
        <a:xfrm>
          <a:off x="3319230" y="9096581"/>
          <a:ext cx="0" cy="4284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84778</xdr:colOff>
      <xdr:row>14</xdr:row>
      <xdr:rowOff>80846</xdr:rowOff>
    </xdr:from>
    <xdr:to>
      <xdr:col>51</xdr:col>
      <xdr:colOff>190882</xdr:colOff>
      <xdr:row>27</xdr:row>
      <xdr:rowOff>203198</xdr:rowOff>
    </xdr:to>
    <xdr:grpSp>
      <xdr:nvGrpSpPr>
        <xdr:cNvPr id="80" name="Group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GrpSpPr/>
      </xdr:nvGrpSpPr>
      <xdr:grpSpPr>
        <a:xfrm>
          <a:off x="12670364" y="2964089"/>
          <a:ext cx="357815" cy="2799650"/>
          <a:chOff x="9530059" y="4216356"/>
          <a:chExt cx="369906" cy="2764483"/>
        </a:xfrm>
      </xdr:grpSpPr>
      <xdr:sp macro="" textlink="">
        <xdr:nvSpPr>
          <xdr:cNvPr id="81" name="Shape 27">
            <a:extLst>
              <a:ext uri="{FF2B5EF4-FFF2-40B4-BE49-F238E27FC236}">
                <a16:creationId xmlns:a16="http://schemas.microsoft.com/office/drawing/2014/main" id="{00000000-0008-0000-0200-00005100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2" name="Shape 27">
            <a:extLst>
              <a:ext uri="{FF2B5EF4-FFF2-40B4-BE49-F238E27FC236}">
                <a16:creationId xmlns:a16="http://schemas.microsoft.com/office/drawing/2014/main" id="{00000000-0008-0000-0200-00005200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3" name="Shape 26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4" name="Shape 26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85" name="Straight Connector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CxnSpPr/>
        </xdr:nvCxnSpPr>
        <xdr:spPr>
          <a:xfrm>
            <a:off x="9634878" y="4216356"/>
            <a:ext cx="0" cy="51332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6" name="Straight Connector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CxnSpPr/>
        </xdr:nvCxnSpPr>
        <xdr:spPr>
          <a:xfrm>
            <a:off x="9651134" y="5019836"/>
            <a:ext cx="0" cy="19610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38</xdr:col>
      <xdr:colOff>121474</xdr:colOff>
      <xdr:row>14</xdr:row>
      <xdr:rowOff>118535</xdr:rowOff>
    </xdr:from>
    <xdr:to>
      <xdr:col>38</xdr:col>
      <xdr:colOff>121474</xdr:colOff>
      <xdr:row>46</xdr:row>
      <xdr:rowOff>186267</xdr:rowOff>
    </xdr:to>
    <xdr:cxnSp macro="">
      <xdr:nvCxnSpPr>
        <xdr:cNvPr id="87" name="Straight Connector 86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CxnSpPr/>
      </xdr:nvCxnSpPr>
      <xdr:spPr>
        <a:xfrm>
          <a:off x="9773474" y="2963335"/>
          <a:ext cx="0" cy="657013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16933</xdr:colOff>
      <xdr:row>14</xdr:row>
      <xdr:rowOff>104072</xdr:rowOff>
    </xdr:from>
    <xdr:to>
      <xdr:col>59</xdr:col>
      <xdr:colOff>32174</xdr:colOff>
      <xdr:row>14</xdr:row>
      <xdr:rowOff>104072</xdr:rowOff>
    </xdr:to>
    <xdr:cxnSp macro="">
      <xdr:nvCxnSpPr>
        <xdr:cNvPr id="88" name="Straight Connector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CxnSpPr/>
      </xdr:nvCxnSpPr>
      <xdr:spPr>
        <a:xfrm>
          <a:off x="9414933" y="2948872"/>
          <a:ext cx="5603241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129353</xdr:colOff>
      <xdr:row>43</xdr:row>
      <xdr:rowOff>1104</xdr:rowOff>
    </xdr:from>
    <xdr:to>
      <xdr:col>13</xdr:col>
      <xdr:colOff>129353</xdr:colOff>
      <xdr:row>44</xdr:row>
      <xdr:rowOff>111538</xdr:rowOff>
    </xdr:to>
    <xdr:cxnSp macro="">
      <xdr:nvCxnSpPr>
        <xdr:cNvPr id="89" name="Straight Connector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CxnSpPr/>
      </xdr:nvCxnSpPr>
      <xdr:spPr>
        <a:xfrm>
          <a:off x="3431353" y="8738704"/>
          <a:ext cx="0" cy="31363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200227</xdr:colOff>
      <xdr:row>27</xdr:row>
      <xdr:rowOff>201603</xdr:rowOff>
    </xdr:from>
    <xdr:to>
      <xdr:col>52</xdr:col>
      <xdr:colOff>184730</xdr:colOff>
      <xdr:row>38</xdr:row>
      <xdr:rowOff>97074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GrpSpPr/>
      </xdr:nvGrpSpPr>
      <xdr:grpSpPr>
        <a:xfrm>
          <a:off x="12282389" y="5762144"/>
          <a:ext cx="991350" cy="2160876"/>
          <a:chOff x="9331439" y="5595260"/>
          <a:chExt cx="1009223" cy="2113883"/>
        </a:xfrm>
      </xdr:grpSpPr>
      <xdr:grpSp>
        <xdr:nvGrpSpPr>
          <xdr:cNvPr id="91" name="Group 90" descr="Inverter">
            <a:extLst>
              <a:ext uri="{FF2B5EF4-FFF2-40B4-BE49-F238E27FC236}">
                <a16:creationId xmlns:a16="http://schemas.microsoft.com/office/drawing/2014/main" id="{00000000-0008-0000-0200-00005B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GrpSpPr/>
        </xdr:nvGrpSpPr>
        <xdr:grpSpPr>
          <a:xfrm rot="10800000">
            <a:off x="9331439" y="5595260"/>
            <a:ext cx="1009223" cy="2113883"/>
            <a:chOff x="5583133" y="1597653"/>
            <a:chExt cx="766867" cy="4472950"/>
          </a:xfrm>
        </xdr:grpSpPr>
        <xdr:grpSp>
          <xdr:nvGrpSpPr>
            <xdr:cNvPr id="106" name="Group 105">
              <a:extLst>
                <a:ext uri="{FF2B5EF4-FFF2-40B4-BE49-F238E27FC236}">
                  <a16:creationId xmlns:a16="http://schemas.microsoft.com/office/drawing/2014/main" id="{00000000-0008-0000-0200-00006A000000}"/>
                </a:ext>
              </a:extLst>
            </xdr:cNvPr>
            <xdr:cNvGrpSpPr/>
          </xdr:nvGrpSpPr>
          <xdr:grpSpPr>
            <a:xfrm>
              <a:off x="5588000" y="4800603"/>
              <a:ext cx="762000" cy="1270000"/>
              <a:chOff x="5588000" y="4800603"/>
              <a:chExt cx="762000" cy="1270000"/>
            </a:xfrm>
          </xdr:grpSpPr>
          <xdr:sp macro="" textlink="">
            <xdr:nvSpPr>
              <xdr:cNvPr id="112" name="Shape 5">
                <a:extLst>
                  <a:ext uri="{FF2B5EF4-FFF2-40B4-BE49-F238E27FC236}">
                    <a16:creationId xmlns:a16="http://schemas.microsoft.com/office/drawing/2014/main" id="{00000000-0008-0000-0200-000070000000}"/>
                  </a:ext>
                </a:extLst>
              </xdr:cNvPr>
              <xdr:cNvSpPr/>
            </xdr:nvSpPr>
            <xdr:spPr>
              <a:xfrm>
                <a:off x="5588000" y="4800603"/>
                <a:ext cx="762000" cy="12700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3" name="Shape 6">
                <a:extLst>
                  <a:ext uri="{FF2B5EF4-FFF2-40B4-BE49-F238E27FC236}">
                    <a16:creationId xmlns:a16="http://schemas.microsoft.com/office/drawing/2014/main" id="{00000000-0008-0000-0200-000071000000}"/>
                  </a:ext>
                </a:extLst>
              </xdr:cNvPr>
              <xdr:cNvSpPr/>
            </xdr:nvSpPr>
            <xdr:spPr>
              <a:xfrm>
                <a:off x="6027997" y="4938868"/>
                <a:ext cx="125900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4" name="Shape 7">
                <a:extLst>
                  <a:ext uri="{FF2B5EF4-FFF2-40B4-BE49-F238E27FC236}">
                    <a16:creationId xmlns:a16="http://schemas.microsoft.com/office/drawing/2014/main" id="{00000000-0008-0000-0200-000072000000}"/>
                  </a:ext>
                </a:extLst>
              </xdr:cNvPr>
              <xdr:cNvSpPr/>
            </xdr:nvSpPr>
            <xdr:spPr>
              <a:xfrm>
                <a:off x="6018473" y="5050734"/>
                <a:ext cx="141028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5" name="Shape 8">
                <a:extLst>
                  <a:ext uri="{FF2B5EF4-FFF2-40B4-BE49-F238E27FC236}">
                    <a16:creationId xmlns:a16="http://schemas.microsoft.com/office/drawing/2014/main" id="{00000000-0008-0000-0200-000073000000}"/>
                  </a:ext>
                </a:extLst>
              </xdr:cNvPr>
              <xdr:cNvSpPr/>
            </xdr:nvSpPr>
            <xdr:spPr>
              <a:xfrm>
                <a:off x="5716329" y="5725661"/>
                <a:ext cx="123805" cy="18855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107" name="Rectangle 106">
              <a:extLst>
                <a:ext uri="{FF2B5EF4-FFF2-40B4-BE49-F238E27FC236}">
                  <a16:creationId xmlns:a16="http://schemas.microsoft.com/office/drawing/2014/main" id="{00000000-0008-0000-0200-00006B000000}"/>
                </a:ext>
              </a:extLst>
            </xdr:cNvPr>
            <xdr:cNvSpPr/>
          </xdr:nvSpPr>
          <xdr:spPr>
            <a:xfrm>
              <a:off x="5588000" y="4781222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08" name="Rectangle 107">
              <a:extLst>
                <a:ext uri="{FF2B5EF4-FFF2-40B4-BE49-F238E27FC236}">
                  <a16:creationId xmlns:a16="http://schemas.microsoft.com/office/drawing/2014/main" id="{00000000-0008-0000-0200-00006C000000}"/>
                </a:ext>
              </a:extLst>
            </xdr:cNvPr>
            <xdr:cNvSpPr/>
          </xdr:nvSpPr>
          <xdr:spPr>
            <a:xfrm>
              <a:off x="5583133" y="1597653"/>
              <a:ext cx="762000" cy="1270002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09" name="Rectangle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/>
          </xdr:nvSpPr>
          <xdr:spPr>
            <a:xfrm>
              <a:off x="5759030" y="1866265"/>
              <a:ext cx="381000" cy="53309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10" name="Rectangle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SpPr/>
          </xdr:nvSpPr>
          <xdr:spPr>
            <a:xfrm>
              <a:off x="5802382" y="2402667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11" name="Rectangle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SpPr/>
          </xdr:nvSpPr>
          <xdr:spPr>
            <a:xfrm>
              <a:off x="6006836" y="2403328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92" name="Group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GrpSpPr/>
        </xdr:nvGrpSpPr>
        <xdr:grpSpPr>
          <a:xfrm rot="5400000">
            <a:off x="9782738" y="6397626"/>
            <a:ext cx="286214" cy="498116"/>
            <a:chOff x="8428183" y="2317714"/>
            <a:chExt cx="322065" cy="583370"/>
          </a:xfrm>
        </xdr:grpSpPr>
        <xdr:sp macro="" textlink="">
          <xdr:nvSpPr>
            <xdr:cNvPr id="98" name="Shape 9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SpPr/>
          </xdr:nvSpPr>
          <xdr:spPr>
            <a:xfrm>
              <a:off x="8428183" y="2545397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9" name="Shape 3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SpPr/>
          </xdr:nvSpPr>
          <xdr:spPr>
            <a:xfrm flipV="1">
              <a:off x="8567942" y="2317714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0" name="Shape 39">
              <a:extLst>
                <a:ext uri="{FF2B5EF4-FFF2-40B4-BE49-F238E27FC236}">
                  <a16:creationId xmlns:a16="http://schemas.microsoft.com/office/drawing/2014/main" id="{00000000-0008-0000-0200-000064000000}"/>
                </a:ext>
              </a:extLst>
            </xdr:cNvPr>
            <xdr:cNvSpPr/>
          </xdr:nvSpPr>
          <xdr:spPr>
            <a:xfrm flipH="1">
              <a:off x="8519330" y="2325224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1" name="Shape 13">
              <a:extLst>
                <a:ext uri="{FF2B5EF4-FFF2-40B4-BE49-F238E27FC236}">
                  <a16:creationId xmlns:a16="http://schemas.microsoft.com/office/drawing/2014/main" id="{00000000-0008-0000-0200-000065000000}"/>
                </a:ext>
              </a:extLst>
            </xdr:cNvPr>
            <xdr:cNvSpPr/>
          </xdr:nvSpPr>
          <xdr:spPr>
            <a:xfrm flipV="1">
              <a:off x="8489201" y="2417420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2" name="Shape 37">
              <a:extLst>
                <a:ext uri="{FF2B5EF4-FFF2-40B4-BE49-F238E27FC236}">
                  <a16:creationId xmlns:a16="http://schemas.microsoft.com/office/drawing/2014/main" id="{00000000-0008-0000-0200-000066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3" name="Shape 9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/>
          </xdr:nvSpPr>
          <xdr:spPr>
            <a:xfrm>
              <a:off x="8665659" y="2545877"/>
              <a:ext cx="84578" cy="84579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4" name="Shape 9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5" name="Shape 9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93" name="Rectangle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/>
        </xdr:nvSpPr>
        <xdr:spPr>
          <a:xfrm rot="16200000">
            <a:off x="9383648" y="6156923"/>
            <a:ext cx="905603" cy="999320"/>
          </a:xfrm>
          <a:prstGeom prst="rect">
            <a:avLst/>
          </a:prstGeom>
          <a:noFill/>
          <a:ln w="63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94" name="Shape 18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/>
        </xdr:nvSpPr>
        <xdr:spPr>
          <a:xfrm>
            <a:off x="9719315" y="6211407"/>
            <a:ext cx="0" cy="305655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5" name="Shape 18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/>
        </xdr:nvSpPr>
        <xdr:spPr>
          <a:xfrm>
            <a:off x="9948052" y="6202615"/>
            <a:ext cx="0" cy="308097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6" name="Shape 18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/>
        </xdr:nvSpPr>
        <xdr:spPr>
          <a:xfrm>
            <a:off x="9721268" y="6782236"/>
            <a:ext cx="0" cy="32079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7" name="Shape 18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/>
        </xdr:nvSpPr>
        <xdr:spPr>
          <a:xfrm>
            <a:off x="9940236" y="6782236"/>
            <a:ext cx="0" cy="32714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33</xdr:col>
      <xdr:colOff>152007</xdr:colOff>
      <xdr:row>20</xdr:row>
      <xdr:rowOff>53529</xdr:rowOff>
    </xdr:from>
    <xdr:to>
      <xdr:col>33</xdr:col>
      <xdr:colOff>152007</xdr:colOff>
      <xdr:row>20</xdr:row>
      <xdr:rowOff>91231</xdr:rowOff>
    </xdr:to>
    <xdr:sp macro="" textlink="">
      <xdr:nvSpPr>
        <xdr:cNvPr id="116" name="Shape 18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/>
      </xdr:nvSpPr>
      <xdr:spPr>
        <a:xfrm flipH="1">
          <a:off x="8430526" y="4130072"/>
          <a:ext cx="0" cy="37702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33</xdr:col>
      <xdr:colOff>192032</xdr:colOff>
      <xdr:row>20</xdr:row>
      <xdr:rowOff>62519</xdr:rowOff>
    </xdr:from>
    <xdr:to>
      <xdr:col>36</xdr:col>
      <xdr:colOff>78568</xdr:colOff>
      <xdr:row>22</xdr:row>
      <xdr:rowOff>175199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470551" y="4139062"/>
          <a:ext cx="639128" cy="5203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Normal</a:t>
          </a:r>
        </a:p>
        <a:p>
          <a:r>
            <a:rPr lang="en-GB" sz="1100"/>
            <a:t>Loads</a:t>
          </a:r>
        </a:p>
        <a:p>
          <a:endParaRPr lang="en-GB" sz="1100"/>
        </a:p>
        <a:p>
          <a:endParaRPr lang="en-GB" sz="1800"/>
        </a:p>
      </xdr:txBody>
    </xdr:sp>
    <xdr:clientData/>
  </xdr:twoCellAnchor>
  <xdr:twoCellAnchor>
    <xdr:from>
      <xdr:col>33</xdr:col>
      <xdr:colOff>96183</xdr:colOff>
      <xdr:row>14</xdr:row>
      <xdr:rowOff>109751</xdr:rowOff>
    </xdr:from>
    <xdr:to>
      <xdr:col>34</xdr:col>
      <xdr:colOff>146967</xdr:colOff>
      <xdr:row>20</xdr:row>
      <xdr:rowOff>55151</xdr:rowOff>
    </xdr:to>
    <xdr:grpSp>
      <xdr:nvGrpSpPr>
        <xdr:cNvPr id="118" name="Group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/>
      </xdr:nvGrpSpPr>
      <xdr:grpSpPr>
        <a:xfrm>
          <a:off x="8402669" y="2992994"/>
          <a:ext cx="302496" cy="1181076"/>
          <a:chOff x="9589750" y="4130035"/>
          <a:chExt cx="310215" cy="1169550"/>
        </a:xfrm>
      </xdr:grpSpPr>
      <xdr:sp macro="" textlink="">
        <xdr:nvSpPr>
          <xdr:cNvPr id="119" name="Shape 27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SpPr/>
        </xdr:nvSpPr>
        <xdr:spPr>
          <a:xfrm>
            <a:off x="9593489" y="4963526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20" name="Shape 27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/>
        </xdr:nvSpPr>
        <xdr:spPr>
          <a:xfrm>
            <a:off x="9589750" y="4736233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21" name="Shape 26">
            <a:extLst>
              <a:ext uri="{FF2B5EF4-FFF2-40B4-BE49-F238E27FC236}">
                <a16:creationId xmlns:a16="http://schemas.microsoft.com/office/drawing/2014/main" id="{00000000-0008-0000-0200-000079000000}"/>
              </a:ext>
            </a:extLst>
          </xdr:cNvPr>
          <xdr:cNvSpPr/>
        </xdr:nvSpPr>
        <xdr:spPr>
          <a:xfrm flipH="1">
            <a:off x="9684192" y="4822358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22" name="Straight Connector 121">
            <a:extLst>
              <a:ext uri="{FF2B5EF4-FFF2-40B4-BE49-F238E27FC236}">
                <a16:creationId xmlns:a16="http://schemas.microsoft.com/office/drawing/2014/main" id="{00000000-0008-0000-0200-00007A000000}"/>
              </a:ext>
            </a:extLst>
          </xdr:cNvPr>
          <xdr:cNvCxnSpPr/>
        </xdr:nvCxnSpPr>
        <xdr:spPr>
          <a:xfrm>
            <a:off x="9642667" y="4130035"/>
            <a:ext cx="0" cy="61528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200-00007B000000}"/>
              </a:ext>
            </a:extLst>
          </xdr:cNvPr>
          <xdr:cNvCxnSpPr/>
        </xdr:nvCxnSpPr>
        <xdr:spPr>
          <a:xfrm>
            <a:off x="9647492" y="5069129"/>
            <a:ext cx="0" cy="230456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211903</xdr:colOff>
      <xdr:row>25</xdr:row>
      <xdr:rowOff>189729</xdr:rowOff>
    </xdr:from>
    <xdr:to>
      <xdr:col>13</xdr:col>
      <xdr:colOff>49160</xdr:colOff>
      <xdr:row>26</xdr:row>
      <xdr:rowOff>89157</xdr:rowOff>
    </xdr:to>
    <xdr:sp macro="" textlink="">
      <xdr:nvSpPr>
        <xdr:cNvPr id="124" name="Shape 27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/>
      </xdr:nvSpPr>
      <xdr:spPr>
        <a:xfrm>
          <a:off x="3259903" y="5269729"/>
          <a:ext cx="91257" cy="102628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208077</xdr:colOff>
      <xdr:row>24</xdr:row>
      <xdr:rowOff>165886</xdr:rowOff>
    </xdr:from>
    <xdr:to>
      <xdr:col>13</xdr:col>
      <xdr:colOff>45334</xdr:colOff>
      <xdr:row>25</xdr:row>
      <xdr:rowOff>65312</xdr:rowOff>
    </xdr:to>
    <xdr:sp macro="" textlink="">
      <xdr:nvSpPr>
        <xdr:cNvPr id="125" name="Shape 27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SpPr/>
      </xdr:nvSpPr>
      <xdr:spPr>
        <a:xfrm>
          <a:off x="3256077" y="5042686"/>
          <a:ext cx="91257" cy="102626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44585</xdr:colOff>
      <xdr:row>25</xdr:row>
      <xdr:rowOff>51377</xdr:rowOff>
    </xdr:from>
    <xdr:to>
      <xdr:col>14</xdr:col>
      <xdr:colOff>5230</xdr:colOff>
      <xdr:row>26</xdr:row>
      <xdr:rowOff>27756</xdr:rowOff>
    </xdr:to>
    <xdr:sp macro="" textlink="">
      <xdr:nvSpPr>
        <xdr:cNvPr id="126" name="Shape 26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SpPr/>
      </xdr:nvSpPr>
      <xdr:spPr>
        <a:xfrm flipH="1">
          <a:off x="3346585" y="5131377"/>
          <a:ext cx="214645" cy="179579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139368</xdr:colOff>
      <xdr:row>22</xdr:row>
      <xdr:rowOff>50689</xdr:rowOff>
    </xdr:from>
    <xdr:to>
      <xdr:col>13</xdr:col>
      <xdr:colOff>111970</xdr:colOff>
      <xdr:row>24</xdr:row>
      <xdr:rowOff>18939</xdr:rowOff>
    </xdr:to>
    <xdr:grpSp>
      <xdr:nvGrpSpPr>
        <xdr:cNvPr id="127" name="3PCables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GrpSpPr/>
      </xdr:nvGrpSpPr>
      <xdr:grpSpPr>
        <a:xfrm>
          <a:off x="3159909" y="4581500"/>
          <a:ext cx="224313" cy="380142"/>
          <a:chOff x="3201903" y="4462268"/>
          <a:chExt cx="227837" cy="369303"/>
        </a:xfrm>
      </xdr:grpSpPr>
      <xdr:sp macro="" textlink="">
        <xdr:nvSpPr>
          <xdr:cNvPr id="128" name="Shape 26">
            <a:extLst>
              <a:ext uri="{FF2B5EF4-FFF2-40B4-BE49-F238E27FC236}">
                <a16:creationId xmlns:a16="http://schemas.microsoft.com/office/drawing/2014/main" id="{00000000-0008-0000-0200-000080000000}"/>
              </a:ext>
            </a:extLst>
          </xdr:cNvPr>
          <xdr:cNvSpPr/>
        </xdr:nvSpPr>
        <xdr:spPr>
          <a:xfrm flipH="1">
            <a:off x="3201903" y="4462268"/>
            <a:ext cx="219855" cy="212126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29" name="Shape 26">
            <a:extLst>
              <a:ext uri="{FF2B5EF4-FFF2-40B4-BE49-F238E27FC236}">
                <a16:creationId xmlns:a16="http://schemas.microsoft.com/office/drawing/2014/main" id="{00000000-0008-0000-0200-000081000000}"/>
              </a:ext>
            </a:extLst>
          </xdr:cNvPr>
          <xdr:cNvSpPr/>
        </xdr:nvSpPr>
        <xdr:spPr>
          <a:xfrm flipH="1">
            <a:off x="3209589" y="4619000"/>
            <a:ext cx="220151" cy="21257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13</xdr:col>
      <xdr:colOff>10762</xdr:colOff>
      <xdr:row>26</xdr:row>
      <xdr:rowOff>70156</xdr:rowOff>
    </xdr:from>
    <xdr:to>
      <xdr:col>13</xdr:col>
      <xdr:colOff>10762</xdr:colOff>
      <xdr:row>29</xdr:row>
      <xdr:rowOff>163005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CxnSpPr/>
      </xdr:nvCxnSpPr>
      <xdr:spPr>
        <a:xfrm>
          <a:off x="3312762" y="5353356"/>
          <a:ext cx="0" cy="7024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156079</xdr:colOff>
      <xdr:row>15</xdr:row>
      <xdr:rowOff>78289</xdr:rowOff>
    </xdr:from>
    <xdr:to>
      <xdr:col>29</xdr:col>
      <xdr:colOff>155835</xdr:colOff>
      <xdr:row>16</xdr:row>
      <xdr:rowOff>158475</xdr:rowOff>
    </xdr:to>
    <xdr:grpSp>
      <xdr:nvGrpSpPr>
        <xdr:cNvPr id="131" name="3PEnvoy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GrpSpPr/>
      </xdr:nvGrpSpPr>
      <xdr:grpSpPr>
        <a:xfrm>
          <a:off x="7204007" y="3167478"/>
          <a:ext cx="251468" cy="286132"/>
          <a:chOff x="7844688" y="3097141"/>
          <a:chExt cx="256533" cy="281443"/>
        </a:xfrm>
      </xdr:grpSpPr>
      <xdr:cxnSp macro="">
        <xdr:nvCxnSpPr>
          <xdr:cNvPr id="132" name="Straight Connector 131">
            <a:extLst>
              <a:ext uri="{FF2B5EF4-FFF2-40B4-BE49-F238E27FC236}">
                <a16:creationId xmlns:a16="http://schemas.microsoft.com/office/drawing/2014/main" id="{00000000-0008-0000-0200-000084000000}"/>
              </a:ext>
            </a:extLst>
          </xdr:cNvPr>
          <xdr:cNvCxnSpPr/>
        </xdr:nvCxnSpPr>
        <xdr:spPr>
          <a:xfrm flipH="1">
            <a:off x="7844688" y="3097141"/>
            <a:ext cx="256533" cy="1813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3" name="Straight Connector 132">
            <a:extLst>
              <a:ext uri="{FF2B5EF4-FFF2-40B4-BE49-F238E27FC236}">
                <a16:creationId xmlns:a16="http://schemas.microsoft.com/office/drawing/2014/main" id="{00000000-0008-0000-0200-000085000000}"/>
              </a:ext>
            </a:extLst>
          </xdr:cNvPr>
          <xdr:cNvCxnSpPr/>
        </xdr:nvCxnSpPr>
        <xdr:spPr>
          <a:xfrm flipH="1">
            <a:off x="7844688" y="3197231"/>
            <a:ext cx="256533" cy="1813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56</xdr:col>
      <xdr:colOff>35245</xdr:colOff>
      <xdr:row>14</xdr:row>
      <xdr:rowOff>115882</xdr:rowOff>
    </xdr:from>
    <xdr:to>
      <xdr:col>57</xdr:col>
      <xdr:colOff>147470</xdr:colOff>
      <xdr:row>19</xdr:row>
      <xdr:rowOff>74507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GrpSpPr/>
      </xdr:nvGrpSpPr>
      <xdr:grpSpPr>
        <a:xfrm>
          <a:off x="14131101" y="2999125"/>
          <a:ext cx="363937" cy="988355"/>
          <a:chOff x="9530059" y="4275667"/>
          <a:chExt cx="369906" cy="974625"/>
        </a:xfrm>
      </xdr:grpSpPr>
      <xdr:sp macro="" textlink="">
        <xdr:nvSpPr>
          <xdr:cNvPr id="135" name="Shape 27">
            <a:extLst>
              <a:ext uri="{FF2B5EF4-FFF2-40B4-BE49-F238E27FC236}">
                <a16:creationId xmlns:a16="http://schemas.microsoft.com/office/drawing/2014/main" id="{00000000-0008-0000-0200-00008700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6" name="Shape 27">
            <a:extLst>
              <a:ext uri="{FF2B5EF4-FFF2-40B4-BE49-F238E27FC236}">
                <a16:creationId xmlns:a16="http://schemas.microsoft.com/office/drawing/2014/main" id="{00000000-0008-0000-0200-00008800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7" name="Shape 26">
            <a:extLst>
              <a:ext uri="{FF2B5EF4-FFF2-40B4-BE49-F238E27FC236}">
                <a16:creationId xmlns:a16="http://schemas.microsoft.com/office/drawing/2014/main" id="{00000000-0008-0000-0200-00008900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8" name="Shape 26">
            <a:extLst>
              <a:ext uri="{FF2B5EF4-FFF2-40B4-BE49-F238E27FC236}">
                <a16:creationId xmlns:a16="http://schemas.microsoft.com/office/drawing/2014/main" id="{00000000-0008-0000-0200-00008A00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39" name="Straight Connector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/>
        </xdr:nvCxnSpPr>
        <xdr:spPr>
          <a:xfrm>
            <a:off x="9642667" y="4275667"/>
            <a:ext cx="0" cy="4696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0" name="Straight Connector 139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/>
        </xdr:nvCxnSpPr>
        <xdr:spPr>
          <a:xfrm>
            <a:off x="9651134" y="5033545"/>
            <a:ext cx="0" cy="216747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27</xdr:col>
      <xdr:colOff>178288</xdr:colOff>
      <xdr:row>14</xdr:row>
      <xdr:rowOff>125079</xdr:rowOff>
    </xdr:from>
    <xdr:to>
      <xdr:col>30</xdr:col>
      <xdr:colOff>139797</xdr:colOff>
      <xdr:row>23</xdr:row>
      <xdr:rowOff>182618</xdr:rowOff>
    </xdr:to>
    <xdr:grpSp>
      <xdr:nvGrpSpPr>
        <xdr:cNvPr id="141" name="1PEnvoy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GrpSpPr/>
      </xdr:nvGrpSpPr>
      <xdr:grpSpPr>
        <a:xfrm>
          <a:off x="6974504" y="3008322"/>
          <a:ext cx="716644" cy="1911053"/>
          <a:chOff x="7163288" y="2923783"/>
          <a:chExt cx="737620" cy="1856705"/>
        </a:xfrm>
      </xdr:grpSpPr>
      <xdr:grpSp>
        <xdr:nvGrpSpPr>
          <xdr:cNvPr id="142" name="Envoy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GrpSpPr/>
        </xdr:nvGrpSpPr>
        <xdr:grpSpPr>
          <a:xfrm>
            <a:off x="7163288" y="2923783"/>
            <a:ext cx="737620" cy="1856705"/>
            <a:chOff x="7504618" y="2998008"/>
            <a:chExt cx="718997" cy="1906625"/>
          </a:xfrm>
        </xdr:grpSpPr>
        <xdr:cxnSp macro="">
          <xdr:nvCxnSpPr>
            <xdr:cNvPr id="144" name="Straight Connector 143">
              <a:extLst>
                <a:ext uri="{FF2B5EF4-FFF2-40B4-BE49-F238E27FC236}">
                  <a16:creationId xmlns:a16="http://schemas.microsoft.com/office/drawing/2014/main" id="{00000000-0008-0000-0200-000090000000}"/>
                </a:ext>
              </a:extLst>
            </xdr:cNvPr>
            <xdr:cNvCxnSpPr/>
          </xdr:nvCxnSpPr>
          <xdr:spPr>
            <a:xfrm>
              <a:off x="7844992" y="2998008"/>
              <a:ext cx="0" cy="983066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145" name="eheh">
              <a:extLst>
                <a:ext uri="{FF2B5EF4-FFF2-40B4-BE49-F238E27FC236}">
                  <a16:creationId xmlns:a16="http://schemas.microsoft.com/office/drawing/2014/main" id="{00000000-0008-0000-0200-000091000000}"/>
                </a:ext>
              </a:extLst>
            </xdr:cNvPr>
            <xdr:cNvGrpSpPr/>
          </xdr:nvGrpSpPr>
          <xdr:grpSpPr>
            <a:xfrm>
              <a:off x="7504618" y="3064121"/>
              <a:ext cx="718997" cy="1840512"/>
              <a:chOff x="7504618" y="3064121"/>
              <a:chExt cx="718997" cy="1840512"/>
            </a:xfrm>
          </xdr:grpSpPr>
          <xdr:grpSp>
            <xdr:nvGrpSpPr>
              <xdr:cNvPr id="146" name="Group 145">
                <a:extLst>
                  <a:ext uri="{FF2B5EF4-FFF2-40B4-BE49-F238E27FC236}">
                    <a16:creationId xmlns:a16="http://schemas.microsoft.com/office/drawing/2014/main" id="{00000000-0008-0000-0200-000092000000}"/>
                  </a:ext>
                </a:extLst>
              </xdr:cNvPr>
              <xdr:cNvGrpSpPr/>
            </xdr:nvGrpSpPr>
            <xdr:grpSpPr>
              <a:xfrm>
                <a:off x="7797244" y="3986264"/>
                <a:ext cx="270603" cy="518147"/>
                <a:chOff x="3031404" y="7080878"/>
                <a:chExt cx="274934" cy="526076"/>
              </a:xfrm>
            </xdr:grpSpPr>
            <xdr:sp macro="" textlink="">
              <xdr:nvSpPr>
                <xdr:cNvPr id="150" name="Shape 27">
                  <a:extLst>
                    <a:ext uri="{FF2B5EF4-FFF2-40B4-BE49-F238E27FC236}">
                      <a16:creationId xmlns:a16="http://schemas.microsoft.com/office/drawing/2014/main" id="{00000000-0008-0000-0200-000096000000}"/>
                    </a:ext>
                  </a:extLst>
                </xdr:cNvPr>
                <xdr:cNvSpPr/>
              </xdr:nvSpPr>
              <xdr:spPr>
                <a:xfrm>
                  <a:off x="3031404" y="7288624"/>
                  <a:ext cx="100174" cy="9968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1270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grpSp>
              <xdr:nvGrpSpPr>
                <xdr:cNvPr id="151" name="Group 150">
                  <a:extLst>
                    <a:ext uri="{FF2B5EF4-FFF2-40B4-BE49-F238E27FC236}">
                      <a16:creationId xmlns:a16="http://schemas.microsoft.com/office/drawing/2014/main" id="{00000000-0008-0000-0200-000097000000}"/>
                    </a:ext>
                  </a:extLst>
                </xdr:cNvPr>
                <xdr:cNvGrpSpPr/>
              </xdr:nvGrpSpPr>
              <xdr:grpSpPr>
                <a:xfrm>
                  <a:off x="3037139" y="7080878"/>
                  <a:ext cx="269199" cy="526076"/>
                  <a:chOff x="3037139" y="7080878"/>
                  <a:chExt cx="269199" cy="526076"/>
                </a:xfrm>
              </xdr:grpSpPr>
              <xdr:sp macro="" textlink="">
                <xdr:nvSpPr>
                  <xdr:cNvPr id="152" name="Shape 27">
                    <a:extLst>
                      <a:ext uri="{FF2B5EF4-FFF2-40B4-BE49-F238E27FC236}">
                        <a16:creationId xmlns:a16="http://schemas.microsoft.com/office/drawing/2014/main" id="{00000000-0008-0000-0200-000098000000}"/>
                      </a:ext>
                    </a:extLst>
                  </xdr:cNvPr>
                  <xdr:cNvSpPr/>
                </xdr:nvSpPr>
                <xdr:spPr>
                  <a:xfrm>
                    <a:off x="3037139" y="7080878"/>
                    <a:ext cx="100174" cy="9968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12700" cap="flat">
                    <a:solidFill>
                      <a:srgbClr val="53585F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53" name="Shape 26">
                    <a:extLst>
                      <a:ext uri="{FF2B5EF4-FFF2-40B4-BE49-F238E27FC236}">
                        <a16:creationId xmlns:a16="http://schemas.microsoft.com/office/drawing/2014/main" id="{00000000-0008-0000-0200-000099000000}"/>
                      </a:ext>
                    </a:extLst>
                  </xdr:cNvPr>
                  <xdr:cNvSpPr/>
                </xdr:nvSpPr>
                <xdr:spPr>
                  <a:xfrm flipH="1">
                    <a:off x="3093639" y="7113371"/>
                    <a:ext cx="212699" cy="1888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cxnSp macro="">
                <xdr:nvCxnSpPr>
                  <xdr:cNvPr id="154" name="Straight Connector 153">
                    <a:extLst>
                      <a:ext uri="{FF2B5EF4-FFF2-40B4-BE49-F238E27FC236}">
                        <a16:creationId xmlns:a16="http://schemas.microsoft.com/office/drawing/2014/main" id="{00000000-0008-0000-0200-00009A000000}"/>
                      </a:ext>
                    </a:extLst>
                  </xdr:cNvPr>
                  <xdr:cNvCxnSpPr/>
                </xdr:nvCxnSpPr>
                <xdr:spPr>
                  <a:xfrm>
                    <a:off x="3080266" y="7383937"/>
                    <a:ext cx="0" cy="223017"/>
                  </a:xfrm>
                  <a:prstGeom prst="line">
                    <a:avLst/>
                  </a:prstGeom>
                  <a:ln w="635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147" name="Straight Connector 146">
                <a:extLst>
                  <a:ext uri="{FF2B5EF4-FFF2-40B4-BE49-F238E27FC236}">
                    <a16:creationId xmlns:a16="http://schemas.microsoft.com/office/drawing/2014/main" id="{00000000-0008-0000-0200-000093000000}"/>
                  </a:ext>
                </a:extLst>
              </xdr:cNvPr>
              <xdr:cNvCxnSpPr/>
            </xdr:nvCxnSpPr>
            <xdr:spPr>
              <a:xfrm flipH="1">
                <a:off x="7726131" y="3064121"/>
                <a:ext cx="252581" cy="186025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48" name="Rectangle 147">
                <a:extLst>
                  <a:ext uri="{FF2B5EF4-FFF2-40B4-BE49-F238E27FC236}">
                    <a16:creationId xmlns:a16="http://schemas.microsoft.com/office/drawing/2014/main" id="{00000000-0008-0000-0200-000094000000}"/>
                  </a:ext>
                </a:extLst>
              </xdr:cNvPr>
              <xdr:cNvSpPr/>
            </xdr:nvSpPr>
            <xdr:spPr>
              <a:xfrm>
                <a:off x="7504618" y="4504408"/>
                <a:ext cx="718997" cy="400225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149" name="TextBox 148">
                <a:extLst>
                  <a:ext uri="{FF2B5EF4-FFF2-40B4-BE49-F238E27FC236}">
                    <a16:creationId xmlns:a16="http://schemas.microsoft.com/office/drawing/2014/main" id="{00000000-0008-0000-0200-000095000000}"/>
                  </a:ext>
                </a:extLst>
              </xdr:cNvPr>
              <xdr:cNvSpPr txBox="1"/>
            </xdr:nvSpPr>
            <xdr:spPr>
              <a:xfrm>
                <a:off x="7504618" y="4504408"/>
                <a:ext cx="632789" cy="3899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800"/>
                  <a:t>Envoy</a:t>
                </a:r>
              </a:p>
            </xdr:txBody>
          </xdr:sp>
        </xdr:grpSp>
      </xdr:grpSp>
      <xdr:sp macro="" textlink="">
        <xdr:nvSpPr>
          <xdr:cNvPr id="143" name="Rectangle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>
          <a:xfrm>
            <a:off x="7425494" y="3451249"/>
            <a:ext cx="186810" cy="276491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42</xdr:col>
      <xdr:colOff>204523</xdr:colOff>
      <xdr:row>14</xdr:row>
      <xdr:rowOff>101600</xdr:rowOff>
    </xdr:from>
    <xdr:to>
      <xdr:col>64</xdr:col>
      <xdr:colOff>211744</xdr:colOff>
      <xdr:row>56</xdr:row>
      <xdr:rowOff>129170</xdr:rowOff>
    </xdr:to>
    <xdr:grpSp>
      <xdr:nvGrpSpPr>
        <xdr:cNvPr id="155" name="Group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GrpSpPr/>
      </xdr:nvGrpSpPr>
      <xdr:grpSpPr>
        <a:xfrm>
          <a:off x="10776415" y="2984843"/>
          <a:ext cx="5544879" cy="8677300"/>
          <a:chOff x="10872523" y="2946400"/>
          <a:chExt cx="5595221" cy="8561970"/>
        </a:xfrm>
      </xdr:grpSpPr>
      <xdr:grpSp>
        <xdr:nvGrpSpPr>
          <xdr:cNvPr id="156" name="Group 155"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GrpSpPr/>
        </xdr:nvGrpSpPr>
        <xdr:grpSpPr>
          <a:xfrm>
            <a:off x="10872523" y="2946400"/>
            <a:ext cx="5595221" cy="8561970"/>
            <a:chOff x="10697638" y="3016354"/>
            <a:chExt cx="5503614" cy="8771832"/>
          </a:xfrm>
        </xdr:grpSpPr>
        <xdr:grpSp>
          <xdr:nvGrpSpPr>
            <xdr:cNvPr id="158" name="Group 157">
              <a:extLst>
                <a:ext uri="{FF2B5EF4-FFF2-40B4-BE49-F238E27FC236}">
                  <a16:creationId xmlns:a16="http://schemas.microsoft.com/office/drawing/2014/main" id="{00000000-0008-0000-0200-00009E000000}"/>
                </a:ext>
              </a:extLst>
            </xdr:cNvPr>
            <xdr:cNvGrpSpPr/>
          </xdr:nvGrpSpPr>
          <xdr:grpSpPr>
            <a:xfrm>
              <a:off x="10697638" y="3016354"/>
              <a:ext cx="367748" cy="8025364"/>
              <a:chOff x="12164968" y="4666198"/>
              <a:chExt cx="356562" cy="7574412"/>
            </a:xfrm>
          </xdr:grpSpPr>
          <xdr:grpSp>
            <xdr:nvGrpSpPr>
              <xdr:cNvPr id="224" name="Group 223">
                <a:extLst>
                  <a:ext uri="{FF2B5EF4-FFF2-40B4-BE49-F238E27FC236}">
                    <a16:creationId xmlns:a16="http://schemas.microsoft.com/office/drawing/2014/main" id="{00000000-0008-0000-0200-0000E0000000}"/>
                  </a:ext>
                </a:extLst>
              </xdr:cNvPr>
              <xdr:cNvGrpSpPr/>
            </xdr:nvGrpSpPr>
            <xdr:grpSpPr>
              <a:xfrm>
                <a:off x="12164968" y="4666198"/>
                <a:ext cx="356562" cy="1791197"/>
                <a:chOff x="12164968" y="4666198"/>
                <a:chExt cx="356562" cy="1791197"/>
              </a:xfrm>
            </xdr:grpSpPr>
            <xdr:sp macro="" textlink="">
              <xdr:nvSpPr>
                <xdr:cNvPr id="226" name="Shape 27">
                  <a:extLst>
                    <a:ext uri="{FF2B5EF4-FFF2-40B4-BE49-F238E27FC236}">
                      <a16:creationId xmlns:a16="http://schemas.microsoft.com/office/drawing/2014/main" id="{00000000-0008-0000-0200-0000E2000000}"/>
                    </a:ext>
                  </a:extLst>
                </xdr:cNvPr>
                <xdr:cNvSpPr/>
              </xdr:nvSpPr>
              <xdr:spPr>
                <a:xfrm>
                  <a:off x="12252333" y="6149964"/>
                  <a:ext cx="100174" cy="9968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1270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27" name="Shape 27">
                  <a:extLst>
                    <a:ext uri="{FF2B5EF4-FFF2-40B4-BE49-F238E27FC236}">
                      <a16:creationId xmlns:a16="http://schemas.microsoft.com/office/drawing/2014/main" id="{00000000-0008-0000-0200-0000E3000000}"/>
                    </a:ext>
                  </a:extLst>
                </xdr:cNvPr>
                <xdr:cNvSpPr/>
              </xdr:nvSpPr>
              <xdr:spPr>
                <a:xfrm>
                  <a:off x="12246608" y="6357708"/>
                  <a:ext cx="100174" cy="9968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1270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28" name="Shape 26">
                  <a:extLst>
                    <a:ext uri="{FF2B5EF4-FFF2-40B4-BE49-F238E27FC236}">
                      <a16:creationId xmlns:a16="http://schemas.microsoft.com/office/drawing/2014/main" id="{00000000-0008-0000-0200-0000E4000000}"/>
                    </a:ext>
                  </a:extLst>
                </xdr:cNvPr>
                <xdr:cNvSpPr/>
              </xdr:nvSpPr>
              <xdr:spPr>
                <a:xfrm flipH="1">
                  <a:off x="12308831" y="6182455"/>
                  <a:ext cx="212699" cy="188826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cxnSp macro="">
              <xdr:nvCxnSpPr>
                <xdr:cNvPr id="229" name="Straight Connector 228">
                  <a:extLst>
                    <a:ext uri="{FF2B5EF4-FFF2-40B4-BE49-F238E27FC236}">
                      <a16:creationId xmlns:a16="http://schemas.microsoft.com/office/drawing/2014/main" id="{00000000-0008-0000-0200-0000E5000000}"/>
                    </a:ext>
                  </a:extLst>
                </xdr:cNvPr>
                <xdr:cNvCxnSpPr/>
              </xdr:nvCxnSpPr>
              <xdr:spPr>
                <a:xfrm>
                  <a:off x="12295460" y="4666198"/>
                  <a:ext cx="0" cy="1481046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30" name="Straight Connector 229">
                  <a:extLst>
                    <a:ext uri="{FF2B5EF4-FFF2-40B4-BE49-F238E27FC236}">
                      <a16:creationId xmlns:a16="http://schemas.microsoft.com/office/drawing/2014/main" id="{00000000-0008-0000-0200-0000E6000000}"/>
                    </a:ext>
                  </a:extLst>
                </xdr:cNvPr>
                <xdr:cNvCxnSpPr/>
              </xdr:nvCxnSpPr>
              <xdr:spPr>
                <a:xfrm flipH="1">
                  <a:off x="12164968" y="4954209"/>
                  <a:ext cx="256704" cy="188123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25" name="Straight Connector 224">
                <a:extLst>
                  <a:ext uri="{FF2B5EF4-FFF2-40B4-BE49-F238E27FC236}">
                    <a16:creationId xmlns:a16="http://schemas.microsoft.com/office/drawing/2014/main" id="{00000000-0008-0000-0200-0000E1000000}"/>
                  </a:ext>
                </a:extLst>
              </xdr:cNvPr>
              <xdr:cNvCxnSpPr/>
            </xdr:nvCxnSpPr>
            <xdr:spPr>
              <a:xfrm>
                <a:off x="12285708" y="6452192"/>
                <a:ext cx="0" cy="5788418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159" name="Group 158">
              <a:extLst>
                <a:ext uri="{FF2B5EF4-FFF2-40B4-BE49-F238E27FC236}">
                  <a16:creationId xmlns:a16="http://schemas.microsoft.com/office/drawing/2014/main" id="{00000000-0008-0000-0200-00009F000000}"/>
                </a:ext>
              </a:extLst>
            </xdr:cNvPr>
            <xdr:cNvGrpSpPr/>
          </xdr:nvGrpSpPr>
          <xdr:grpSpPr>
            <a:xfrm>
              <a:off x="12477102" y="9810250"/>
              <a:ext cx="3724150" cy="1316966"/>
              <a:chOff x="13365392" y="9716978"/>
              <a:chExt cx="3530877" cy="1332888"/>
            </a:xfrm>
          </xdr:grpSpPr>
          <xdr:grpSp>
            <xdr:nvGrpSpPr>
              <xdr:cNvPr id="169" name="Group 168">
                <a:extLst>
                  <a:ext uri="{FF2B5EF4-FFF2-40B4-BE49-F238E27FC236}">
                    <a16:creationId xmlns:a16="http://schemas.microsoft.com/office/drawing/2014/main" id="{00000000-0008-0000-0200-0000A9000000}"/>
                  </a:ext>
                </a:extLst>
              </xdr:cNvPr>
              <xdr:cNvGrpSpPr/>
            </xdr:nvGrpSpPr>
            <xdr:grpSpPr>
              <a:xfrm>
                <a:off x="13365392" y="9716978"/>
                <a:ext cx="3436001" cy="1287783"/>
                <a:chOff x="8581601" y="3850532"/>
                <a:chExt cx="3525984" cy="1262101"/>
              </a:xfrm>
            </xdr:grpSpPr>
            <xdr:sp macro="" textlink="">
              <xdr:nvSpPr>
                <xdr:cNvPr id="172" name="Rectangle 171">
                  <a:extLst>
                    <a:ext uri="{FF2B5EF4-FFF2-40B4-BE49-F238E27FC236}">
                      <a16:creationId xmlns:a16="http://schemas.microsoft.com/office/drawing/2014/main" id="{00000000-0008-0000-0200-0000AC000000}"/>
                    </a:ext>
                  </a:extLst>
                </xdr:cNvPr>
                <xdr:cNvSpPr/>
              </xdr:nvSpPr>
              <xdr:spPr>
                <a:xfrm>
                  <a:off x="12016984" y="5025958"/>
                  <a:ext cx="90601" cy="86675"/>
                </a:xfrm>
                <a:prstGeom prst="rect">
                  <a:avLst/>
                </a:prstGeom>
                <a:solidFill>
                  <a:schemeClr val="tx1"/>
                </a:solidFill>
                <a:ln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173" name="Group 172">
                  <a:extLst>
                    <a:ext uri="{FF2B5EF4-FFF2-40B4-BE49-F238E27FC236}">
                      <a16:creationId xmlns:a16="http://schemas.microsoft.com/office/drawing/2014/main" id="{00000000-0008-0000-0200-0000AD000000}"/>
                    </a:ext>
                  </a:extLst>
                </xdr:cNvPr>
                <xdr:cNvGrpSpPr/>
              </xdr:nvGrpSpPr>
              <xdr:grpSpPr>
                <a:xfrm>
                  <a:off x="8581601" y="3850532"/>
                  <a:ext cx="3480683" cy="1227296"/>
                  <a:chOff x="8581601" y="3850532"/>
                  <a:chExt cx="3480683" cy="1227296"/>
                </a:xfrm>
              </xdr:grpSpPr>
              <xdr:grpSp>
                <xdr:nvGrpSpPr>
                  <xdr:cNvPr id="174" name="Group 173">
                    <a:extLst>
                      <a:ext uri="{FF2B5EF4-FFF2-40B4-BE49-F238E27FC236}">
                        <a16:creationId xmlns:a16="http://schemas.microsoft.com/office/drawing/2014/main" id="{00000000-0008-0000-0200-0000AE000000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1629570" cy="969122"/>
                    <a:chOff x="9773409" y="3850532"/>
                    <a:chExt cx="1629570" cy="969122"/>
                  </a:xfrm>
                </xdr:grpSpPr>
                <xdr:grpSp>
                  <xdr:nvGrpSpPr>
                    <xdr:cNvPr id="179" name="Group 178">
                      <a:extLst>
                        <a:ext uri="{FF2B5EF4-FFF2-40B4-BE49-F238E27FC236}">
                          <a16:creationId xmlns:a16="http://schemas.microsoft.com/office/drawing/2014/main" id="{00000000-0008-0000-0200-0000B3000000}"/>
                        </a:ext>
                      </a:extLst>
                    </xdr:cNvPr>
                    <xdr:cNvGrpSpPr/>
                  </xdr:nvGrpSpPr>
                  <xdr:grpSpPr>
                    <a:xfrm>
                      <a:off x="11043409" y="3855114"/>
                      <a:ext cx="359570" cy="964540"/>
                      <a:chOff x="5976919" y="875457"/>
                      <a:chExt cx="528506" cy="1417708"/>
                    </a:xfrm>
                  </xdr:grpSpPr>
                  <xdr:sp macro="" textlink="">
                    <xdr:nvSpPr>
                      <xdr:cNvPr id="211" name="Shape 5">
                        <a:extLst>
                          <a:ext uri="{FF2B5EF4-FFF2-40B4-BE49-F238E27FC236}">
                            <a16:creationId xmlns:a16="http://schemas.microsoft.com/office/drawing/2014/main" id="{00000000-0008-0000-0200-0000D3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85725" y="1892729"/>
                        <a:ext cx="510889" cy="400436"/>
                      </a:xfrm>
                      <a:prstGeom prst="line">
                        <a:avLst/>
                      </a:prstGeom>
                      <a:noFill/>
                      <a:ln w="6350" cap="flat">
                        <a:solidFill>
                          <a:srgbClr val="000000"/>
                        </a:solidFill>
                        <a:prstDash val="solid"/>
                        <a:miter lim="400000"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sp macro="" textlink="">
                    <xdr:nvSpPr>
                      <xdr:cNvPr id="212" name="Shape 8">
                        <a:extLst>
                          <a:ext uri="{FF2B5EF4-FFF2-40B4-BE49-F238E27FC236}">
                            <a16:creationId xmlns:a16="http://schemas.microsoft.com/office/drawing/2014/main" id="{00000000-0008-0000-0200-0000D4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065923" y="2177865"/>
                        <a:ext cx="140766" cy="8190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wd2" y="hd2"/>
                          </a:cxn>
                          <a:cxn ang="5400000">
                            <a:pos x="wd2" y="hd2"/>
                          </a:cxn>
                          <a:cxn ang="10800000">
                            <a:pos x="wd2" y="hd2"/>
                          </a:cxn>
                          <a:cxn ang="16200000">
                            <a:pos x="wd2" y="hd2"/>
                          </a:cxn>
                        </a:cxnLst>
                        <a:rect l="0" t="0" r="r" b="b"/>
                        <a:pathLst>
                          <a:path w="21600" h="21600" extrusionOk="0">
                            <a:moveTo>
                              <a:pt x="0" y="19200"/>
                            </a:moveTo>
                            <a:cubicBezTo>
                              <a:pt x="2057" y="9600"/>
                              <a:pt x="5143" y="0"/>
                              <a:pt x="7200" y="0"/>
                            </a:cubicBezTo>
                            <a:cubicBezTo>
                              <a:pt x="9257" y="0"/>
                              <a:pt x="12343" y="21600"/>
                              <a:pt x="14400" y="21600"/>
                            </a:cubicBezTo>
                            <a:cubicBezTo>
                              <a:pt x="16457" y="21600"/>
                              <a:pt x="20571" y="4800"/>
                              <a:pt x="21600" y="2400"/>
                            </a:cubicBezTo>
                          </a:path>
                        </a:pathLst>
                      </a:cu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13" name="Group 212">
                        <a:extLst>
                          <a:ext uri="{FF2B5EF4-FFF2-40B4-BE49-F238E27FC236}">
                            <a16:creationId xmlns:a16="http://schemas.microsoft.com/office/drawing/2014/main" id="{00000000-0008-0000-0200-0000D5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14" name="Shape 7">
                          <a:extLst>
                            <a:ext uri="{FF2B5EF4-FFF2-40B4-BE49-F238E27FC236}">
                              <a16:creationId xmlns:a16="http://schemas.microsoft.com/office/drawing/2014/main" id="{00000000-0008-0000-0200-0000D6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75482" y="2006159"/>
                          <a:ext cx="153979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grpSp>
                      <xdr:nvGrpSpPr>
                        <xdr:cNvPr id="215" name="Group 214">
                          <a:extLst>
                            <a:ext uri="{FF2B5EF4-FFF2-40B4-BE49-F238E27FC236}">
                              <a16:creationId xmlns:a16="http://schemas.microsoft.com/office/drawing/2014/main" id="{00000000-0008-0000-0200-0000D7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19" y="875457"/>
                          <a:ext cx="528506" cy="1415685"/>
                          <a:chOff x="5976919" y="875457"/>
                          <a:chExt cx="528506" cy="1415685"/>
                        </a:xfrm>
                      </xdr:grpSpPr>
                      <xdr:sp macro="" textlink="">
                        <xdr:nvSpPr>
                          <xdr:cNvPr id="217" name="Rectangle 216">
                            <a:extLst>
                              <a:ext uri="{FF2B5EF4-FFF2-40B4-BE49-F238E27FC236}">
                                <a16:creationId xmlns:a16="http://schemas.microsoft.com/office/drawing/2014/main" id="{00000000-0008-0000-0200-0000D9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19" y="1886661"/>
                            <a:ext cx="528506" cy="404481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rot="0" spcFirstLastPara="1" vertOverflow="overflow" horzOverflow="overflow" vert="horz" wrap="square" lIns="50800" tIns="50800" rIns="50800" bIns="50800" numCol="1" spcCol="38100" rtlCol="0" anchor="ctr">
                            <a:noAutofit/>
                          </a:bodyPr>
                          <a:lstStyle/>
                          <a:p>
                            <a:pPr marL="0" marR="0" indent="0" algn="ctr" defTabSz="457200" rtl="0" fontAlgn="auto" latinLnBrk="1" hangingPunct="0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</a:pPr>
                            <a:endParaRPr kumimoji="0" lang="en-GB" sz="1200" b="0" i="0" u="none" strike="noStrike" cap="none" spc="0" normalizeH="0" baseline="0">
                              <a:ln>
                                <a:noFill/>
                              </a:ln>
                              <a:solidFill>
                                <a:srgbClr val="FFFFFF"/>
                              </a:solidFill>
                              <a:effectLst>
                                <a:outerShdw blurRad="25400" dist="23998" dir="2700000" rotWithShape="0">
                                  <a:srgbClr val="000000">
                                    <a:alpha val="31034"/>
                                  </a:srgbClr>
                                </a:outerShdw>
                              </a:effectLst>
                              <a:uFillTx/>
                              <a:latin typeface="+mn-lt"/>
                              <a:ea typeface="+mn-ea"/>
                              <a:cs typeface="+mn-cs"/>
                              <a:sym typeface="Helvetica"/>
                            </a:endParaRPr>
                          </a:p>
                        </xdr:txBody>
                      </xdr:sp>
                      <xdr:grpSp>
                        <xdr:nvGrpSpPr>
                          <xdr:cNvPr id="218" name="Group 217">
                            <a:extLst>
                              <a:ext uri="{FF2B5EF4-FFF2-40B4-BE49-F238E27FC236}">
                                <a16:creationId xmlns:a16="http://schemas.microsoft.com/office/drawing/2014/main" id="{00000000-0008-0000-0200-0000DA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5976922" y="875457"/>
                            <a:ext cx="520060" cy="1014094"/>
                            <a:chOff x="5976922" y="875457"/>
                            <a:chExt cx="520060" cy="1014094"/>
                          </a:xfrm>
                        </xdr:grpSpPr>
                        <xdr:sp macro="" textlink="">
                          <xdr:nvSpPr>
                            <xdr:cNvPr id="219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DB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flipH="1" flipV="1">
                              <a:off x="5976923" y="875457"/>
                              <a:ext cx="254940" cy="297419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sp macro="" textlink="">
                          <xdr:nvSpPr>
                            <xdr:cNvPr id="220" name="Rectangle 219">
                              <a:extLst>
                                <a:ext uri="{FF2B5EF4-FFF2-40B4-BE49-F238E27FC236}">
                                  <a16:creationId xmlns:a16="http://schemas.microsoft.com/office/drawing/2014/main" id="{00000000-0008-0000-0200-0000DC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5976922" y="878621"/>
                              <a:ext cx="511627" cy="805473"/>
                            </a:xfrm>
                            <a:prstGeom prst="rect">
                              <a:avLst/>
                            </a:prstGeom>
                            <a:noFill/>
                            <a:ln w="635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GB" sz="1100"/>
                            </a:p>
                          </xdr:txBody>
                        </xdr:sp>
                        <xdr:sp macro="" textlink="">
                          <xdr:nvSpPr>
                            <xdr:cNvPr id="221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DD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040000" flipH="1" flipV="1">
                              <a:off x="6220345" y="891428"/>
                              <a:ext cx="279414" cy="273861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cxnSp macro="">
                          <xdr:nvCxnSpPr>
                            <xdr:cNvPr id="222" name="Straight Connector 221">
                              <a:extLst>
                                <a:ext uri="{FF2B5EF4-FFF2-40B4-BE49-F238E27FC236}">
                                  <a16:creationId xmlns:a16="http://schemas.microsoft.com/office/drawing/2014/main" id="{00000000-0008-0000-0200-0000DE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143027" y="1684419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23" name="Straight Connector 222">
                              <a:extLst>
                                <a:ext uri="{FF2B5EF4-FFF2-40B4-BE49-F238E27FC236}">
                                  <a16:creationId xmlns:a16="http://schemas.microsoft.com/office/drawing/2014/main" id="{00000000-0008-0000-0200-0000DF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327249" y="1687310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</xdr:grpSp>
                    <xdr:sp macro="" textlink="">
                      <xdr:nvSpPr>
                        <xdr:cNvPr id="216" name="Shape 6">
                          <a:extLst>
                            <a:ext uri="{FF2B5EF4-FFF2-40B4-BE49-F238E27FC236}">
                              <a16:creationId xmlns:a16="http://schemas.microsoft.com/office/drawing/2014/main" id="{00000000-0008-0000-0200-0000D8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87662" y="1956312"/>
                          <a:ext cx="147372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dash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</xdr:grpSp>
                </xdr:grpSp>
                <xdr:grpSp>
                  <xdr:nvGrpSpPr>
                    <xdr:cNvPr id="180" name="Group 179">
                      <a:extLst>
                        <a:ext uri="{FF2B5EF4-FFF2-40B4-BE49-F238E27FC236}">
                          <a16:creationId xmlns:a16="http://schemas.microsoft.com/office/drawing/2014/main" id="{00000000-0008-0000-0200-0000B4000000}"/>
                        </a:ext>
                      </a:extLst>
                    </xdr:cNvPr>
                    <xdr:cNvGrpSpPr/>
                  </xdr:nvGrpSpPr>
                  <xdr:grpSpPr>
                    <a:xfrm>
                      <a:off x="9773409" y="3850532"/>
                      <a:ext cx="359570" cy="964540"/>
                      <a:chOff x="5976919" y="875457"/>
                      <a:chExt cx="528506" cy="1417708"/>
                    </a:xfrm>
                  </xdr:grpSpPr>
                  <xdr:sp macro="" textlink="">
                    <xdr:nvSpPr>
                      <xdr:cNvPr id="198" name="Shape 5">
                        <a:extLst>
                          <a:ext uri="{FF2B5EF4-FFF2-40B4-BE49-F238E27FC236}">
                            <a16:creationId xmlns:a16="http://schemas.microsoft.com/office/drawing/2014/main" id="{00000000-0008-0000-0200-0000C6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85725" y="1892729"/>
                        <a:ext cx="510889" cy="400436"/>
                      </a:xfrm>
                      <a:prstGeom prst="line">
                        <a:avLst/>
                      </a:prstGeom>
                      <a:noFill/>
                      <a:ln w="6350" cap="flat">
                        <a:solidFill>
                          <a:srgbClr val="000000"/>
                        </a:solidFill>
                        <a:prstDash val="solid"/>
                        <a:miter lim="400000"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sp macro="" textlink="">
                    <xdr:nvSpPr>
                      <xdr:cNvPr id="199" name="Shape 8">
                        <a:extLst>
                          <a:ext uri="{FF2B5EF4-FFF2-40B4-BE49-F238E27FC236}">
                            <a16:creationId xmlns:a16="http://schemas.microsoft.com/office/drawing/2014/main" id="{00000000-0008-0000-0200-0000C7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065923" y="2177865"/>
                        <a:ext cx="140766" cy="8190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wd2" y="hd2"/>
                          </a:cxn>
                          <a:cxn ang="5400000">
                            <a:pos x="wd2" y="hd2"/>
                          </a:cxn>
                          <a:cxn ang="10800000">
                            <a:pos x="wd2" y="hd2"/>
                          </a:cxn>
                          <a:cxn ang="16200000">
                            <a:pos x="wd2" y="hd2"/>
                          </a:cxn>
                        </a:cxnLst>
                        <a:rect l="0" t="0" r="r" b="b"/>
                        <a:pathLst>
                          <a:path w="21600" h="21600" extrusionOk="0">
                            <a:moveTo>
                              <a:pt x="0" y="19200"/>
                            </a:moveTo>
                            <a:cubicBezTo>
                              <a:pt x="2057" y="9600"/>
                              <a:pt x="5143" y="0"/>
                              <a:pt x="7200" y="0"/>
                            </a:cubicBezTo>
                            <a:cubicBezTo>
                              <a:pt x="9257" y="0"/>
                              <a:pt x="12343" y="21600"/>
                              <a:pt x="14400" y="21600"/>
                            </a:cubicBezTo>
                            <a:cubicBezTo>
                              <a:pt x="16457" y="21600"/>
                              <a:pt x="20571" y="4800"/>
                              <a:pt x="21600" y="2400"/>
                            </a:cubicBezTo>
                          </a:path>
                        </a:pathLst>
                      </a:cu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00" name="Group 199">
                        <a:extLst>
                          <a:ext uri="{FF2B5EF4-FFF2-40B4-BE49-F238E27FC236}">
                            <a16:creationId xmlns:a16="http://schemas.microsoft.com/office/drawing/2014/main" id="{00000000-0008-0000-0200-0000C8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01" name="Shape 7">
                          <a:extLst>
                            <a:ext uri="{FF2B5EF4-FFF2-40B4-BE49-F238E27FC236}">
                              <a16:creationId xmlns:a16="http://schemas.microsoft.com/office/drawing/2014/main" id="{00000000-0008-0000-0200-0000C9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75482" y="2006159"/>
                          <a:ext cx="153979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grpSp>
                      <xdr:nvGrpSpPr>
                        <xdr:cNvPr id="202" name="Group 201">
                          <a:extLst>
                            <a:ext uri="{FF2B5EF4-FFF2-40B4-BE49-F238E27FC236}">
                              <a16:creationId xmlns:a16="http://schemas.microsoft.com/office/drawing/2014/main" id="{00000000-0008-0000-0200-0000CA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19" y="875457"/>
                          <a:ext cx="528506" cy="1415685"/>
                          <a:chOff x="5976919" y="875457"/>
                          <a:chExt cx="528506" cy="1415685"/>
                        </a:xfrm>
                      </xdr:grpSpPr>
                      <xdr:sp macro="" textlink="">
                        <xdr:nvSpPr>
                          <xdr:cNvPr id="204" name="Rectangle 203">
                            <a:extLst>
                              <a:ext uri="{FF2B5EF4-FFF2-40B4-BE49-F238E27FC236}">
                                <a16:creationId xmlns:a16="http://schemas.microsoft.com/office/drawing/2014/main" id="{00000000-0008-0000-0200-0000CC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19" y="1886661"/>
                            <a:ext cx="528506" cy="404481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rot="0" spcFirstLastPara="1" vertOverflow="overflow" horzOverflow="overflow" vert="horz" wrap="square" lIns="50800" tIns="50800" rIns="50800" bIns="50800" numCol="1" spcCol="38100" rtlCol="0" anchor="ctr">
                            <a:noAutofit/>
                          </a:bodyPr>
                          <a:lstStyle/>
                          <a:p>
                            <a:pPr marL="0" marR="0" indent="0" algn="ctr" defTabSz="457200" rtl="0" fontAlgn="auto" latinLnBrk="1" hangingPunct="0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</a:pPr>
                            <a:endParaRPr kumimoji="0" lang="en-GB" sz="1200" b="0" i="0" u="none" strike="noStrike" cap="none" spc="0" normalizeH="0" baseline="0">
                              <a:ln>
                                <a:noFill/>
                              </a:ln>
                              <a:solidFill>
                                <a:srgbClr val="FFFFFF"/>
                              </a:solidFill>
                              <a:effectLst>
                                <a:outerShdw blurRad="25400" dist="23998" dir="2700000" rotWithShape="0">
                                  <a:srgbClr val="000000">
                                    <a:alpha val="31034"/>
                                  </a:srgbClr>
                                </a:outerShdw>
                              </a:effectLst>
                              <a:uFillTx/>
                              <a:latin typeface="+mn-lt"/>
                              <a:ea typeface="+mn-ea"/>
                              <a:cs typeface="+mn-cs"/>
                              <a:sym typeface="Helvetica"/>
                            </a:endParaRPr>
                          </a:p>
                        </xdr:txBody>
                      </xdr:sp>
                      <xdr:grpSp>
                        <xdr:nvGrpSpPr>
                          <xdr:cNvPr id="205" name="Group 204">
                            <a:extLst>
                              <a:ext uri="{FF2B5EF4-FFF2-40B4-BE49-F238E27FC236}">
                                <a16:creationId xmlns:a16="http://schemas.microsoft.com/office/drawing/2014/main" id="{00000000-0008-0000-0200-0000C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5976922" y="875457"/>
                            <a:ext cx="520060" cy="1014094"/>
                            <a:chOff x="5976922" y="875457"/>
                            <a:chExt cx="520060" cy="1014094"/>
                          </a:xfrm>
                        </xdr:grpSpPr>
                        <xdr:sp macro="" textlink="">
                          <xdr:nvSpPr>
                            <xdr:cNvPr id="206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E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flipH="1" flipV="1">
                              <a:off x="5976923" y="875457"/>
                              <a:ext cx="254940" cy="297419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sp macro="" textlink="">
                          <xdr:nvSpPr>
                            <xdr:cNvPr id="207" name="Rectangle 20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F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5976922" y="878621"/>
                              <a:ext cx="511627" cy="805473"/>
                            </a:xfrm>
                            <a:prstGeom prst="rect">
                              <a:avLst/>
                            </a:prstGeom>
                            <a:noFill/>
                            <a:ln w="635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GB" sz="1100"/>
                            </a:p>
                          </xdr:txBody>
                        </xdr:sp>
                        <xdr:sp macro="" textlink="">
                          <xdr:nvSpPr>
                            <xdr:cNvPr id="208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D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040000" flipH="1" flipV="1">
                              <a:off x="6220345" y="891428"/>
                              <a:ext cx="279414" cy="273861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cxnSp macro="">
                          <xdr:nvCxnSpPr>
                            <xdr:cNvPr id="209" name="Straight Connector 208">
                              <a:extLst>
                                <a:ext uri="{FF2B5EF4-FFF2-40B4-BE49-F238E27FC236}">
                                  <a16:creationId xmlns:a16="http://schemas.microsoft.com/office/drawing/2014/main" id="{00000000-0008-0000-0200-0000D1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143027" y="1684419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10" name="Straight Connector 209">
                              <a:extLst>
                                <a:ext uri="{FF2B5EF4-FFF2-40B4-BE49-F238E27FC236}">
                                  <a16:creationId xmlns:a16="http://schemas.microsoft.com/office/drawing/2014/main" id="{00000000-0008-0000-0200-0000D2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327249" y="1687310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</xdr:grpSp>
                    <xdr:sp macro="" textlink="">
                      <xdr:nvSpPr>
                        <xdr:cNvPr id="203" name="Shape 6">
                          <a:extLst>
                            <a:ext uri="{FF2B5EF4-FFF2-40B4-BE49-F238E27FC236}">
                              <a16:creationId xmlns:a16="http://schemas.microsoft.com/office/drawing/2014/main" id="{00000000-0008-0000-0200-0000CB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87662" y="1956312"/>
                          <a:ext cx="147372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dash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</xdr:grpSp>
                </xdr:grpSp>
                <xdr:grpSp>
                  <xdr:nvGrpSpPr>
                    <xdr:cNvPr id="181" name="Group 180">
                      <a:extLst>
                        <a:ext uri="{FF2B5EF4-FFF2-40B4-BE49-F238E27FC236}">
                          <a16:creationId xmlns:a16="http://schemas.microsoft.com/office/drawing/2014/main" id="{00000000-0008-0000-0200-0000B5000000}"/>
                        </a:ext>
                      </a:extLst>
                    </xdr:cNvPr>
                    <xdr:cNvGrpSpPr/>
                  </xdr:nvGrpSpPr>
                  <xdr:grpSpPr>
                    <a:xfrm>
                      <a:off x="10268085" y="3850532"/>
                      <a:ext cx="359570" cy="964540"/>
                      <a:chOff x="5976919" y="875457"/>
                      <a:chExt cx="528506" cy="1417708"/>
                    </a:xfrm>
                  </xdr:grpSpPr>
                  <xdr:sp macro="" textlink="">
                    <xdr:nvSpPr>
                      <xdr:cNvPr id="185" name="Shape 5">
                        <a:extLst>
                          <a:ext uri="{FF2B5EF4-FFF2-40B4-BE49-F238E27FC236}">
                            <a16:creationId xmlns:a16="http://schemas.microsoft.com/office/drawing/2014/main" id="{00000000-0008-0000-0200-0000B9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85725" y="1892729"/>
                        <a:ext cx="510889" cy="400436"/>
                      </a:xfrm>
                      <a:prstGeom prst="line">
                        <a:avLst/>
                      </a:prstGeom>
                      <a:noFill/>
                      <a:ln w="6350" cap="flat">
                        <a:solidFill>
                          <a:srgbClr val="000000"/>
                        </a:solidFill>
                        <a:prstDash val="solid"/>
                        <a:miter lim="400000"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sp macro="" textlink="">
                    <xdr:nvSpPr>
                      <xdr:cNvPr id="186" name="Shape 8">
                        <a:extLst>
                          <a:ext uri="{FF2B5EF4-FFF2-40B4-BE49-F238E27FC236}">
                            <a16:creationId xmlns:a16="http://schemas.microsoft.com/office/drawing/2014/main" id="{00000000-0008-0000-0200-0000BA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065923" y="2177865"/>
                        <a:ext cx="140766" cy="8190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wd2" y="hd2"/>
                          </a:cxn>
                          <a:cxn ang="5400000">
                            <a:pos x="wd2" y="hd2"/>
                          </a:cxn>
                          <a:cxn ang="10800000">
                            <a:pos x="wd2" y="hd2"/>
                          </a:cxn>
                          <a:cxn ang="16200000">
                            <a:pos x="wd2" y="hd2"/>
                          </a:cxn>
                        </a:cxnLst>
                        <a:rect l="0" t="0" r="r" b="b"/>
                        <a:pathLst>
                          <a:path w="21600" h="21600" extrusionOk="0">
                            <a:moveTo>
                              <a:pt x="0" y="19200"/>
                            </a:moveTo>
                            <a:cubicBezTo>
                              <a:pt x="2057" y="9600"/>
                              <a:pt x="5143" y="0"/>
                              <a:pt x="7200" y="0"/>
                            </a:cubicBezTo>
                            <a:cubicBezTo>
                              <a:pt x="9257" y="0"/>
                              <a:pt x="12343" y="21600"/>
                              <a:pt x="14400" y="21600"/>
                            </a:cubicBezTo>
                            <a:cubicBezTo>
                              <a:pt x="16457" y="21600"/>
                              <a:pt x="20571" y="4800"/>
                              <a:pt x="21600" y="2400"/>
                            </a:cubicBezTo>
                          </a:path>
                        </a:pathLst>
                      </a:cu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187" name="Group 186">
                        <a:extLst>
                          <a:ext uri="{FF2B5EF4-FFF2-40B4-BE49-F238E27FC236}">
                            <a16:creationId xmlns:a16="http://schemas.microsoft.com/office/drawing/2014/main" id="{00000000-0008-0000-0200-0000BB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188" name="Shape 7">
                          <a:extLst>
                            <a:ext uri="{FF2B5EF4-FFF2-40B4-BE49-F238E27FC236}">
                              <a16:creationId xmlns:a16="http://schemas.microsoft.com/office/drawing/2014/main" id="{00000000-0008-0000-0200-0000BC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75482" y="2006159"/>
                          <a:ext cx="153979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grpSp>
                      <xdr:nvGrpSpPr>
                        <xdr:cNvPr id="189" name="Group 188">
                          <a:extLst>
                            <a:ext uri="{FF2B5EF4-FFF2-40B4-BE49-F238E27FC236}">
                              <a16:creationId xmlns:a16="http://schemas.microsoft.com/office/drawing/2014/main" id="{00000000-0008-0000-0200-0000BD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19" y="875457"/>
                          <a:ext cx="528506" cy="1415685"/>
                          <a:chOff x="5976919" y="875457"/>
                          <a:chExt cx="528506" cy="1415685"/>
                        </a:xfrm>
                      </xdr:grpSpPr>
                      <xdr:sp macro="" textlink="">
                        <xdr:nvSpPr>
                          <xdr:cNvPr id="191" name="Rectangle 190">
                            <a:extLst>
                              <a:ext uri="{FF2B5EF4-FFF2-40B4-BE49-F238E27FC236}">
                                <a16:creationId xmlns:a16="http://schemas.microsoft.com/office/drawing/2014/main" id="{00000000-0008-0000-0200-0000BF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19" y="1886661"/>
                            <a:ext cx="528506" cy="404481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rot="0" spcFirstLastPara="1" vertOverflow="overflow" horzOverflow="overflow" vert="horz" wrap="square" lIns="50800" tIns="50800" rIns="50800" bIns="50800" numCol="1" spcCol="38100" rtlCol="0" anchor="ctr">
                            <a:noAutofit/>
                          </a:bodyPr>
                          <a:lstStyle/>
                          <a:p>
                            <a:pPr marL="0" marR="0" indent="0" algn="ctr" defTabSz="457200" rtl="0" fontAlgn="auto" latinLnBrk="1" hangingPunct="0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</a:pPr>
                            <a:endParaRPr kumimoji="0" lang="en-GB" sz="1200" b="0" i="0" u="none" strike="noStrike" cap="none" spc="0" normalizeH="0" baseline="0">
                              <a:ln>
                                <a:noFill/>
                              </a:ln>
                              <a:solidFill>
                                <a:srgbClr val="FFFFFF"/>
                              </a:solidFill>
                              <a:effectLst>
                                <a:outerShdw blurRad="25400" dist="23998" dir="2700000" rotWithShape="0">
                                  <a:srgbClr val="000000">
                                    <a:alpha val="31034"/>
                                  </a:srgbClr>
                                </a:outerShdw>
                              </a:effectLst>
                              <a:uFillTx/>
                              <a:latin typeface="+mn-lt"/>
                              <a:ea typeface="+mn-ea"/>
                              <a:cs typeface="+mn-cs"/>
                              <a:sym typeface="Helvetica"/>
                            </a:endParaRPr>
                          </a:p>
                        </xdr:txBody>
                      </xdr:sp>
                      <xdr:grpSp>
                        <xdr:nvGrpSpPr>
                          <xdr:cNvPr id="192" name="Group 191">
                            <a:extLst>
                              <a:ext uri="{FF2B5EF4-FFF2-40B4-BE49-F238E27FC236}">
                                <a16:creationId xmlns:a16="http://schemas.microsoft.com/office/drawing/2014/main" id="{00000000-0008-0000-0200-0000C0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5976922" y="875457"/>
                            <a:ext cx="520060" cy="1014094"/>
                            <a:chOff x="5976922" y="875457"/>
                            <a:chExt cx="520060" cy="1014094"/>
                          </a:xfrm>
                        </xdr:grpSpPr>
                        <xdr:sp macro="" textlink="">
                          <xdr:nvSpPr>
                            <xdr:cNvPr id="193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flipH="1" flipV="1">
                              <a:off x="5976923" y="875457"/>
                              <a:ext cx="254940" cy="297419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sp macro="" textlink="">
                          <xdr:nvSpPr>
                            <xdr:cNvPr id="194" name="Rectangle 193">
                              <a:extLst>
                                <a:ext uri="{FF2B5EF4-FFF2-40B4-BE49-F238E27FC236}">
                                  <a16:creationId xmlns:a16="http://schemas.microsoft.com/office/drawing/2014/main" id="{00000000-0008-0000-0200-0000C2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5976922" y="878621"/>
                              <a:ext cx="511627" cy="805473"/>
                            </a:xfrm>
                            <a:prstGeom prst="rect">
                              <a:avLst/>
                            </a:prstGeom>
                            <a:noFill/>
                            <a:ln w="635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GB" sz="1100"/>
                            </a:p>
                          </xdr:txBody>
                        </xdr:sp>
                        <xdr:sp macro="" textlink="">
                          <xdr:nvSpPr>
                            <xdr:cNvPr id="195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3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040000" flipH="1" flipV="1">
                              <a:off x="6220345" y="891428"/>
                              <a:ext cx="279414" cy="273861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cxnSp macro="">
                          <xdr:nvCxnSpPr>
                            <xdr:cNvPr id="196" name="Straight Connector 195">
                              <a:extLst>
                                <a:ext uri="{FF2B5EF4-FFF2-40B4-BE49-F238E27FC236}">
                                  <a16:creationId xmlns:a16="http://schemas.microsoft.com/office/drawing/2014/main" id="{00000000-0008-0000-0200-0000C4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143027" y="1684419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197" name="Straight Connector 19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5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327249" y="1687310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</xdr:grpSp>
                    <xdr:sp macro="" textlink="">
                      <xdr:nvSpPr>
                        <xdr:cNvPr id="190" name="Shape 6">
                          <a:extLst>
                            <a:ext uri="{FF2B5EF4-FFF2-40B4-BE49-F238E27FC236}">
                              <a16:creationId xmlns:a16="http://schemas.microsoft.com/office/drawing/2014/main" id="{00000000-0008-0000-0200-0000BE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87662" y="1956312"/>
                          <a:ext cx="147372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dash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</xdr:grpSp>
                </xdr:grpSp>
                <xdr:sp macro="" textlink="">
                  <xdr:nvSpPr>
                    <xdr:cNvPr id="182" name="Shape 27">
                      <a:extLst>
                        <a:ext uri="{FF2B5EF4-FFF2-40B4-BE49-F238E27FC236}">
                          <a16:creationId xmlns:a16="http://schemas.microsoft.com/office/drawing/2014/main" id="{00000000-0008-0000-0200-0000B6000000}"/>
                        </a:ext>
                      </a:extLst>
                    </xdr:cNvPr>
                    <xdr:cNvSpPr/>
                  </xdr:nvSpPr>
                  <xdr:spPr>
                    <a:xfrm>
                      <a:off x="10638097" y="4212580"/>
                      <a:ext cx="75217" cy="80841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19679" h="19679" extrusionOk="0">
                          <a:moveTo>
                            <a:pt x="16796" y="2882"/>
                          </a:moveTo>
                          <a:cubicBezTo>
                            <a:pt x="20639" y="6724"/>
                            <a:pt x="20639" y="12954"/>
                            <a:pt x="16796" y="16796"/>
                          </a:cubicBezTo>
                          <a:cubicBezTo>
                            <a:pt x="12954" y="20639"/>
                            <a:pt x="6724" y="20639"/>
                            <a:pt x="2882" y="16796"/>
                          </a:cubicBezTo>
                          <a:cubicBezTo>
                            <a:pt x="-961" y="12954"/>
                            <a:pt x="-961" y="6724"/>
                            <a:pt x="2882" y="2882"/>
                          </a:cubicBezTo>
                          <a:cubicBezTo>
                            <a:pt x="6724" y="-961"/>
                            <a:pt x="12954" y="-961"/>
                            <a:pt x="16796" y="2882"/>
                          </a:cubicBezTo>
                          <a:close/>
                        </a:path>
                      </a:pathLst>
                    </a:custGeom>
                    <a:noFill/>
                    <a:ln w="6350" cap="flat">
                      <a:solidFill>
                        <a:schemeClr val="tx1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83" name="Shape 27">
                      <a:extLst>
                        <a:ext uri="{FF2B5EF4-FFF2-40B4-BE49-F238E27FC236}">
                          <a16:creationId xmlns:a16="http://schemas.microsoft.com/office/drawing/2014/main" id="{00000000-0008-0000-0200-0000B7000000}"/>
                        </a:ext>
                      </a:extLst>
                    </xdr:cNvPr>
                    <xdr:cNvSpPr/>
                  </xdr:nvSpPr>
                  <xdr:spPr>
                    <a:xfrm>
                      <a:off x="10763475" y="4216361"/>
                      <a:ext cx="75217" cy="80841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19679" h="19679" extrusionOk="0">
                          <a:moveTo>
                            <a:pt x="16796" y="2882"/>
                          </a:moveTo>
                          <a:cubicBezTo>
                            <a:pt x="20639" y="6724"/>
                            <a:pt x="20639" y="12954"/>
                            <a:pt x="16796" y="16796"/>
                          </a:cubicBezTo>
                          <a:cubicBezTo>
                            <a:pt x="12954" y="20639"/>
                            <a:pt x="6724" y="20639"/>
                            <a:pt x="2882" y="16796"/>
                          </a:cubicBezTo>
                          <a:cubicBezTo>
                            <a:pt x="-961" y="12954"/>
                            <a:pt x="-961" y="6724"/>
                            <a:pt x="2882" y="2882"/>
                          </a:cubicBezTo>
                          <a:cubicBezTo>
                            <a:pt x="6724" y="-961"/>
                            <a:pt x="12954" y="-961"/>
                            <a:pt x="16796" y="2882"/>
                          </a:cubicBezTo>
                          <a:close/>
                        </a:path>
                      </a:pathLst>
                    </a:custGeom>
                    <a:noFill/>
                    <a:ln w="6350" cap="flat">
                      <a:solidFill>
                        <a:schemeClr val="tx1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84" name="Shape 27">
                      <a:extLst>
                        <a:ext uri="{FF2B5EF4-FFF2-40B4-BE49-F238E27FC236}">
                          <a16:creationId xmlns:a16="http://schemas.microsoft.com/office/drawing/2014/main" id="{00000000-0008-0000-0200-0000B8000000}"/>
                        </a:ext>
                      </a:extLst>
                    </xdr:cNvPr>
                    <xdr:cNvSpPr/>
                  </xdr:nvSpPr>
                  <xdr:spPr>
                    <a:xfrm>
                      <a:off x="10902364" y="4220140"/>
                      <a:ext cx="75217" cy="80841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19679" h="19679" extrusionOk="0">
                          <a:moveTo>
                            <a:pt x="16796" y="2882"/>
                          </a:moveTo>
                          <a:cubicBezTo>
                            <a:pt x="20639" y="6724"/>
                            <a:pt x="20639" y="12954"/>
                            <a:pt x="16796" y="16796"/>
                          </a:cubicBezTo>
                          <a:cubicBezTo>
                            <a:pt x="12954" y="20639"/>
                            <a:pt x="6724" y="20639"/>
                            <a:pt x="2882" y="16796"/>
                          </a:cubicBezTo>
                          <a:cubicBezTo>
                            <a:pt x="-961" y="12954"/>
                            <a:pt x="-961" y="6724"/>
                            <a:pt x="2882" y="2882"/>
                          </a:cubicBezTo>
                          <a:cubicBezTo>
                            <a:pt x="6724" y="-961"/>
                            <a:pt x="12954" y="-961"/>
                            <a:pt x="16796" y="2882"/>
                          </a:cubicBezTo>
                          <a:close/>
                        </a:path>
                      </a:pathLst>
                    </a:custGeom>
                    <a:noFill/>
                    <a:ln w="6350" cap="flat">
                      <a:solidFill>
                        <a:schemeClr val="tx1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cxnSp macro="">
                <xdr:nvCxnSpPr>
                  <xdr:cNvPr id="175" name="Straight Connector 174">
                    <a:extLst>
                      <a:ext uri="{FF2B5EF4-FFF2-40B4-BE49-F238E27FC236}">
                        <a16:creationId xmlns:a16="http://schemas.microsoft.com/office/drawing/2014/main" id="{00000000-0008-0000-0200-0000AF000000}"/>
                      </a:ext>
                    </a:extLst>
                  </xdr:cNvPr>
                  <xdr:cNvCxnSpPr/>
                </xdr:nvCxnSpPr>
                <xdr:spPr>
                  <a:xfrm>
                    <a:off x="8581601" y="5075080"/>
                    <a:ext cx="3480683" cy="0"/>
                  </a:xfrm>
                  <a:prstGeom prst="lin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176" name="Straight Connector 175">
                    <a:extLst>
                      <a:ext uri="{FF2B5EF4-FFF2-40B4-BE49-F238E27FC236}">
                        <a16:creationId xmlns:a16="http://schemas.microsoft.com/office/drawing/2014/main" id="{00000000-0008-0000-0200-0000B0000000}"/>
                      </a:ext>
                    </a:extLst>
                  </xdr:cNvPr>
                  <xdr:cNvCxnSpPr/>
                </xdr:nvCxnSpPr>
                <xdr:spPr>
                  <a:xfrm>
                    <a:off x="9939320" y="4810832"/>
                    <a:ext cx="0" cy="259436"/>
                  </a:xfrm>
                  <a:prstGeom prst="lin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177" name="Straight Connector 176">
                    <a:extLst>
                      <a:ext uri="{FF2B5EF4-FFF2-40B4-BE49-F238E27FC236}">
                        <a16:creationId xmlns:a16="http://schemas.microsoft.com/office/drawing/2014/main" id="{00000000-0008-0000-0200-0000B1000000}"/>
                      </a:ext>
                    </a:extLst>
                  </xdr:cNvPr>
                  <xdr:cNvCxnSpPr/>
                </xdr:nvCxnSpPr>
                <xdr:spPr>
                  <a:xfrm>
                    <a:off x="10442999" y="4814611"/>
                    <a:ext cx="0" cy="259436"/>
                  </a:xfrm>
                  <a:prstGeom prst="lin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178" name="Straight Connector 177">
                    <a:extLst>
                      <a:ext uri="{FF2B5EF4-FFF2-40B4-BE49-F238E27FC236}">
                        <a16:creationId xmlns:a16="http://schemas.microsoft.com/office/drawing/2014/main" id="{00000000-0008-0000-0200-0000B2000000}"/>
                      </a:ext>
                    </a:extLst>
                  </xdr:cNvPr>
                  <xdr:cNvCxnSpPr/>
                </xdr:nvCxnSpPr>
                <xdr:spPr>
                  <a:xfrm>
                    <a:off x="11230405" y="4818392"/>
                    <a:ext cx="0" cy="259436"/>
                  </a:xfrm>
                  <a:prstGeom prst="lin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sp macro="" textlink="">
            <xdr:nvSpPr>
              <xdr:cNvPr id="170" name="TextBox 169">
                <a:extLst>
                  <a:ext uri="{FF2B5EF4-FFF2-40B4-BE49-F238E27FC236}">
                    <a16:creationId xmlns:a16="http://schemas.microsoft.com/office/drawing/2014/main" id="{00000000-0008-0000-0200-0000AA000000}"/>
                  </a:ext>
                </a:extLst>
              </xdr:cNvPr>
              <xdr:cNvSpPr txBox="1"/>
            </xdr:nvSpPr>
            <xdr:spPr>
              <a:xfrm>
                <a:off x="13494491" y="10664180"/>
                <a:ext cx="712400" cy="385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800"/>
                  <a:t>Q-Cable</a:t>
                </a:r>
              </a:p>
            </xdr:txBody>
          </xdr:sp>
          <xdr:sp macro="" textlink="">
            <xdr:nvSpPr>
              <xdr:cNvPr id="171" name="TboxL2">
                <a:extLst>
                  <a:ext uri="{FF2B5EF4-FFF2-40B4-BE49-F238E27FC236}">
                    <a16:creationId xmlns:a16="http://schemas.microsoft.com/office/drawing/2014/main" id="{00000000-0008-0000-0200-0000AB000000}"/>
                  </a:ext>
                </a:extLst>
              </xdr:cNvPr>
              <xdr:cNvSpPr txBox="1"/>
            </xdr:nvSpPr>
            <xdr:spPr>
              <a:xfrm>
                <a:off x="16183869" y="10637749"/>
                <a:ext cx="712400" cy="385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800"/>
                  <a:t>L2</a:t>
                </a:r>
              </a:p>
            </xdr:txBody>
          </xdr:sp>
        </xdr:grpSp>
        <xdr:grpSp>
          <xdr:nvGrpSpPr>
            <xdr:cNvPr id="160" name="Group 159">
              <a:extLst>
                <a:ext uri="{FF2B5EF4-FFF2-40B4-BE49-F238E27FC236}">
                  <a16:creationId xmlns:a16="http://schemas.microsoft.com/office/drawing/2014/main" id="{00000000-0008-0000-0200-0000A0000000}"/>
                </a:ext>
              </a:extLst>
            </xdr:cNvPr>
            <xdr:cNvGrpSpPr/>
          </xdr:nvGrpSpPr>
          <xdr:grpSpPr>
            <a:xfrm>
              <a:off x="11686232" y="10822972"/>
              <a:ext cx="960038" cy="965214"/>
              <a:chOff x="11849447" y="11412343"/>
              <a:chExt cx="925593" cy="940997"/>
            </a:xfrm>
          </xdr:grpSpPr>
          <xdr:sp macro="" textlink="">
            <xdr:nvSpPr>
              <xdr:cNvPr id="161" name="Rectangle 160">
                <a:extLst>
                  <a:ext uri="{FF2B5EF4-FFF2-40B4-BE49-F238E27FC236}">
                    <a16:creationId xmlns:a16="http://schemas.microsoft.com/office/drawing/2014/main" id="{00000000-0008-0000-0200-0000A1000000}"/>
                  </a:ext>
                </a:extLst>
              </xdr:cNvPr>
              <xdr:cNvSpPr/>
            </xdr:nvSpPr>
            <xdr:spPr>
              <a:xfrm>
                <a:off x="11871277" y="11412343"/>
                <a:ext cx="797179" cy="440628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162" name="Group 161">
                <a:extLst>
                  <a:ext uri="{FF2B5EF4-FFF2-40B4-BE49-F238E27FC236}">
                    <a16:creationId xmlns:a16="http://schemas.microsoft.com/office/drawing/2014/main" id="{00000000-0008-0000-0200-0000A2000000}"/>
                  </a:ext>
                </a:extLst>
              </xdr:cNvPr>
              <xdr:cNvGrpSpPr/>
            </xdr:nvGrpSpPr>
            <xdr:grpSpPr>
              <a:xfrm>
                <a:off x="11849447" y="11484486"/>
                <a:ext cx="925593" cy="868854"/>
                <a:chOff x="11908226" y="11541665"/>
                <a:chExt cx="930700" cy="872986"/>
              </a:xfrm>
            </xdr:grpSpPr>
            <xdr:cxnSp macro="">
              <xdr:nvCxnSpPr>
                <xdr:cNvPr id="163" name="Straight Connector 162">
                  <a:extLst>
                    <a:ext uri="{FF2B5EF4-FFF2-40B4-BE49-F238E27FC236}">
                      <a16:creationId xmlns:a16="http://schemas.microsoft.com/office/drawing/2014/main" id="{00000000-0008-0000-0200-0000A3000000}"/>
                    </a:ext>
                  </a:extLst>
                </xdr:cNvPr>
                <xdr:cNvCxnSpPr>
                  <a:cxnSpLocks/>
                  <a:endCxn id="161" idx="3"/>
                </xdr:cNvCxnSpPr>
              </xdr:nvCxnSpPr>
              <xdr:spPr>
                <a:xfrm>
                  <a:off x="12480023" y="11689420"/>
                  <a:ext cx="250139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4" name="Straight Connector 163">
                  <a:extLst>
                    <a:ext uri="{FF2B5EF4-FFF2-40B4-BE49-F238E27FC236}">
                      <a16:creationId xmlns:a16="http://schemas.microsoft.com/office/drawing/2014/main" id="{00000000-0008-0000-0200-0000A4000000}"/>
                    </a:ext>
                  </a:extLst>
                </xdr:cNvPr>
                <xdr:cNvCxnSpPr>
                  <a:cxnSpLocks/>
                  <a:stCxn id="161" idx="1"/>
                </xdr:cNvCxnSpPr>
              </xdr:nvCxnSpPr>
              <xdr:spPr>
                <a:xfrm>
                  <a:off x="11934052" y="11689420"/>
                  <a:ext cx="235959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65" name="Shape 27">
                  <a:extLst>
                    <a:ext uri="{FF2B5EF4-FFF2-40B4-BE49-F238E27FC236}">
                      <a16:creationId xmlns:a16="http://schemas.microsoft.com/office/drawing/2014/main" id="{00000000-0008-0000-0200-0000A5000000}"/>
                    </a:ext>
                  </a:extLst>
                </xdr:cNvPr>
                <xdr:cNvSpPr/>
              </xdr:nvSpPr>
              <xdr:spPr>
                <a:xfrm>
                  <a:off x="12154421" y="11642546"/>
                  <a:ext cx="88419" cy="76229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66" name="Shape 26">
                  <a:extLst>
                    <a:ext uri="{FF2B5EF4-FFF2-40B4-BE49-F238E27FC236}">
                      <a16:creationId xmlns:a16="http://schemas.microsoft.com/office/drawing/2014/main" id="{00000000-0008-0000-0200-0000A6000000}"/>
                    </a:ext>
                  </a:extLst>
                </xdr:cNvPr>
                <xdr:cNvSpPr/>
              </xdr:nvSpPr>
              <xdr:spPr>
                <a:xfrm flipH="1" flipV="1">
                  <a:off x="12213579" y="11541665"/>
                  <a:ext cx="185088" cy="109345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67" name="TextBox 166">
                  <a:extLst>
                    <a:ext uri="{FF2B5EF4-FFF2-40B4-BE49-F238E27FC236}">
                      <a16:creationId xmlns:a16="http://schemas.microsoft.com/office/drawing/2014/main" id="{00000000-0008-0000-0200-0000A7000000}"/>
                    </a:ext>
                  </a:extLst>
                </xdr:cNvPr>
                <xdr:cNvSpPr txBox="1"/>
              </xdr:nvSpPr>
              <xdr:spPr>
                <a:xfrm>
                  <a:off x="11908226" y="11742384"/>
                  <a:ext cx="930700" cy="67226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800"/>
                    <a:t>Inverter Supply</a:t>
                  </a:r>
                </a:p>
                <a:p>
                  <a:pPr algn="ctr"/>
                  <a:r>
                    <a:rPr lang="en-GB" sz="800"/>
                    <a:t>A.C. Isolator</a:t>
                  </a:r>
                </a:p>
              </xdr:txBody>
            </xdr:sp>
            <xdr:sp macro="" textlink="">
              <xdr:nvSpPr>
                <xdr:cNvPr id="168" name="Shape 27">
                  <a:extLst>
                    <a:ext uri="{FF2B5EF4-FFF2-40B4-BE49-F238E27FC236}">
                      <a16:creationId xmlns:a16="http://schemas.microsoft.com/office/drawing/2014/main" id="{00000000-0008-0000-0200-0000A8000000}"/>
                    </a:ext>
                  </a:extLst>
                </xdr:cNvPr>
                <xdr:cNvSpPr/>
              </xdr:nvSpPr>
              <xdr:spPr>
                <a:xfrm>
                  <a:off x="12380864" y="11637915"/>
                  <a:ext cx="88420" cy="78404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</xdr:grpSp>
      </xdr:grpSp>
      <xdr:cxnSp macro="">
        <xdr:nvCxnSpPr>
          <xdr:cNvPr id="157" name="Straight Connector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CxnSpPr/>
        </xdr:nvCxnSpPr>
        <xdr:spPr>
          <a:xfrm flipH="1">
            <a:off x="10990217" y="10789799"/>
            <a:ext cx="908764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42</xdr:col>
      <xdr:colOff>220934</xdr:colOff>
      <xdr:row>16</xdr:row>
      <xdr:rowOff>86370</xdr:rowOff>
    </xdr:from>
    <xdr:to>
      <xdr:col>43</xdr:col>
      <xdr:colOff>217528</xdr:colOff>
      <xdr:row>17</xdr:row>
      <xdr:rowOff>158419</xdr:rowOff>
    </xdr:to>
    <xdr:grpSp>
      <xdr:nvGrpSpPr>
        <xdr:cNvPr id="231" name="3PInv1">
          <a:extLst>
            <a:ext uri="{FF2B5EF4-FFF2-40B4-BE49-F238E27FC236}">
              <a16:creationId xmlns:a16="http://schemas.microsoft.com/office/drawing/2014/main" id="{00000000-0008-0000-0200-0000E7000000}"/>
            </a:ext>
          </a:extLst>
        </xdr:cNvPr>
        <xdr:cNvGrpSpPr/>
      </xdr:nvGrpSpPr>
      <xdr:grpSpPr>
        <a:xfrm>
          <a:off x="10792826" y="3381505"/>
          <a:ext cx="248306" cy="277995"/>
          <a:chOff x="3200401" y="7249224"/>
          <a:chExt cx="250595" cy="281901"/>
        </a:xfrm>
      </xdr:grpSpPr>
      <xdr:cxnSp macro="">
        <xdr:nvCxnSpPr>
          <xdr:cNvPr id="232" name="2P">
            <a:extLst>
              <a:ext uri="{FF2B5EF4-FFF2-40B4-BE49-F238E27FC236}">
                <a16:creationId xmlns:a16="http://schemas.microsoft.com/office/drawing/2014/main" id="{00000000-0008-0000-0200-0000E8000000}"/>
              </a:ext>
            </a:extLst>
          </xdr:cNvPr>
          <xdr:cNvCxnSpPr/>
        </xdr:nvCxnSpPr>
        <xdr:spPr>
          <a:xfrm flipH="1">
            <a:off x="3200401" y="7249224"/>
            <a:ext cx="250595" cy="18903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3" name="3P">
            <a:extLst>
              <a:ext uri="{FF2B5EF4-FFF2-40B4-BE49-F238E27FC236}">
                <a16:creationId xmlns:a16="http://schemas.microsoft.com/office/drawing/2014/main" id="{00000000-0008-0000-0200-0000E9000000}"/>
              </a:ext>
            </a:extLst>
          </xdr:cNvPr>
          <xdr:cNvCxnSpPr/>
        </xdr:nvCxnSpPr>
        <xdr:spPr>
          <a:xfrm flipH="1">
            <a:off x="3200401" y="7348250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50</xdr:col>
      <xdr:colOff>67733</xdr:colOff>
      <xdr:row>40</xdr:row>
      <xdr:rowOff>16933</xdr:rowOff>
    </xdr:from>
    <xdr:to>
      <xdr:col>64</xdr:col>
      <xdr:colOff>86875</xdr:colOff>
      <xdr:row>59</xdr:row>
      <xdr:rowOff>56380</xdr:rowOff>
    </xdr:to>
    <xdr:grpSp>
      <xdr:nvGrpSpPr>
        <xdr:cNvPr id="234" name="L1-3A1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/>
      </xdr:nvGrpSpPr>
      <xdr:grpSpPr>
        <a:xfrm>
          <a:off x="12653319" y="8254771"/>
          <a:ext cx="3543106" cy="3952420"/>
          <a:chOff x="10560606" y="7545401"/>
          <a:chExt cx="3557203" cy="3956624"/>
        </a:xfrm>
      </xdr:grpSpPr>
      <xdr:grpSp>
        <xdr:nvGrpSpPr>
          <xdr:cNvPr id="235" name="Group 234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10560606" y="7545401"/>
            <a:ext cx="3557203" cy="1224927"/>
            <a:chOff x="13364535" y="9716977"/>
            <a:chExt cx="3455582" cy="1316034"/>
          </a:xfrm>
        </xdr:grpSpPr>
        <xdr:grpSp>
          <xdr:nvGrpSpPr>
            <xdr:cNvPr id="294" name="Group 293">
              <a:extLst>
                <a:ext uri="{FF2B5EF4-FFF2-40B4-BE49-F238E27FC236}">
                  <a16:creationId xmlns:a16="http://schemas.microsoft.com/office/drawing/2014/main" id="{00000000-0008-0000-0200-000026010000}"/>
                </a:ext>
              </a:extLst>
            </xdr:cNvPr>
            <xdr:cNvGrpSpPr/>
          </xdr:nvGrpSpPr>
          <xdr:grpSpPr>
            <a:xfrm>
              <a:off x="13520478" y="9716977"/>
              <a:ext cx="3280913" cy="1287783"/>
              <a:chOff x="8740750" y="3850532"/>
              <a:chExt cx="3366835" cy="1262101"/>
            </a:xfrm>
          </xdr:grpSpPr>
          <xdr:sp macro="" textlink="">
            <xdr:nvSpPr>
              <xdr:cNvPr id="297" name="Rectangle 296">
                <a:extLst>
                  <a:ext uri="{FF2B5EF4-FFF2-40B4-BE49-F238E27FC236}">
                    <a16:creationId xmlns:a16="http://schemas.microsoft.com/office/drawing/2014/main" id="{00000000-0008-0000-0200-000029010000}"/>
                  </a:ext>
                </a:extLst>
              </xdr:cNvPr>
              <xdr:cNvSpPr/>
            </xdr:nvSpPr>
            <xdr:spPr>
              <a:xfrm>
                <a:off x="12016984" y="5025958"/>
                <a:ext cx="90601" cy="86675"/>
              </a:xfrm>
              <a:prstGeom prst="rect">
                <a:avLst/>
              </a:prstGeom>
              <a:solidFill>
                <a:schemeClr val="tx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298" name="Group 297">
                <a:extLst>
                  <a:ext uri="{FF2B5EF4-FFF2-40B4-BE49-F238E27FC236}">
                    <a16:creationId xmlns:a16="http://schemas.microsoft.com/office/drawing/2014/main" id="{00000000-0008-0000-0200-00002A010000}"/>
                  </a:ext>
                </a:extLst>
              </xdr:cNvPr>
              <xdr:cNvGrpSpPr/>
            </xdr:nvGrpSpPr>
            <xdr:grpSpPr>
              <a:xfrm>
                <a:off x="8740750" y="3850532"/>
                <a:ext cx="3334412" cy="1227296"/>
                <a:chOff x="8740750" y="3850532"/>
                <a:chExt cx="3334412" cy="1227296"/>
              </a:xfrm>
            </xdr:grpSpPr>
            <xdr:grpSp>
              <xdr:nvGrpSpPr>
                <xdr:cNvPr id="299" name="Group 298">
                  <a:extLst>
                    <a:ext uri="{FF2B5EF4-FFF2-40B4-BE49-F238E27FC236}">
                      <a16:creationId xmlns:a16="http://schemas.microsoft.com/office/drawing/2014/main" id="{00000000-0008-0000-0200-00002B010000}"/>
                    </a:ext>
                  </a:extLst>
                </xdr:cNvPr>
                <xdr:cNvGrpSpPr/>
              </xdr:nvGrpSpPr>
              <xdr:grpSpPr>
                <a:xfrm>
                  <a:off x="9773409" y="3850532"/>
                  <a:ext cx="1629570" cy="969122"/>
                  <a:chOff x="9773409" y="3850532"/>
                  <a:chExt cx="1629570" cy="969122"/>
                </a:xfrm>
              </xdr:grpSpPr>
              <xdr:grpSp>
                <xdr:nvGrpSpPr>
                  <xdr:cNvPr id="304" name="Group 303">
                    <a:extLst>
                      <a:ext uri="{FF2B5EF4-FFF2-40B4-BE49-F238E27FC236}">
                        <a16:creationId xmlns:a16="http://schemas.microsoft.com/office/drawing/2014/main" id="{00000000-0008-0000-0200-000030010000}"/>
                      </a:ext>
                    </a:extLst>
                  </xdr:cNvPr>
                  <xdr:cNvGrpSpPr/>
                </xdr:nvGrpSpPr>
                <xdr:grpSpPr>
                  <a:xfrm>
                    <a:off x="11043409" y="3855114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336" name="Shape 5">
                      <a:extLst>
                        <a:ext uri="{FF2B5EF4-FFF2-40B4-BE49-F238E27FC236}">
                          <a16:creationId xmlns:a16="http://schemas.microsoft.com/office/drawing/2014/main" id="{00000000-0008-0000-0200-000050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37" name="Shape 8">
                      <a:extLst>
                        <a:ext uri="{FF2B5EF4-FFF2-40B4-BE49-F238E27FC236}">
                          <a16:creationId xmlns:a16="http://schemas.microsoft.com/office/drawing/2014/main" id="{00000000-0008-0000-0200-000051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338" name="Group 337">
                      <a:extLst>
                        <a:ext uri="{FF2B5EF4-FFF2-40B4-BE49-F238E27FC236}">
                          <a16:creationId xmlns:a16="http://schemas.microsoft.com/office/drawing/2014/main" id="{00000000-0008-0000-0200-000052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339" name="Shape 7">
                        <a:extLst>
                          <a:ext uri="{FF2B5EF4-FFF2-40B4-BE49-F238E27FC236}">
                            <a16:creationId xmlns:a16="http://schemas.microsoft.com/office/drawing/2014/main" id="{00000000-0008-0000-0200-000053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340" name="Group 339">
                        <a:extLst>
                          <a:ext uri="{FF2B5EF4-FFF2-40B4-BE49-F238E27FC236}">
                            <a16:creationId xmlns:a16="http://schemas.microsoft.com/office/drawing/2014/main" id="{00000000-0008-0000-0200-000054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342" name="Rectangle 341">
                          <a:extLst>
                            <a:ext uri="{FF2B5EF4-FFF2-40B4-BE49-F238E27FC236}">
                              <a16:creationId xmlns:a16="http://schemas.microsoft.com/office/drawing/2014/main" id="{00000000-0008-0000-0200-000056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343" name="Group 342">
                          <a:extLst>
                            <a:ext uri="{FF2B5EF4-FFF2-40B4-BE49-F238E27FC236}">
                              <a16:creationId xmlns:a16="http://schemas.microsoft.com/office/drawing/2014/main" id="{00000000-0008-0000-0200-000057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344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58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345" name="Rectangle 344">
                            <a:extLst>
                              <a:ext uri="{FF2B5EF4-FFF2-40B4-BE49-F238E27FC236}">
                                <a16:creationId xmlns:a16="http://schemas.microsoft.com/office/drawing/2014/main" id="{00000000-0008-0000-0200-000059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346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5A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347" name="Straight Connector 346">
                            <a:extLst>
                              <a:ext uri="{FF2B5EF4-FFF2-40B4-BE49-F238E27FC236}">
                                <a16:creationId xmlns:a16="http://schemas.microsoft.com/office/drawing/2014/main" id="{00000000-0008-0000-0200-00005B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348" name="Straight Connector 347">
                            <a:extLst>
                              <a:ext uri="{FF2B5EF4-FFF2-40B4-BE49-F238E27FC236}">
                                <a16:creationId xmlns:a16="http://schemas.microsoft.com/office/drawing/2014/main" id="{00000000-0008-0000-0200-00005C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341" name="Shape 6">
                        <a:extLst>
                          <a:ext uri="{FF2B5EF4-FFF2-40B4-BE49-F238E27FC236}">
                            <a16:creationId xmlns:a16="http://schemas.microsoft.com/office/drawing/2014/main" id="{00000000-0008-0000-0200-000055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305" name="Group 304">
                    <a:extLst>
                      <a:ext uri="{FF2B5EF4-FFF2-40B4-BE49-F238E27FC236}">
                        <a16:creationId xmlns:a16="http://schemas.microsoft.com/office/drawing/2014/main" id="{00000000-0008-0000-0200-000031010000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323" name="Shape 5">
                      <a:extLst>
                        <a:ext uri="{FF2B5EF4-FFF2-40B4-BE49-F238E27FC236}">
                          <a16:creationId xmlns:a16="http://schemas.microsoft.com/office/drawing/2014/main" id="{00000000-0008-0000-0200-000043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24" name="Shape 8">
                      <a:extLst>
                        <a:ext uri="{FF2B5EF4-FFF2-40B4-BE49-F238E27FC236}">
                          <a16:creationId xmlns:a16="http://schemas.microsoft.com/office/drawing/2014/main" id="{00000000-0008-0000-0200-000044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325" name="Group 324">
                      <a:extLst>
                        <a:ext uri="{FF2B5EF4-FFF2-40B4-BE49-F238E27FC236}">
                          <a16:creationId xmlns:a16="http://schemas.microsoft.com/office/drawing/2014/main" id="{00000000-0008-0000-0200-000045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326" name="Shape 7">
                        <a:extLst>
                          <a:ext uri="{FF2B5EF4-FFF2-40B4-BE49-F238E27FC236}">
                            <a16:creationId xmlns:a16="http://schemas.microsoft.com/office/drawing/2014/main" id="{00000000-0008-0000-0200-000046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327" name="Group 326">
                        <a:extLst>
                          <a:ext uri="{FF2B5EF4-FFF2-40B4-BE49-F238E27FC236}">
                            <a16:creationId xmlns:a16="http://schemas.microsoft.com/office/drawing/2014/main" id="{00000000-0008-0000-0200-000047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329" name="Rectangle 328">
                          <a:extLst>
                            <a:ext uri="{FF2B5EF4-FFF2-40B4-BE49-F238E27FC236}">
                              <a16:creationId xmlns:a16="http://schemas.microsoft.com/office/drawing/2014/main" id="{00000000-0008-0000-0200-000049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330" name="Group 329">
                          <a:extLst>
                            <a:ext uri="{FF2B5EF4-FFF2-40B4-BE49-F238E27FC236}">
                              <a16:creationId xmlns:a16="http://schemas.microsoft.com/office/drawing/2014/main" id="{00000000-0008-0000-0200-00004A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331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4B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332" name="Rectangle 331">
                            <a:extLst>
                              <a:ext uri="{FF2B5EF4-FFF2-40B4-BE49-F238E27FC236}">
                                <a16:creationId xmlns:a16="http://schemas.microsoft.com/office/drawing/2014/main" id="{00000000-0008-0000-0200-00004C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333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4D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334" name="Straight Connector 333">
                            <a:extLst>
                              <a:ext uri="{FF2B5EF4-FFF2-40B4-BE49-F238E27FC236}">
                                <a16:creationId xmlns:a16="http://schemas.microsoft.com/office/drawing/2014/main" id="{00000000-0008-0000-0200-00004E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335" name="Straight Connector 334">
                            <a:extLst>
                              <a:ext uri="{FF2B5EF4-FFF2-40B4-BE49-F238E27FC236}">
                                <a16:creationId xmlns:a16="http://schemas.microsoft.com/office/drawing/2014/main" id="{00000000-0008-0000-0200-00004F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328" name="Shape 6">
                        <a:extLst>
                          <a:ext uri="{FF2B5EF4-FFF2-40B4-BE49-F238E27FC236}">
                            <a16:creationId xmlns:a16="http://schemas.microsoft.com/office/drawing/2014/main" id="{00000000-0008-0000-0200-000048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306" name="Group 305">
                    <a:extLst>
                      <a:ext uri="{FF2B5EF4-FFF2-40B4-BE49-F238E27FC236}">
                        <a16:creationId xmlns:a16="http://schemas.microsoft.com/office/drawing/2014/main" id="{00000000-0008-0000-0200-000032010000}"/>
                      </a:ext>
                    </a:extLst>
                  </xdr:cNvPr>
                  <xdr:cNvGrpSpPr/>
                </xdr:nvGrpSpPr>
                <xdr:grpSpPr>
                  <a:xfrm>
                    <a:off x="10268085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310" name="Shape 5">
                      <a:extLst>
                        <a:ext uri="{FF2B5EF4-FFF2-40B4-BE49-F238E27FC236}">
                          <a16:creationId xmlns:a16="http://schemas.microsoft.com/office/drawing/2014/main" id="{00000000-0008-0000-0200-000036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11" name="Shape 8">
                      <a:extLst>
                        <a:ext uri="{FF2B5EF4-FFF2-40B4-BE49-F238E27FC236}">
                          <a16:creationId xmlns:a16="http://schemas.microsoft.com/office/drawing/2014/main" id="{00000000-0008-0000-0200-000037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312" name="Group 311">
                      <a:extLst>
                        <a:ext uri="{FF2B5EF4-FFF2-40B4-BE49-F238E27FC236}">
                          <a16:creationId xmlns:a16="http://schemas.microsoft.com/office/drawing/2014/main" id="{00000000-0008-0000-0200-000038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313" name="Shape 7">
                        <a:extLst>
                          <a:ext uri="{FF2B5EF4-FFF2-40B4-BE49-F238E27FC236}">
                            <a16:creationId xmlns:a16="http://schemas.microsoft.com/office/drawing/2014/main" id="{00000000-0008-0000-0200-000039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314" name="Group 313">
                        <a:extLst>
                          <a:ext uri="{FF2B5EF4-FFF2-40B4-BE49-F238E27FC236}">
                            <a16:creationId xmlns:a16="http://schemas.microsoft.com/office/drawing/2014/main" id="{00000000-0008-0000-0200-00003A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316" name="Rectangle 315">
                          <a:extLst>
                            <a:ext uri="{FF2B5EF4-FFF2-40B4-BE49-F238E27FC236}">
                              <a16:creationId xmlns:a16="http://schemas.microsoft.com/office/drawing/2014/main" id="{00000000-0008-0000-0200-00003C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317" name="Group 316">
                          <a:extLst>
                            <a:ext uri="{FF2B5EF4-FFF2-40B4-BE49-F238E27FC236}">
                              <a16:creationId xmlns:a16="http://schemas.microsoft.com/office/drawing/2014/main" id="{00000000-0008-0000-0200-00003D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318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3E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319" name="Rectangle 318">
                            <a:extLst>
                              <a:ext uri="{FF2B5EF4-FFF2-40B4-BE49-F238E27FC236}">
                                <a16:creationId xmlns:a16="http://schemas.microsoft.com/office/drawing/2014/main" id="{00000000-0008-0000-0200-00003F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320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40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321" name="Straight Connector 320">
                            <a:extLst>
                              <a:ext uri="{FF2B5EF4-FFF2-40B4-BE49-F238E27FC236}">
                                <a16:creationId xmlns:a16="http://schemas.microsoft.com/office/drawing/2014/main" id="{00000000-0008-0000-0200-000041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322" name="Straight Connector 321">
                            <a:extLst>
                              <a:ext uri="{FF2B5EF4-FFF2-40B4-BE49-F238E27FC236}">
                                <a16:creationId xmlns:a16="http://schemas.microsoft.com/office/drawing/2014/main" id="{00000000-0008-0000-0200-000042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315" name="Shape 6">
                        <a:extLst>
                          <a:ext uri="{FF2B5EF4-FFF2-40B4-BE49-F238E27FC236}">
                            <a16:creationId xmlns:a16="http://schemas.microsoft.com/office/drawing/2014/main" id="{00000000-0008-0000-0200-00003B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sp macro="" textlink="">
                <xdr:nvSpPr>
                  <xdr:cNvPr id="307" name="Shape 27">
                    <a:extLst>
                      <a:ext uri="{FF2B5EF4-FFF2-40B4-BE49-F238E27FC236}">
                        <a16:creationId xmlns:a16="http://schemas.microsoft.com/office/drawing/2014/main" id="{00000000-0008-0000-0200-000033010000}"/>
                      </a:ext>
                    </a:extLst>
                  </xdr:cNvPr>
                  <xdr:cNvSpPr/>
                </xdr:nvSpPr>
                <xdr:spPr>
                  <a:xfrm>
                    <a:off x="10638097" y="421258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08" name="Shape 27">
                    <a:extLst>
                      <a:ext uri="{FF2B5EF4-FFF2-40B4-BE49-F238E27FC236}">
                        <a16:creationId xmlns:a16="http://schemas.microsoft.com/office/drawing/2014/main" id="{00000000-0008-0000-0200-000034010000}"/>
                      </a:ext>
                    </a:extLst>
                  </xdr:cNvPr>
                  <xdr:cNvSpPr/>
                </xdr:nvSpPr>
                <xdr:spPr>
                  <a:xfrm>
                    <a:off x="10763475" y="4216361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09" name="Shape 27">
                    <a:extLst>
                      <a:ext uri="{FF2B5EF4-FFF2-40B4-BE49-F238E27FC236}">
                        <a16:creationId xmlns:a16="http://schemas.microsoft.com/office/drawing/2014/main" id="{00000000-0008-0000-0200-000035010000}"/>
                      </a:ext>
                    </a:extLst>
                  </xdr:cNvPr>
                  <xdr:cNvSpPr/>
                </xdr:nvSpPr>
                <xdr:spPr>
                  <a:xfrm>
                    <a:off x="10902364" y="422014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300" name="Straight Connector 299">
                  <a:extLst>
                    <a:ext uri="{FF2B5EF4-FFF2-40B4-BE49-F238E27FC236}">
                      <a16:creationId xmlns:a16="http://schemas.microsoft.com/office/drawing/2014/main" id="{00000000-0008-0000-0200-00002C010000}"/>
                    </a:ext>
                  </a:extLst>
                </xdr:cNvPr>
                <xdr:cNvCxnSpPr/>
              </xdr:nvCxnSpPr>
              <xdr:spPr>
                <a:xfrm>
                  <a:off x="8740750" y="5075080"/>
                  <a:ext cx="3334412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01" name="Straight Connector 300">
                  <a:extLst>
                    <a:ext uri="{FF2B5EF4-FFF2-40B4-BE49-F238E27FC236}">
                      <a16:creationId xmlns:a16="http://schemas.microsoft.com/office/drawing/2014/main" id="{00000000-0008-0000-0200-00002D010000}"/>
                    </a:ext>
                  </a:extLst>
                </xdr:cNvPr>
                <xdr:cNvCxnSpPr/>
              </xdr:nvCxnSpPr>
              <xdr:spPr>
                <a:xfrm>
                  <a:off x="9939320" y="481083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02" name="Straight Connector 301">
                  <a:extLst>
                    <a:ext uri="{FF2B5EF4-FFF2-40B4-BE49-F238E27FC236}">
                      <a16:creationId xmlns:a16="http://schemas.microsoft.com/office/drawing/2014/main" id="{00000000-0008-0000-0200-00002E010000}"/>
                    </a:ext>
                  </a:extLst>
                </xdr:cNvPr>
                <xdr:cNvCxnSpPr/>
              </xdr:nvCxnSpPr>
              <xdr:spPr>
                <a:xfrm>
                  <a:off x="10442999" y="4814611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03" name="Straight Connector 302">
                  <a:extLst>
                    <a:ext uri="{FF2B5EF4-FFF2-40B4-BE49-F238E27FC236}">
                      <a16:creationId xmlns:a16="http://schemas.microsoft.com/office/drawing/2014/main" id="{00000000-0008-0000-0200-00002F010000}"/>
                    </a:ext>
                  </a:extLst>
                </xdr:cNvPr>
                <xdr:cNvCxnSpPr/>
              </xdr:nvCxnSpPr>
              <xdr:spPr>
                <a:xfrm>
                  <a:off x="11230405" y="481839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95" name="TextBox 294">
              <a:extLst>
                <a:ext uri="{FF2B5EF4-FFF2-40B4-BE49-F238E27FC236}">
                  <a16:creationId xmlns:a16="http://schemas.microsoft.com/office/drawing/2014/main" id="{00000000-0008-0000-0200-000027010000}"/>
                </a:ext>
              </a:extLst>
            </xdr:cNvPr>
            <xdr:cNvSpPr txBox="1"/>
          </xdr:nvSpPr>
          <xdr:spPr>
            <a:xfrm>
              <a:off x="13364535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Q-Cable</a:t>
              </a:r>
            </a:p>
          </xdr:txBody>
        </xdr:sp>
        <xdr:sp macro="" textlink="">
          <xdr:nvSpPr>
            <xdr:cNvPr id="296" name="TextBox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 txBox="1"/>
          </xdr:nvSpPr>
          <xdr:spPr>
            <a:xfrm>
              <a:off x="16107717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L1</a:t>
              </a:r>
            </a:p>
          </xdr:txBody>
        </xdr:sp>
      </xdr:grpSp>
      <xdr:grpSp>
        <xdr:nvGrpSpPr>
          <xdr:cNvPr id="236" name="Group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GrpSpPr/>
        </xdr:nvGrpSpPr>
        <xdr:grpSpPr>
          <a:xfrm>
            <a:off x="10564524" y="10273522"/>
            <a:ext cx="3553284" cy="1228503"/>
            <a:chOff x="13364535" y="9716977"/>
            <a:chExt cx="3455581" cy="1316034"/>
          </a:xfrm>
        </xdr:grpSpPr>
        <xdr:grpSp>
          <xdr:nvGrpSpPr>
            <xdr:cNvPr id="239" name="Group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GrpSpPr/>
          </xdr:nvGrpSpPr>
          <xdr:grpSpPr>
            <a:xfrm>
              <a:off x="13520482" y="9716977"/>
              <a:ext cx="3280909" cy="1287783"/>
              <a:chOff x="8740754" y="3850532"/>
              <a:chExt cx="3366831" cy="1262101"/>
            </a:xfrm>
          </xdr:grpSpPr>
          <xdr:sp macro="" textlink="">
            <xdr:nvSpPr>
              <xdr:cNvPr id="242" name="Rectangle 241">
                <a:extLst>
                  <a:ext uri="{FF2B5EF4-FFF2-40B4-BE49-F238E27FC236}">
                    <a16:creationId xmlns:a16="http://schemas.microsoft.com/office/drawing/2014/main" id="{00000000-0008-0000-0200-0000F2000000}"/>
                  </a:ext>
                </a:extLst>
              </xdr:cNvPr>
              <xdr:cNvSpPr/>
            </xdr:nvSpPr>
            <xdr:spPr>
              <a:xfrm>
                <a:off x="12016984" y="5025958"/>
                <a:ext cx="90601" cy="86675"/>
              </a:xfrm>
              <a:prstGeom prst="rect">
                <a:avLst/>
              </a:prstGeom>
              <a:solidFill>
                <a:schemeClr val="tx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243" name="Group 242">
                <a:extLst>
                  <a:ext uri="{FF2B5EF4-FFF2-40B4-BE49-F238E27FC236}">
                    <a16:creationId xmlns:a16="http://schemas.microsoft.com/office/drawing/2014/main" id="{00000000-0008-0000-0200-0000F3000000}"/>
                  </a:ext>
                </a:extLst>
              </xdr:cNvPr>
              <xdr:cNvGrpSpPr/>
            </xdr:nvGrpSpPr>
            <xdr:grpSpPr>
              <a:xfrm>
                <a:off x="8740754" y="3850532"/>
                <a:ext cx="3334412" cy="1227296"/>
                <a:chOff x="8740754" y="3850532"/>
                <a:chExt cx="3334412" cy="1227296"/>
              </a:xfrm>
            </xdr:grpSpPr>
            <xdr:grpSp>
              <xdr:nvGrpSpPr>
                <xdr:cNvPr id="244" name="Group 243">
                  <a:extLst>
                    <a:ext uri="{FF2B5EF4-FFF2-40B4-BE49-F238E27FC236}">
                      <a16:creationId xmlns:a16="http://schemas.microsoft.com/office/drawing/2014/main" id="{00000000-0008-0000-0200-0000F4000000}"/>
                    </a:ext>
                  </a:extLst>
                </xdr:cNvPr>
                <xdr:cNvGrpSpPr/>
              </xdr:nvGrpSpPr>
              <xdr:grpSpPr>
                <a:xfrm>
                  <a:off x="9773409" y="3850532"/>
                  <a:ext cx="1629570" cy="969122"/>
                  <a:chOff x="9773409" y="3850532"/>
                  <a:chExt cx="1629570" cy="969122"/>
                </a:xfrm>
              </xdr:grpSpPr>
              <xdr:grpSp>
                <xdr:nvGrpSpPr>
                  <xdr:cNvPr id="249" name="Group 248">
                    <a:extLst>
                      <a:ext uri="{FF2B5EF4-FFF2-40B4-BE49-F238E27FC236}">
                        <a16:creationId xmlns:a16="http://schemas.microsoft.com/office/drawing/2014/main" id="{00000000-0008-0000-0200-0000F9000000}"/>
                      </a:ext>
                    </a:extLst>
                  </xdr:cNvPr>
                  <xdr:cNvGrpSpPr/>
                </xdr:nvGrpSpPr>
                <xdr:grpSpPr>
                  <a:xfrm>
                    <a:off x="11043409" y="3855114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281" name="Shape 5">
                      <a:extLst>
                        <a:ext uri="{FF2B5EF4-FFF2-40B4-BE49-F238E27FC236}">
                          <a16:creationId xmlns:a16="http://schemas.microsoft.com/office/drawing/2014/main" id="{00000000-0008-0000-0200-000019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82" name="Shape 8">
                      <a:extLst>
                        <a:ext uri="{FF2B5EF4-FFF2-40B4-BE49-F238E27FC236}">
                          <a16:creationId xmlns:a16="http://schemas.microsoft.com/office/drawing/2014/main" id="{00000000-0008-0000-0200-00001A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83" name="Group 282">
                      <a:extLst>
                        <a:ext uri="{FF2B5EF4-FFF2-40B4-BE49-F238E27FC236}">
                          <a16:creationId xmlns:a16="http://schemas.microsoft.com/office/drawing/2014/main" id="{00000000-0008-0000-0200-00001B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84" name="Shape 7">
                        <a:extLst>
                          <a:ext uri="{FF2B5EF4-FFF2-40B4-BE49-F238E27FC236}">
                            <a16:creationId xmlns:a16="http://schemas.microsoft.com/office/drawing/2014/main" id="{00000000-0008-0000-0200-00001C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85" name="Group 284">
                        <a:extLst>
                          <a:ext uri="{FF2B5EF4-FFF2-40B4-BE49-F238E27FC236}">
                            <a16:creationId xmlns:a16="http://schemas.microsoft.com/office/drawing/2014/main" id="{00000000-0008-0000-0200-00001D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87" name="Rectangle 286">
                          <a:extLst>
                            <a:ext uri="{FF2B5EF4-FFF2-40B4-BE49-F238E27FC236}">
                              <a16:creationId xmlns:a16="http://schemas.microsoft.com/office/drawing/2014/main" id="{00000000-0008-0000-0200-00001F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288" name="Group 287">
                          <a:extLst>
                            <a:ext uri="{FF2B5EF4-FFF2-40B4-BE49-F238E27FC236}">
                              <a16:creationId xmlns:a16="http://schemas.microsoft.com/office/drawing/2014/main" id="{00000000-0008-0000-0200-000020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289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21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290" name="Rectangle 289">
                            <a:extLst>
                              <a:ext uri="{FF2B5EF4-FFF2-40B4-BE49-F238E27FC236}">
                                <a16:creationId xmlns:a16="http://schemas.microsoft.com/office/drawing/2014/main" id="{00000000-0008-0000-0200-000022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291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23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292" name="Straight Connector 291">
                            <a:extLst>
                              <a:ext uri="{FF2B5EF4-FFF2-40B4-BE49-F238E27FC236}">
                                <a16:creationId xmlns:a16="http://schemas.microsoft.com/office/drawing/2014/main" id="{00000000-0008-0000-0200-000024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93" name="Straight Connector 292">
                            <a:extLst>
                              <a:ext uri="{FF2B5EF4-FFF2-40B4-BE49-F238E27FC236}">
                                <a16:creationId xmlns:a16="http://schemas.microsoft.com/office/drawing/2014/main" id="{00000000-0008-0000-0200-000025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286" name="Shape 6">
                        <a:extLst>
                          <a:ext uri="{FF2B5EF4-FFF2-40B4-BE49-F238E27FC236}">
                            <a16:creationId xmlns:a16="http://schemas.microsoft.com/office/drawing/2014/main" id="{00000000-0008-0000-0200-00001E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250" name="Group 249">
                    <a:extLst>
                      <a:ext uri="{FF2B5EF4-FFF2-40B4-BE49-F238E27FC236}">
                        <a16:creationId xmlns:a16="http://schemas.microsoft.com/office/drawing/2014/main" id="{00000000-0008-0000-0200-0000FA000000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268" name="Shape 5">
                      <a:extLst>
                        <a:ext uri="{FF2B5EF4-FFF2-40B4-BE49-F238E27FC236}">
                          <a16:creationId xmlns:a16="http://schemas.microsoft.com/office/drawing/2014/main" id="{00000000-0008-0000-0200-00000C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69" name="Shape 8">
                      <a:extLst>
                        <a:ext uri="{FF2B5EF4-FFF2-40B4-BE49-F238E27FC236}">
                          <a16:creationId xmlns:a16="http://schemas.microsoft.com/office/drawing/2014/main" id="{00000000-0008-0000-0200-00000D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70" name="Group 269">
                      <a:extLst>
                        <a:ext uri="{FF2B5EF4-FFF2-40B4-BE49-F238E27FC236}">
                          <a16:creationId xmlns:a16="http://schemas.microsoft.com/office/drawing/2014/main" id="{00000000-0008-0000-0200-00000E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71" name="Shape 7">
                        <a:extLst>
                          <a:ext uri="{FF2B5EF4-FFF2-40B4-BE49-F238E27FC236}">
                            <a16:creationId xmlns:a16="http://schemas.microsoft.com/office/drawing/2014/main" id="{00000000-0008-0000-0200-00000F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72" name="Group 271">
                        <a:extLst>
                          <a:ext uri="{FF2B5EF4-FFF2-40B4-BE49-F238E27FC236}">
                            <a16:creationId xmlns:a16="http://schemas.microsoft.com/office/drawing/2014/main" id="{00000000-0008-0000-0200-000010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74" name="Rectangle 273">
                          <a:extLst>
                            <a:ext uri="{FF2B5EF4-FFF2-40B4-BE49-F238E27FC236}">
                              <a16:creationId xmlns:a16="http://schemas.microsoft.com/office/drawing/2014/main" id="{00000000-0008-0000-0200-000012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275" name="Group 274">
                          <a:extLst>
                            <a:ext uri="{FF2B5EF4-FFF2-40B4-BE49-F238E27FC236}">
                              <a16:creationId xmlns:a16="http://schemas.microsoft.com/office/drawing/2014/main" id="{00000000-0008-0000-0200-000013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276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14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277" name="Rectangle 276">
                            <a:extLst>
                              <a:ext uri="{FF2B5EF4-FFF2-40B4-BE49-F238E27FC236}">
                                <a16:creationId xmlns:a16="http://schemas.microsoft.com/office/drawing/2014/main" id="{00000000-0008-0000-0200-000015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278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16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279" name="Straight Connector 278">
                            <a:extLst>
                              <a:ext uri="{FF2B5EF4-FFF2-40B4-BE49-F238E27FC236}">
                                <a16:creationId xmlns:a16="http://schemas.microsoft.com/office/drawing/2014/main" id="{00000000-0008-0000-0200-000017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80" name="Straight Connector 279">
                            <a:extLst>
                              <a:ext uri="{FF2B5EF4-FFF2-40B4-BE49-F238E27FC236}">
                                <a16:creationId xmlns:a16="http://schemas.microsoft.com/office/drawing/2014/main" id="{00000000-0008-0000-0200-000018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273" name="Shape 6">
                        <a:extLst>
                          <a:ext uri="{FF2B5EF4-FFF2-40B4-BE49-F238E27FC236}">
                            <a16:creationId xmlns:a16="http://schemas.microsoft.com/office/drawing/2014/main" id="{00000000-0008-0000-0200-000011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251" name="Group 250">
                    <a:extLst>
                      <a:ext uri="{FF2B5EF4-FFF2-40B4-BE49-F238E27FC236}">
                        <a16:creationId xmlns:a16="http://schemas.microsoft.com/office/drawing/2014/main" id="{00000000-0008-0000-0200-0000FB000000}"/>
                      </a:ext>
                    </a:extLst>
                  </xdr:cNvPr>
                  <xdr:cNvGrpSpPr/>
                </xdr:nvGrpSpPr>
                <xdr:grpSpPr>
                  <a:xfrm>
                    <a:off x="10268085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255" name="Shape 5">
                      <a:extLst>
                        <a:ext uri="{FF2B5EF4-FFF2-40B4-BE49-F238E27FC236}">
                          <a16:creationId xmlns:a16="http://schemas.microsoft.com/office/drawing/2014/main" id="{00000000-0008-0000-0200-0000FF00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56" name="Shape 8">
                      <a:extLst>
                        <a:ext uri="{FF2B5EF4-FFF2-40B4-BE49-F238E27FC236}">
                          <a16:creationId xmlns:a16="http://schemas.microsoft.com/office/drawing/2014/main" id="{00000000-0008-0000-0200-000000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57" name="Group 256">
                      <a:extLst>
                        <a:ext uri="{FF2B5EF4-FFF2-40B4-BE49-F238E27FC236}">
                          <a16:creationId xmlns:a16="http://schemas.microsoft.com/office/drawing/2014/main" id="{00000000-0008-0000-0200-000001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58" name="Shape 7">
                        <a:extLst>
                          <a:ext uri="{FF2B5EF4-FFF2-40B4-BE49-F238E27FC236}">
                            <a16:creationId xmlns:a16="http://schemas.microsoft.com/office/drawing/2014/main" id="{00000000-0008-0000-0200-000002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59" name="Group 258">
                        <a:extLst>
                          <a:ext uri="{FF2B5EF4-FFF2-40B4-BE49-F238E27FC236}">
                            <a16:creationId xmlns:a16="http://schemas.microsoft.com/office/drawing/2014/main" id="{00000000-0008-0000-0200-000003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61" name="Rectangle 260">
                          <a:extLst>
                            <a:ext uri="{FF2B5EF4-FFF2-40B4-BE49-F238E27FC236}">
                              <a16:creationId xmlns:a16="http://schemas.microsoft.com/office/drawing/2014/main" id="{00000000-0008-0000-0200-000005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262" name="Group 261">
                          <a:extLst>
                            <a:ext uri="{FF2B5EF4-FFF2-40B4-BE49-F238E27FC236}">
                              <a16:creationId xmlns:a16="http://schemas.microsoft.com/office/drawing/2014/main" id="{00000000-0008-0000-0200-000006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263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07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264" name="Rectangle 263">
                            <a:extLst>
                              <a:ext uri="{FF2B5EF4-FFF2-40B4-BE49-F238E27FC236}">
                                <a16:creationId xmlns:a16="http://schemas.microsoft.com/office/drawing/2014/main" id="{00000000-0008-0000-0200-000008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265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09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266" name="Straight Connector 265">
                            <a:extLst>
                              <a:ext uri="{FF2B5EF4-FFF2-40B4-BE49-F238E27FC236}">
                                <a16:creationId xmlns:a16="http://schemas.microsoft.com/office/drawing/2014/main" id="{00000000-0008-0000-0200-00000A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67" name="Straight Connector 266">
                            <a:extLst>
                              <a:ext uri="{FF2B5EF4-FFF2-40B4-BE49-F238E27FC236}">
                                <a16:creationId xmlns:a16="http://schemas.microsoft.com/office/drawing/2014/main" id="{00000000-0008-0000-0200-00000B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260" name="Shape 6">
                        <a:extLst>
                          <a:ext uri="{FF2B5EF4-FFF2-40B4-BE49-F238E27FC236}">
                            <a16:creationId xmlns:a16="http://schemas.microsoft.com/office/drawing/2014/main" id="{00000000-0008-0000-0200-000004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sp macro="" textlink="">
                <xdr:nvSpPr>
                  <xdr:cNvPr id="252" name="Shape 27">
                    <a:extLst>
                      <a:ext uri="{FF2B5EF4-FFF2-40B4-BE49-F238E27FC236}">
                        <a16:creationId xmlns:a16="http://schemas.microsoft.com/office/drawing/2014/main" id="{00000000-0008-0000-0200-0000FC000000}"/>
                      </a:ext>
                    </a:extLst>
                  </xdr:cNvPr>
                  <xdr:cNvSpPr/>
                </xdr:nvSpPr>
                <xdr:spPr>
                  <a:xfrm>
                    <a:off x="10638097" y="421258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53" name="Shape 27">
                    <a:extLst>
                      <a:ext uri="{FF2B5EF4-FFF2-40B4-BE49-F238E27FC236}">
                        <a16:creationId xmlns:a16="http://schemas.microsoft.com/office/drawing/2014/main" id="{00000000-0008-0000-0200-0000FD000000}"/>
                      </a:ext>
                    </a:extLst>
                  </xdr:cNvPr>
                  <xdr:cNvSpPr/>
                </xdr:nvSpPr>
                <xdr:spPr>
                  <a:xfrm>
                    <a:off x="10763475" y="4216361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54" name="Shape 27">
                    <a:extLst>
                      <a:ext uri="{FF2B5EF4-FFF2-40B4-BE49-F238E27FC236}">
                        <a16:creationId xmlns:a16="http://schemas.microsoft.com/office/drawing/2014/main" id="{00000000-0008-0000-0200-0000FE000000}"/>
                      </a:ext>
                    </a:extLst>
                  </xdr:cNvPr>
                  <xdr:cNvSpPr/>
                </xdr:nvSpPr>
                <xdr:spPr>
                  <a:xfrm>
                    <a:off x="10902364" y="422014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245" name="Straight Connector 244">
                  <a:extLst>
                    <a:ext uri="{FF2B5EF4-FFF2-40B4-BE49-F238E27FC236}">
                      <a16:creationId xmlns:a16="http://schemas.microsoft.com/office/drawing/2014/main" id="{00000000-0008-0000-0200-0000F5000000}"/>
                    </a:ext>
                  </a:extLst>
                </xdr:cNvPr>
                <xdr:cNvCxnSpPr/>
              </xdr:nvCxnSpPr>
              <xdr:spPr>
                <a:xfrm>
                  <a:off x="8740754" y="5062392"/>
                  <a:ext cx="3334412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6" name="Straight Connector 245">
                  <a:extLst>
                    <a:ext uri="{FF2B5EF4-FFF2-40B4-BE49-F238E27FC236}">
                      <a16:creationId xmlns:a16="http://schemas.microsoft.com/office/drawing/2014/main" id="{00000000-0008-0000-0200-0000F6000000}"/>
                    </a:ext>
                  </a:extLst>
                </xdr:cNvPr>
                <xdr:cNvCxnSpPr/>
              </xdr:nvCxnSpPr>
              <xdr:spPr>
                <a:xfrm>
                  <a:off x="9939320" y="481083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7" name="Straight Connector 246">
                  <a:extLst>
                    <a:ext uri="{FF2B5EF4-FFF2-40B4-BE49-F238E27FC236}">
                      <a16:creationId xmlns:a16="http://schemas.microsoft.com/office/drawing/2014/main" id="{00000000-0008-0000-0200-0000F7000000}"/>
                    </a:ext>
                  </a:extLst>
                </xdr:cNvPr>
                <xdr:cNvCxnSpPr/>
              </xdr:nvCxnSpPr>
              <xdr:spPr>
                <a:xfrm>
                  <a:off x="10442999" y="4814611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8" name="Straight Connector 247">
                  <a:extLst>
                    <a:ext uri="{FF2B5EF4-FFF2-40B4-BE49-F238E27FC236}">
                      <a16:creationId xmlns:a16="http://schemas.microsoft.com/office/drawing/2014/main" id="{00000000-0008-0000-0200-0000F8000000}"/>
                    </a:ext>
                  </a:extLst>
                </xdr:cNvPr>
                <xdr:cNvCxnSpPr/>
              </xdr:nvCxnSpPr>
              <xdr:spPr>
                <a:xfrm>
                  <a:off x="11230405" y="481839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40" name="TextBox 239">
              <a:extLst>
                <a:ext uri="{FF2B5EF4-FFF2-40B4-BE49-F238E27FC236}">
                  <a16:creationId xmlns:a16="http://schemas.microsoft.com/office/drawing/2014/main" id="{00000000-0008-0000-0200-0000F0000000}"/>
                </a:ext>
              </a:extLst>
            </xdr:cNvPr>
            <xdr:cNvSpPr txBox="1"/>
          </xdr:nvSpPr>
          <xdr:spPr>
            <a:xfrm>
              <a:off x="13364535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Q-Cable</a:t>
              </a:r>
            </a:p>
          </xdr:txBody>
        </xdr:sp>
        <xdr:sp macro="" textlink="">
          <xdr:nvSpPr>
            <xdr:cNvPr id="241" name="TextBox 240">
              <a:extLst>
                <a:ext uri="{FF2B5EF4-FFF2-40B4-BE49-F238E27FC236}">
                  <a16:creationId xmlns:a16="http://schemas.microsoft.com/office/drawing/2014/main" id="{00000000-0008-0000-0200-0000F1000000}"/>
                </a:ext>
              </a:extLst>
            </xdr:cNvPr>
            <xdr:cNvSpPr txBox="1"/>
          </xdr:nvSpPr>
          <xdr:spPr>
            <a:xfrm>
              <a:off x="16107716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L3</a:t>
              </a:r>
            </a:p>
          </xdr:txBody>
        </xdr:sp>
      </xdr:grpSp>
      <xdr:cxnSp macro="">
        <xdr:nvCxnSpPr>
          <xdr:cNvPr id="237" name="Straight Connector 236">
            <a:extLst>
              <a:ext uri="{FF2B5EF4-FFF2-40B4-BE49-F238E27FC236}">
                <a16:creationId xmlns:a16="http://schemas.microsoft.com/office/drawing/2014/main" id="{00000000-0008-0000-0200-0000ED000000}"/>
              </a:ext>
            </a:extLst>
          </xdr:cNvPr>
          <xdr:cNvCxnSpPr/>
        </xdr:nvCxnSpPr>
        <xdr:spPr>
          <a:xfrm>
            <a:off x="10712844" y="10083202"/>
            <a:ext cx="0" cy="135341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8" name="Straight Connector 237">
            <a:extLst>
              <a:ext uri="{FF2B5EF4-FFF2-40B4-BE49-F238E27FC236}">
                <a16:creationId xmlns:a16="http://schemas.microsoft.com/office/drawing/2014/main" id="{00000000-0008-0000-0200-0000EE000000}"/>
              </a:ext>
            </a:extLst>
          </xdr:cNvPr>
          <xdr:cNvCxnSpPr/>
        </xdr:nvCxnSpPr>
        <xdr:spPr>
          <a:xfrm>
            <a:off x="10712844" y="8711863"/>
            <a:ext cx="0" cy="137134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50</xdr:col>
      <xdr:colOff>132080</xdr:colOff>
      <xdr:row>39</xdr:row>
      <xdr:rowOff>162559</xdr:rowOff>
    </xdr:from>
    <xdr:to>
      <xdr:col>65</xdr:col>
      <xdr:colOff>128638</xdr:colOff>
      <xdr:row>59</xdr:row>
      <xdr:rowOff>201630</xdr:rowOff>
    </xdr:to>
    <xdr:sp macro="" textlink="">
      <xdr:nvSpPr>
        <xdr:cNvPr id="349" name="Dash1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/>
      </xdr:nvSpPr>
      <xdr:spPr>
        <a:xfrm>
          <a:off x="12832080" y="8087359"/>
          <a:ext cx="3806558" cy="4103071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64</xdr:col>
      <xdr:colOff>185756</xdr:colOff>
      <xdr:row>59</xdr:row>
      <xdr:rowOff>139994</xdr:rowOff>
    </xdr:from>
    <xdr:to>
      <xdr:col>66</xdr:col>
      <xdr:colOff>85630</xdr:colOff>
      <xdr:row>61</xdr:row>
      <xdr:rowOff>133125</xdr:rowOff>
    </xdr:to>
    <xdr:grpSp>
      <xdr:nvGrpSpPr>
        <xdr:cNvPr id="350" name="Ground1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GrpSpPr/>
      </xdr:nvGrpSpPr>
      <xdr:grpSpPr>
        <a:xfrm>
          <a:off x="16295306" y="12290805"/>
          <a:ext cx="403297" cy="405023"/>
          <a:chOff x="10160000" y="2820276"/>
          <a:chExt cx="508000" cy="401148"/>
        </a:xfrm>
      </xdr:grpSpPr>
      <xdr:grpSp>
        <xdr:nvGrpSpPr>
          <xdr:cNvPr id="351" name="Group 350">
            <a:extLst>
              <a:ext uri="{FF2B5EF4-FFF2-40B4-BE49-F238E27FC236}">
                <a16:creationId xmlns:a16="http://schemas.microsoft.com/office/drawing/2014/main" id="{00000000-0008-0000-0200-00005F01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353" name="Straight Connector 352">
              <a:extLst>
                <a:ext uri="{FF2B5EF4-FFF2-40B4-BE49-F238E27FC236}">
                  <a16:creationId xmlns:a16="http://schemas.microsoft.com/office/drawing/2014/main" id="{00000000-0008-0000-0200-00006101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4" name="Straight Connector 353">
              <a:extLst>
                <a:ext uri="{FF2B5EF4-FFF2-40B4-BE49-F238E27FC236}">
                  <a16:creationId xmlns:a16="http://schemas.microsoft.com/office/drawing/2014/main" id="{00000000-0008-0000-0200-00006201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5" name="Straight Connector 354">
              <a:extLst>
                <a:ext uri="{FF2B5EF4-FFF2-40B4-BE49-F238E27FC236}">
                  <a16:creationId xmlns:a16="http://schemas.microsoft.com/office/drawing/2014/main" id="{00000000-0008-0000-0200-00006301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52" name="Straight Connector 351">
            <a:extLst>
              <a:ext uri="{FF2B5EF4-FFF2-40B4-BE49-F238E27FC236}">
                <a16:creationId xmlns:a16="http://schemas.microsoft.com/office/drawing/2014/main" id="{00000000-0008-0000-0200-00006001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35736</xdr:colOff>
      <xdr:row>39</xdr:row>
      <xdr:rowOff>94092</xdr:rowOff>
    </xdr:from>
    <xdr:to>
      <xdr:col>23</xdr:col>
      <xdr:colOff>169333</xdr:colOff>
      <xdr:row>39</xdr:row>
      <xdr:rowOff>94092</xdr:rowOff>
    </xdr:to>
    <xdr:cxnSp macro="">
      <xdr:nvCxnSpPr>
        <xdr:cNvPr id="356" name="Straight Connector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CxnSpPr/>
      </xdr:nvCxnSpPr>
      <xdr:spPr>
        <a:xfrm>
          <a:off x="3337736" y="8018892"/>
          <a:ext cx="2673597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155340</xdr:colOff>
      <xdr:row>14</xdr:row>
      <xdr:rowOff>84667</xdr:rowOff>
    </xdr:from>
    <xdr:to>
      <xdr:col>23</xdr:col>
      <xdr:colOff>155340</xdr:colOff>
      <xdr:row>39</xdr:row>
      <xdr:rowOff>101600</xdr:rowOff>
    </xdr:to>
    <xdr:cxnSp macro="">
      <xdr:nvCxnSpPr>
        <xdr:cNvPr id="357" name="Straight Connector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CxnSpPr/>
      </xdr:nvCxnSpPr>
      <xdr:spPr>
        <a:xfrm>
          <a:off x="5997340" y="2929467"/>
          <a:ext cx="0" cy="50969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</xdr:colOff>
      <xdr:row>14</xdr:row>
      <xdr:rowOff>104072</xdr:rowOff>
    </xdr:from>
    <xdr:to>
      <xdr:col>34</xdr:col>
      <xdr:colOff>127000</xdr:colOff>
      <xdr:row>14</xdr:row>
      <xdr:rowOff>104072</xdr:rowOff>
    </xdr:to>
    <xdr:cxnSp macro="">
      <xdr:nvCxnSpPr>
        <xdr:cNvPr id="358" name="Straight Connector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CxnSpPr/>
      </xdr:nvCxnSpPr>
      <xdr:spPr>
        <a:xfrm>
          <a:off x="5842001" y="2948872"/>
          <a:ext cx="2920999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5681</xdr:colOff>
      <xdr:row>46</xdr:row>
      <xdr:rowOff>63500</xdr:rowOff>
    </xdr:from>
    <xdr:to>
      <xdr:col>23</xdr:col>
      <xdr:colOff>165100</xdr:colOff>
      <xdr:row>47</xdr:row>
      <xdr:rowOff>44062</xdr:rowOff>
    </xdr:to>
    <xdr:cxnSp macro="">
      <xdr:nvCxnSpPr>
        <xdr:cNvPr id="359" name="2P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CxnSpPr/>
      </xdr:nvCxnSpPr>
      <xdr:spPr>
        <a:xfrm flipH="1">
          <a:off x="5847681" y="9410700"/>
          <a:ext cx="159419" cy="1837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81882</xdr:colOff>
      <xdr:row>46</xdr:row>
      <xdr:rowOff>63500</xdr:rowOff>
    </xdr:from>
    <xdr:to>
      <xdr:col>24</xdr:col>
      <xdr:colOff>0</xdr:colOff>
      <xdr:row>47</xdr:row>
      <xdr:rowOff>56762</xdr:rowOff>
    </xdr:to>
    <xdr:cxnSp macro="">
      <xdr:nvCxnSpPr>
        <xdr:cNvPr id="360" name="2P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CxnSpPr/>
      </xdr:nvCxnSpPr>
      <xdr:spPr>
        <a:xfrm flipH="1">
          <a:off x="5923882" y="9410700"/>
          <a:ext cx="172118" cy="1964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172802</xdr:colOff>
      <xdr:row>46</xdr:row>
      <xdr:rowOff>73314</xdr:rowOff>
    </xdr:from>
    <xdr:to>
      <xdr:col>24</xdr:col>
      <xdr:colOff>90920</xdr:colOff>
      <xdr:row>47</xdr:row>
      <xdr:rowOff>66576</xdr:rowOff>
    </xdr:to>
    <xdr:cxnSp macro="">
      <xdr:nvCxnSpPr>
        <xdr:cNvPr id="361" name="2P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H="1">
          <a:off x="6014802" y="9420514"/>
          <a:ext cx="172118" cy="1964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219430</xdr:colOff>
      <xdr:row>38</xdr:row>
      <xdr:rowOff>199809</xdr:rowOff>
    </xdr:from>
    <xdr:to>
      <xdr:col>21</xdr:col>
      <xdr:colOff>122073</xdr:colOff>
      <xdr:row>39</xdr:row>
      <xdr:rowOff>180372</xdr:rowOff>
    </xdr:to>
    <xdr:cxnSp macro="">
      <xdr:nvCxnSpPr>
        <xdr:cNvPr id="362" name="2P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H="1">
          <a:off x="5299430" y="7921409"/>
          <a:ext cx="156643" cy="18376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38855</xdr:colOff>
      <xdr:row>38</xdr:row>
      <xdr:rowOff>199809</xdr:rowOff>
    </xdr:from>
    <xdr:to>
      <xdr:col>22</xdr:col>
      <xdr:colOff>47893</xdr:colOff>
      <xdr:row>40</xdr:row>
      <xdr:rowOff>1629</xdr:rowOff>
    </xdr:to>
    <xdr:grpSp>
      <xdr:nvGrpSpPr>
        <xdr:cNvPr id="396" name="3PGate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GrpSpPr/>
      </xdr:nvGrpSpPr>
      <xdr:grpSpPr>
        <a:xfrm>
          <a:off x="5324801" y="8025755"/>
          <a:ext cx="260750" cy="213712"/>
          <a:chOff x="5324801" y="8025755"/>
          <a:chExt cx="260750" cy="213712"/>
        </a:xfrm>
      </xdr:grpSpPr>
      <xdr:cxnSp macro="">
        <xdr:nvCxnSpPr>
          <xdr:cNvPr id="363" name="2P">
            <a:extLst>
              <a:ext uri="{FF2B5EF4-FFF2-40B4-BE49-F238E27FC236}">
                <a16:creationId xmlns:a16="http://schemas.microsoft.com/office/drawing/2014/main" id="{00000000-0008-0000-0200-00006B010000}"/>
              </a:ext>
            </a:extLst>
          </xdr:cNvPr>
          <xdr:cNvCxnSpPr/>
        </xdr:nvCxnSpPr>
        <xdr:spPr>
          <a:xfrm flipH="1">
            <a:off x="5324801" y="8025755"/>
            <a:ext cx="174894" cy="199209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4" name="2P">
            <a:extLst>
              <a:ext uri="{FF2B5EF4-FFF2-40B4-BE49-F238E27FC236}">
                <a16:creationId xmlns:a16="http://schemas.microsoft.com/office/drawing/2014/main" id="{00000000-0008-0000-0200-00006C010000}"/>
              </a:ext>
            </a:extLst>
          </xdr:cNvPr>
          <xdr:cNvCxnSpPr/>
        </xdr:nvCxnSpPr>
        <xdr:spPr>
          <a:xfrm flipH="1">
            <a:off x="5415721" y="8040259"/>
            <a:ext cx="169830" cy="199208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236387</xdr:colOff>
      <xdr:row>36</xdr:row>
      <xdr:rowOff>21783</xdr:rowOff>
    </xdr:from>
    <xdr:to>
      <xdr:col>42</xdr:col>
      <xdr:colOff>246225</xdr:colOff>
      <xdr:row>36</xdr:row>
      <xdr:rowOff>21783</xdr:rowOff>
    </xdr:to>
    <xdr:cxnSp macro="">
      <xdr:nvCxnSpPr>
        <xdr:cNvPr id="365" name="Straight Connector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CxnSpPr/>
      </xdr:nvCxnSpPr>
      <xdr:spPr>
        <a:xfrm flipH="1">
          <a:off x="4554387" y="7336983"/>
          <a:ext cx="6359838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204109</xdr:colOff>
      <xdr:row>35</xdr:row>
      <xdr:rowOff>60713</xdr:rowOff>
    </xdr:from>
    <xdr:to>
      <xdr:col>44</xdr:col>
      <xdr:colOff>32398</xdr:colOff>
      <xdr:row>36</xdr:row>
      <xdr:rowOff>27288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200-00006E010000}"/>
            </a:ext>
          </a:extLst>
        </xdr:cNvPr>
        <xdr:cNvGrpSpPr/>
      </xdr:nvGrpSpPr>
      <xdr:grpSpPr>
        <a:xfrm>
          <a:off x="10776001" y="7268821"/>
          <a:ext cx="331712" cy="172521"/>
          <a:chOff x="10817680" y="7023878"/>
          <a:chExt cx="333698" cy="170683"/>
        </a:xfrm>
      </xdr:grpSpPr>
      <xdr:cxnSp macro="">
        <xdr:nvCxnSpPr>
          <xdr:cNvPr id="367" name="Straight Connector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CxnSpPr/>
        </xdr:nvCxnSpPr>
        <xdr:spPr>
          <a:xfrm flipH="1">
            <a:off x="10820918" y="7187925"/>
            <a:ext cx="330460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8" name="Straight Connector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CxnSpPr/>
        </xdr:nvCxnSpPr>
        <xdr:spPr>
          <a:xfrm flipV="1">
            <a:off x="11149906" y="7027117"/>
            <a:ext cx="0" cy="158605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9" name="Straight Connector 368">
            <a:extLst>
              <a:ext uri="{FF2B5EF4-FFF2-40B4-BE49-F238E27FC236}">
                <a16:creationId xmlns:a16="http://schemas.microsoft.com/office/drawing/2014/main" id="{00000000-0008-0000-0200-000071010000}"/>
              </a:ext>
            </a:extLst>
          </xdr:cNvPr>
          <xdr:cNvCxnSpPr/>
        </xdr:nvCxnSpPr>
        <xdr:spPr>
          <a:xfrm flipV="1">
            <a:off x="10818999" y="7023878"/>
            <a:ext cx="0" cy="170683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70" name="Straight Connector 369">
            <a:extLst>
              <a:ext uri="{FF2B5EF4-FFF2-40B4-BE49-F238E27FC236}">
                <a16:creationId xmlns:a16="http://schemas.microsoft.com/office/drawing/2014/main" id="{00000000-0008-0000-0200-000072010000}"/>
              </a:ext>
            </a:extLst>
          </xdr:cNvPr>
          <xdr:cNvCxnSpPr/>
        </xdr:nvCxnSpPr>
        <xdr:spPr>
          <a:xfrm flipH="1">
            <a:off x="10817680" y="7025788"/>
            <a:ext cx="327218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40</xdr:col>
      <xdr:colOff>126475</xdr:colOff>
      <xdr:row>34</xdr:row>
      <xdr:rowOff>154277</xdr:rowOff>
    </xdr:from>
    <xdr:to>
      <xdr:col>43</xdr:col>
      <xdr:colOff>128243</xdr:colOff>
      <xdr:row>36</xdr:row>
      <xdr:rowOff>120224</xdr:rowOff>
    </xdr:to>
    <xdr:sp macro="" textlink="">
      <xdr:nvSpPr>
        <xdr:cNvPr id="371" name="TboxL2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10286475" y="7063077"/>
          <a:ext cx="763768" cy="3723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PV</a:t>
          </a:r>
          <a:r>
            <a:rPr lang="en-GB" sz="800" baseline="0"/>
            <a:t> CT</a:t>
          </a:r>
          <a:endParaRPr lang="en-GB" sz="800"/>
        </a:p>
      </xdr:txBody>
    </xdr:sp>
    <xdr:clientData/>
  </xdr:twoCellAnchor>
  <xdr:twoCellAnchor>
    <xdr:from>
      <xdr:col>25</xdr:col>
      <xdr:colOff>75259</xdr:colOff>
      <xdr:row>14</xdr:row>
      <xdr:rowOff>105834</xdr:rowOff>
    </xdr:from>
    <xdr:to>
      <xdr:col>37</xdr:col>
      <xdr:colOff>117592</xdr:colOff>
      <xdr:row>34</xdr:row>
      <xdr:rowOff>188149</xdr:rowOff>
    </xdr:to>
    <xdr:grpSp>
      <xdr:nvGrpSpPr>
        <xdr:cNvPr id="372" name="ExistA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GrpSpPr/>
      </xdr:nvGrpSpPr>
      <xdr:grpSpPr>
        <a:xfrm>
          <a:off x="6368052" y="2989077"/>
          <a:ext cx="3062873" cy="4201234"/>
          <a:chOff x="2828940" y="8100298"/>
          <a:chExt cx="3087854" cy="4317755"/>
        </a:xfrm>
      </xdr:grpSpPr>
      <xdr:grpSp>
        <xdr:nvGrpSpPr>
          <xdr:cNvPr id="373" name="Group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GrpSpPr/>
        </xdr:nvGrpSpPr>
        <xdr:grpSpPr>
          <a:xfrm>
            <a:off x="2870479" y="10960100"/>
            <a:ext cx="2816009" cy="1269276"/>
            <a:chOff x="4867607" y="4975411"/>
            <a:chExt cx="2753654" cy="1316399"/>
          </a:xfrm>
        </xdr:grpSpPr>
        <xdr:grpSp>
          <xdr:nvGrpSpPr>
            <xdr:cNvPr id="382" name="Group 381">
              <a:extLst>
                <a:ext uri="{FF2B5EF4-FFF2-40B4-BE49-F238E27FC236}">
                  <a16:creationId xmlns:a16="http://schemas.microsoft.com/office/drawing/2014/main" id="{00000000-0008-0000-0200-00007E01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390" name="Group 389">
                <a:extLst>
                  <a:ext uri="{FF2B5EF4-FFF2-40B4-BE49-F238E27FC236}">
                    <a16:creationId xmlns:a16="http://schemas.microsoft.com/office/drawing/2014/main" id="{00000000-0008-0000-0200-00008601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392" name="Shape 5">
                  <a:extLst>
                    <a:ext uri="{FF2B5EF4-FFF2-40B4-BE49-F238E27FC236}">
                      <a16:creationId xmlns:a16="http://schemas.microsoft.com/office/drawing/2014/main" id="{00000000-0008-0000-0200-00008801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93" name="Shape 6">
                  <a:extLst>
                    <a:ext uri="{FF2B5EF4-FFF2-40B4-BE49-F238E27FC236}">
                      <a16:creationId xmlns:a16="http://schemas.microsoft.com/office/drawing/2014/main" id="{00000000-0008-0000-0200-00008901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94" name="Shape 7">
                  <a:extLst>
                    <a:ext uri="{FF2B5EF4-FFF2-40B4-BE49-F238E27FC236}">
                      <a16:creationId xmlns:a16="http://schemas.microsoft.com/office/drawing/2014/main" id="{00000000-0008-0000-0200-00008A01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95" name="Shape 8">
                  <a:extLst>
                    <a:ext uri="{FF2B5EF4-FFF2-40B4-BE49-F238E27FC236}">
                      <a16:creationId xmlns:a16="http://schemas.microsoft.com/office/drawing/2014/main" id="{00000000-0008-0000-0200-00008B01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391" name="Rectangle 390">
                <a:extLst>
                  <a:ext uri="{FF2B5EF4-FFF2-40B4-BE49-F238E27FC236}">
                    <a16:creationId xmlns:a16="http://schemas.microsoft.com/office/drawing/2014/main" id="{00000000-0008-0000-0200-00008701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383" name="Group 382">
              <a:extLst>
                <a:ext uri="{FF2B5EF4-FFF2-40B4-BE49-F238E27FC236}">
                  <a16:creationId xmlns:a16="http://schemas.microsoft.com/office/drawing/2014/main" id="{00000000-0008-0000-0200-00007F010000}"/>
                </a:ext>
              </a:extLst>
            </xdr:cNvPr>
            <xdr:cNvGrpSpPr/>
          </xdr:nvGrpSpPr>
          <xdr:grpSpPr>
            <a:xfrm>
              <a:off x="4867607" y="5492101"/>
              <a:ext cx="1990393" cy="564535"/>
              <a:chOff x="6401079" y="6917765"/>
              <a:chExt cx="1984619" cy="545353"/>
            </a:xfrm>
          </xdr:grpSpPr>
          <xdr:sp macro="" textlink="">
            <xdr:nvSpPr>
              <xdr:cNvPr id="384" name="Shape 27">
                <a:extLst>
                  <a:ext uri="{FF2B5EF4-FFF2-40B4-BE49-F238E27FC236}">
                    <a16:creationId xmlns:a16="http://schemas.microsoft.com/office/drawing/2014/main" id="{00000000-0008-0000-0200-00008001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85" name="Shape 27">
                <a:extLst>
                  <a:ext uri="{FF2B5EF4-FFF2-40B4-BE49-F238E27FC236}">
                    <a16:creationId xmlns:a16="http://schemas.microsoft.com/office/drawing/2014/main" id="{00000000-0008-0000-0200-00008101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86" name="Shape 26">
                <a:extLst>
                  <a:ext uri="{FF2B5EF4-FFF2-40B4-BE49-F238E27FC236}">
                    <a16:creationId xmlns:a16="http://schemas.microsoft.com/office/drawing/2014/main" id="{00000000-0008-0000-0200-00008201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387" name="Straight Connector 386">
                <a:extLst>
                  <a:ext uri="{FF2B5EF4-FFF2-40B4-BE49-F238E27FC236}">
                    <a16:creationId xmlns:a16="http://schemas.microsoft.com/office/drawing/2014/main" id="{00000000-0008-0000-0200-000083010000}"/>
                  </a:ext>
                </a:extLst>
              </xdr:cNvPr>
              <xdr:cNvCxnSpPr/>
            </xdr:nvCxnSpPr>
            <xdr:spPr>
              <a:xfrm flipH="1">
                <a:off x="6401079" y="7270910"/>
                <a:ext cx="7183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88" name="Straight Connector 387">
                <a:extLst>
                  <a:ext uri="{FF2B5EF4-FFF2-40B4-BE49-F238E27FC236}">
                    <a16:creationId xmlns:a16="http://schemas.microsoft.com/office/drawing/2014/main" id="{00000000-0008-0000-0200-000084010000}"/>
                  </a:ext>
                </a:extLst>
              </xdr:cNvPr>
              <xdr:cNvCxnSpPr/>
            </xdr:nvCxnSpPr>
            <xdr:spPr>
              <a:xfrm flipH="1">
                <a:off x="7625907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389" name="Rectangle 388">
                <a:extLst>
                  <a:ext uri="{FF2B5EF4-FFF2-40B4-BE49-F238E27FC236}">
                    <a16:creationId xmlns:a16="http://schemas.microsoft.com/office/drawing/2014/main" id="{00000000-0008-0000-0200-00008501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374" name="Group 373">
            <a:extLst>
              <a:ext uri="{FF2B5EF4-FFF2-40B4-BE49-F238E27FC236}">
                <a16:creationId xmlns:a16="http://schemas.microsoft.com/office/drawing/2014/main" id="{00000000-0008-0000-0200-000076010000}"/>
              </a:ext>
            </a:extLst>
          </xdr:cNvPr>
          <xdr:cNvGrpSpPr/>
        </xdr:nvGrpSpPr>
        <xdr:grpSpPr>
          <a:xfrm>
            <a:off x="2828940" y="8711961"/>
            <a:ext cx="269224" cy="3096381"/>
            <a:chOff x="4209075" y="8189559"/>
            <a:chExt cx="275787" cy="3076616"/>
          </a:xfrm>
        </xdr:grpSpPr>
        <xdr:grpSp>
          <xdr:nvGrpSpPr>
            <xdr:cNvPr id="377" name="Group 376">
              <a:extLst>
                <a:ext uri="{FF2B5EF4-FFF2-40B4-BE49-F238E27FC236}">
                  <a16:creationId xmlns:a16="http://schemas.microsoft.com/office/drawing/2014/main" id="{00000000-0008-0000-0200-000079010000}"/>
                </a:ext>
              </a:extLst>
            </xdr:cNvPr>
            <xdr:cNvGrpSpPr/>
          </xdr:nvGrpSpPr>
          <xdr:grpSpPr>
            <a:xfrm>
              <a:off x="4209075" y="8189559"/>
              <a:ext cx="275787" cy="318559"/>
              <a:chOff x="4209075" y="8189559"/>
              <a:chExt cx="275787" cy="318559"/>
            </a:xfrm>
          </xdr:grpSpPr>
          <xdr:sp macro="" textlink="">
            <xdr:nvSpPr>
              <xdr:cNvPr id="379" name="Shape 27">
                <a:extLst>
                  <a:ext uri="{FF2B5EF4-FFF2-40B4-BE49-F238E27FC236}">
                    <a16:creationId xmlns:a16="http://schemas.microsoft.com/office/drawing/2014/main" id="{00000000-0008-0000-0200-00007B010000}"/>
                  </a:ext>
                </a:extLst>
              </xdr:cNvPr>
              <xdr:cNvSpPr/>
            </xdr:nvSpPr>
            <xdr:spPr>
              <a:xfrm>
                <a:off x="4209075" y="818955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80" name="Shape 27">
                <a:extLst>
                  <a:ext uri="{FF2B5EF4-FFF2-40B4-BE49-F238E27FC236}">
                    <a16:creationId xmlns:a16="http://schemas.microsoft.com/office/drawing/2014/main" id="{00000000-0008-0000-0200-00007C010000}"/>
                  </a:ext>
                </a:extLst>
              </xdr:cNvPr>
              <xdr:cNvSpPr/>
            </xdr:nvSpPr>
            <xdr:spPr>
              <a:xfrm>
                <a:off x="4209920" y="8408431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81" name="Shape 26">
                <a:extLst>
                  <a:ext uri="{FF2B5EF4-FFF2-40B4-BE49-F238E27FC236}">
                    <a16:creationId xmlns:a16="http://schemas.microsoft.com/office/drawing/2014/main" id="{00000000-0008-0000-0200-00007D010000}"/>
                  </a:ext>
                </a:extLst>
              </xdr:cNvPr>
              <xdr:cNvSpPr/>
            </xdr:nvSpPr>
            <xdr:spPr>
              <a:xfrm flipH="1">
                <a:off x="4272163" y="8222080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378" name="Straight Connector 377">
              <a:extLst>
                <a:ext uri="{FF2B5EF4-FFF2-40B4-BE49-F238E27FC236}">
                  <a16:creationId xmlns:a16="http://schemas.microsoft.com/office/drawing/2014/main" id="{00000000-0008-0000-0200-00007A010000}"/>
                </a:ext>
              </a:extLst>
            </xdr:cNvPr>
            <xdr:cNvCxnSpPr/>
          </xdr:nvCxnSpPr>
          <xdr:spPr>
            <a:xfrm>
              <a:off x="4257709" y="8521439"/>
              <a:ext cx="0" cy="2744736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75" name="Straight Connector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CxnSpPr/>
        </xdr:nvCxnSpPr>
        <xdr:spPr>
          <a:xfrm>
            <a:off x="2870513" y="8100298"/>
            <a:ext cx="0" cy="60947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6" name="Dash">
            <a:extLst>
              <a:ext uri="{FF2B5EF4-FFF2-40B4-BE49-F238E27FC236}">
                <a16:creationId xmlns:a16="http://schemas.microsoft.com/office/drawing/2014/main" id="{00000000-0008-0000-0200-000078010000}"/>
              </a:ext>
            </a:extLst>
          </xdr:cNvPr>
          <xdr:cNvSpPr/>
        </xdr:nvSpPr>
        <xdr:spPr>
          <a:xfrm>
            <a:off x="3066644" y="10875109"/>
            <a:ext cx="2850150" cy="154294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33</xdr:col>
      <xdr:colOff>18417</xdr:colOff>
      <xdr:row>15</xdr:row>
      <xdr:rowOff>73900</xdr:rowOff>
    </xdr:from>
    <xdr:to>
      <xdr:col>34</xdr:col>
      <xdr:colOff>18173</xdr:colOff>
      <xdr:row>16</xdr:row>
      <xdr:rowOff>154086</xdr:rowOff>
    </xdr:to>
    <xdr:grpSp>
      <xdr:nvGrpSpPr>
        <xdr:cNvPr id="397" name="3PLoads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GrpSpPr/>
      </xdr:nvGrpSpPr>
      <xdr:grpSpPr>
        <a:xfrm>
          <a:off x="8324903" y="3163089"/>
          <a:ext cx="251468" cy="286132"/>
          <a:chOff x="7844688" y="3097141"/>
          <a:chExt cx="256533" cy="281443"/>
        </a:xfrm>
      </xdr:grpSpPr>
      <xdr:cxnSp macro="">
        <xdr:nvCxnSpPr>
          <xdr:cNvPr id="398" name="Straight Connector 397">
            <a:extLst>
              <a:ext uri="{FF2B5EF4-FFF2-40B4-BE49-F238E27FC236}">
                <a16:creationId xmlns:a16="http://schemas.microsoft.com/office/drawing/2014/main" id="{00000000-0008-0000-0200-00008E010000}"/>
              </a:ext>
            </a:extLst>
          </xdr:cNvPr>
          <xdr:cNvCxnSpPr/>
        </xdr:nvCxnSpPr>
        <xdr:spPr>
          <a:xfrm flipH="1">
            <a:off x="7844688" y="3097141"/>
            <a:ext cx="256533" cy="1813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9" name="Straight Connector 398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CxnSpPr/>
        </xdr:nvCxnSpPr>
        <xdr:spPr>
          <a:xfrm flipH="1">
            <a:off x="7844688" y="3197231"/>
            <a:ext cx="256533" cy="1813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33</xdr:col>
      <xdr:colOff>13657</xdr:colOff>
      <xdr:row>14</xdr:row>
      <xdr:rowOff>172118</xdr:rowOff>
    </xdr:from>
    <xdr:to>
      <xdr:col>34</xdr:col>
      <xdr:colOff>13654</xdr:colOff>
      <xdr:row>15</xdr:row>
      <xdr:rowOff>152888</xdr:rowOff>
    </xdr:to>
    <xdr:cxnSp macro="">
      <xdr:nvCxnSpPr>
        <xdr:cNvPr id="400" name="Straight Connector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CxnSpPr/>
      </xdr:nvCxnSpPr>
      <xdr:spPr>
        <a:xfrm flipH="1">
          <a:off x="8292176" y="3025698"/>
          <a:ext cx="250861" cy="184597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4000" y="221606"/>
          <a:ext cx="207173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9412" y="14140329"/>
          <a:ext cx="2942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6</xdr:col>
      <xdr:colOff>152400</xdr:colOff>
      <xdr:row>21</xdr:row>
      <xdr:rowOff>98891</xdr:rowOff>
    </xdr:from>
    <xdr:to>
      <xdr:col>21</xdr:col>
      <xdr:colOff>67733</xdr:colOff>
      <xdr:row>21</xdr:row>
      <xdr:rowOff>98891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1676400" y="4366091"/>
          <a:ext cx="372533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251970</xdr:colOff>
      <xdr:row>21</xdr:row>
      <xdr:rowOff>97225</xdr:rowOff>
    </xdr:from>
    <xdr:to>
      <xdr:col>12</xdr:col>
      <xdr:colOff>251970</xdr:colOff>
      <xdr:row>24</xdr:row>
      <xdr:rowOff>182297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 flipV="1">
          <a:off x="3299970" y="4364425"/>
          <a:ext cx="0" cy="69467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3036347" y="477520"/>
          <a:ext cx="603322" cy="3822689"/>
          <a:chOff x="3039217" y="322189"/>
          <a:chExt cx="594111" cy="3834356"/>
        </a:xfrm>
      </xdr:grpSpPr>
      <xdr:sp macro="" textlink="">
        <xdr:nvSpPr>
          <xdr:cNvPr id="7" name="Shape 27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9" name="Shape 27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" name="Shape 26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12" name="Shape 27">
                <a:extLst>
                  <a:ext uri="{FF2B5EF4-FFF2-40B4-BE49-F238E27FC236}">
                    <a16:creationId xmlns:a16="http://schemas.microsoft.com/office/drawing/2014/main" id="{00000000-0008-0000-0300-00000C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00000000-0008-0000-0300-00000D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14" name="Oval 13">
                  <a:extLst>
                    <a:ext uri="{FF2B5EF4-FFF2-40B4-BE49-F238E27FC236}">
                      <a16:creationId xmlns:a16="http://schemas.microsoft.com/office/drawing/2014/main" id="{00000000-0008-0000-0300-00000E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15" name="Group 14">
                  <a:extLst>
                    <a:ext uri="{FF2B5EF4-FFF2-40B4-BE49-F238E27FC236}">
                      <a16:creationId xmlns:a16="http://schemas.microsoft.com/office/drawing/2014/main" id="{00000000-0008-0000-0300-00000F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16" name="Shape 22">
                    <a:extLst>
                      <a:ext uri="{FF2B5EF4-FFF2-40B4-BE49-F238E27FC236}">
                        <a16:creationId xmlns:a16="http://schemas.microsoft.com/office/drawing/2014/main" id="{00000000-0008-0000-0300-000010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:ma14="http://schemas.microsoft.com/office/mac/drawingml/2011/main" xmlns="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17" name="Group 16">
                    <a:extLst>
                      <a:ext uri="{FF2B5EF4-FFF2-40B4-BE49-F238E27FC236}">
                        <a16:creationId xmlns:a16="http://schemas.microsoft.com/office/drawing/2014/main" id="{00000000-0008-0000-0300-000011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18" name="Shape 18">
                      <a:extLst>
                        <a:ext uri="{FF2B5EF4-FFF2-40B4-BE49-F238E27FC236}">
                          <a16:creationId xmlns:a16="http://schemas.microsoft.com/office/drawing/2014/main" id="{00000000-0008-0000-0300-000012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9" name="Shape 18">
                      <a:extLst>
                        <a:ext uri="{FF2B5EF4-FFF2-40B4-BE49-F238E27FC236}">
                          <a16:creationId xmlns:a16="http://schemas.microsoft.com/office/drawing/2014/main" id="{00000000-0008-0000-0300-000013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20" name="Straight Connector 19">
                      <a:extLst>
                        <a:ext uri="{FF2B5EF4-FFF2-40B4-BE49-F238E27FC236}">
                          <a16:creationId xmlns:a16="http://schemas.microsoft.com/office/drawing/2014/main" id="{00000000-0008-0000-0300-000014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1" name="Straight Connector 20">
                      <a:extLst>
                        <a:ext uri="{FF2B5EF4-FFF2-40B4-BE49-F238E27FC236}">
                          <a16:creationId xmlns:a16="http://schemas.microsoft.com/office/drawing/2014/main" id="{00000000-0008-0000-0300-000015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" name="Straight Connector 21">
                      <a:extLst>
                        <a:ext uri="{FF2B5EF4-FFF2-40B4-BE49-F238E27FC236}">
                          <a16:creationId xmlns:a16="http://schemas.microsoft.com/office/drawing/2014/main" id="{00000000-0008-0000-0300-000016000000}"/>
                        </a:ext>
                      </a:extLst>
                    </xdr:cNvPr>
                    <xdr:cNvCxnSpPr>
                      <a:endCxn id="19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3" name="Rectangle 22">
                      <a:extLst>
                        <a:ext uri="{FF2B5EF4-FFF2-40B4-BE49-F238E27FC236}">
                          <a16:creationId xmlns:a16="http://schemas.microsoft.com/office/drawing/2014/main" id="{00000000-0008-0000-0300-000017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24" name="3PR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075429" y="477520"/>
          <a:ext cx="603322" cy="3822688"/>
          <a:chOff x="10975311" y="1118934"/>
          <a:chExt cx="590576" cy="4001288"/>
        </a:xfrm>
      </xdr:grpSpPr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33" name="Oval 32">
              <a:extLst>
                <a:ext uri="{FF2B5EF4-FFF2-40B4-BE49-F238E27FC236}">
                  <a16:creationId xmlns:a16="http://schemas.microsoft.com/office/drawing/2014/main" id="{00000000-0008-0000-0300-000021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34" name="Shape 27">
              <a:extLst>
                <a:ext uri="{FF2B5EF4-FFF2-40B4-BE49-F238E27FC236}">
                  <a16:creationId xmlns:a16="http://schemas.microsoft.com/office/drawing/2014/main" id="{00000000-0008-0000-0300-000022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5" name="Shape 22">
              <a:extLst>
                <a:ext uri="{FF2B5EF4-FFF2-40B4-BE49-F238E27FC236}">
                  <a16:creationId xmlns:a16="http://schemas.microsoft.com/office/drawing/2014/main" id="{00000000-0008-0000-0300-000023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:ma14="http://schemas.microsoft.com/office/mac/drawingml/2011/main" xmlns="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36" name="Shape 27">
              <a:extLst>
                <a:ext uri="{FF2B5EF4-FFF2-40B4-BE49-F238E27FC236}">
                  <a16:creationId xmlns:a16="http://schemas.microsoft.com/office/drawing/2014/main" id="{00000000-0008-0000-0300-000024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7" name="Shape 27">
              <a:extLst>
                <a:ext uri="{FF2B5EF4-FFF2-40B4-BE49-F238E27FC236}">
                  <a16:creationId xmlns:a16="http://schemas.microsoft.com/office/drawing/2014/main" id="{00000000-0008-0000-0300-000025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8" name="Shape 26">
              <a:extLst>
                <a:ext uri="{FF2B5EF4-FFF2-40B4-BE49-F238E27FC236}">
                  <a16:creationId xmlns:a16="http://schemas.microsoft.com/office/drawing/2014/main" id="{00000000-0008-0000-0300-000026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7" name="Shape 18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8" name="Shape 18">
              <a:extLst>
                <a:ext uri="{FF2B5EF4-FFF2-40B4-BE49-F238E27FC236}">
                  <a16:creationId xmlns:a16="http://schemas.microsoft.com/office/drawing/2014/main" id="{00000000-0008-0000-0300-00001C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9" name="Straight Connector 28">
              <a:extLst>
                <a:ext uri="{FF2B5EF4-FFF2-40B4-BE49-F238E27FC236}">
                  <a16:creationId xmlns:a16="http://schemas.microsoft.com/office/drawing/2014/main" id="{00000000-0008-0000-0300-00001D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" name="Straight Connector 29">
              <a:extLst>
                <a:ext uri="{FF2B5EF4-FFF2-40B4-BE49-F238E27FC236}">
                  <a16:creationId xmlns:a16="http://schemas.microsoft.com/office/drawing/2014/main" id="{00000000-0008-0000-0300-00001E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" name="Straight Connector 30">
              <a:extLst>
                <a:ext uri="{FF2B5EF4-FFF2-40B4-BE49-F238E27FC236}">
                  <a16:creationId xmlns:a16="http://schemas.microsoft.com/office/drawing/2014/main" id="{00000000-0008-0000-0300-00001F000000}"/>
                </a:ext>
              </a:extLst>
            </xdr:cNvPr>
            <xdr:cNvCxnSpPr>
              <a:endCxn id="28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300-000020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7</xdr:col>
      <xdr:colOff>219314</xdr:colOff>
      <xdr:row>2</xdr:row>
      <xdr:rowOff>74390</xdr:rowOff>
    </xdr:from>
    <xdr:to>
      <xdr:col>10</xdr:col>
      <xdr:colOff>58684</xdr:colOff>
      <xdr:row>21</xdr:row>
      <xdr:rowOff>42683</xdr:rowOff>
    </xdr:to>
    <xdr:grpSp>
      <xdr:nvGrpSpPr>
        <xdr:cNvPr id="39" name="3PL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pSpPr/>
      </xdr:nvGrpSpPr>
      <xdr:grpSpPr>
        <a:xfrm>
          <a:off x="1997314" y="480790"/>
          <a:ext cx="601370" cy="3829093"/>
          <a:chOff x="2012467" y="325459"/>
          <a:chExt cx="592158" cy="3840760"/>
        </a:xfrm>
      </xdr:grpSpPr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0300-000028000000}"/>
              </a:ext>
            </a:extLst>
          </xdr:cNvPr>
          <xdr:cNvGrpSpPr/>
        </xdr:nvGrpSpPr>
        <xdr:grpSpPr>
          <a:xfrm>
            <a:off x="2012467" y="325459"/>
            <a:ext cx="592158" cy="3836226"/>
            <a:chOff x="10975311" y="1118934"/>
            <a:chExt cx="590576" cy="4000451"/>
          </a:xfrm>
        </xdr:grpSpPr>
        <xdr:grpSp>
          <xdr:nvGrpSpPr>
            <xdr:cNvPr id="42" name="Group 41">
              <a:extLst>
                <a:ext uri="{FF2B5EF4-FFF2-40B4-BE49-F238E27FC236}">
                  <a16:creationId xmlns:a16="http://schemas.microsoft.com/office/drawing/2014/main" id="{00000000-0008-0000-0300-00002A000000}"/>
                </a:ext>
              </a:extLst>
            </xdr:cNvPr>
            <xdr:cNvGrpSpPr/>
          </xdr:nvGrpSpPr>
          <xdr:grpSpPr>
            <a:xfrm>
              <a:off x="10975311" y="1118934"/>
              <a:ext cx="590576" cy="3157044"/>
              <a:chOff x="10975311" y="1118934"/>
              <a:chExt cx="590576" cy="3157044"/>
            </a:xfrm>
          </xdr:grpSpPr>
          <xdr:sp macro="" textlink="">
            <xdr:nvSpPr>
              <xdr:cNvPr id="49" name="Oval 48">
                <a:extLst>
                  <a:ext uri="{FF2B5EF4-FFF2-40B4-BE49-F238E27FC236}">
                    <a16:creationId xmlns:a16="http://schemas.microsoft.com/office/drawing/2014/main" id="{00000000-0008-0000-0300-000031000000}"/>
                  </a:ext>
                </a:extLst>
              </xdr:cNvPr>
              <xdr:cNvSpPr/>
            </xdr:nvSpPr>
            <xdr:spPr>
              <a:xfrm>
                <a:off x="10975311" y="2769957"/>
                <a:ext cx="590576" cy="590576"/>
              </a:xfrm>
              <a:prstGeom prst="ellipse">
                <a:avLst/>
              </a:prstGeom>
              <a:solidFill>
                <a:schemeClr val="bg1"/>
              </a:solidFill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50" name="Shape 27">
                <a:extLst>
                  <a:ext uri="{FF2B5EF4-FFF2-40B4-BE49-F238E27FC236}">
                    <a16:creationId xmlns:a16="http://schemas.microsoft.com/office/drawing/2014/main" id="{00000000-0008-0000-0300-000032000000}"/>
                  </a:ext>
                </a:extLst>
              </xdr:cNvPr>
              <xdr:cNvSpPr/>
            </xdr:nvSpPr>
            <xdr:spPr>
              <a:xfrm>
                <a:off x="11222694" y="111893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1" name="Shape 22">
                <a:extLst>
                  <a:ext uri="{FF2B5EF4-FFF2-40B4-BE49-F238E27FC236}">
                    <a16:creationId xmlns:a16="http://schemas.microsoft.com/office/drawing/2014/main" id="{00000000-0008-0000-0300-000033000000}"/>
                  </a:ext>
                </a:extLst>
              </xdr:cNvPr>
              <xdr:cNvSpPr/>
            </xdr:nvSpPr>
            <xdr:spPr>
              <a:xfrm>
                <a:off x="11173983" y="2958107"/>
                <a:ext cx="229894" cy="214279"/>
              </a:xfrm>
              <a:prstGeom prst="rect">
                <a:avLst/>
              </a:prstGeom>
              <a:noFill/>
              <a:ln w="12700" cap="flat">
                <a:noFill/>
                <a:miter lim="400000"/>
              </a:ln>
              <a:effectLst/>
              <a:extLst>
                <a:ext uri="{C572A759-6A51-4108-AA02-DFA0A04FC94B}">
                  <ma14:wrappingTextBoxFlag xmlns:ma14="http://schemas.microsoft.com/office/mac/drawingml/2011/main" xmlns="" val="1"/>
                </a:ext>
              </a:extLst>
            </xdr:spPr>
            <xdr:txBody>
              <a:bodyPr wrap="square" lIns="50800" tIns="50800" rIns="50800" bIns="50800" numCol="1" anchor="ctr">
                <a:noAutofit/>
              </a:bodyPr>
              <a:lstStyle/>
              <a:p>
                <a:pPr marL="0" marR="0" lvl="0" indent="0" algn="ctr" defTabSz="45720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r>
                  <a:rPr sz="1400" b="1" i="0" u="none" strike="noStrike" cap="none" spc="0" baseline="0">
                    <a:ln>
                      <a:noFill/>
                    </a:ln>
                    <a:solidFill>
                      <a:srgbClr val="000000"/>
                    </a:solidFill>
                    <a:uFillTx/>
                    <a:latin typeface="+mn-lt"/>
                    <a:ea typeface="+mn-ea"/>
                    <a:cs typeface="+mn-cs"/>
                    <a:sym typeface="Helvetica"/>
                  </a:rPr>
                  <a:t>M</a:t>
                </a:r>
              </a:p>
            </xdr:txBody>
          </xdr:sp>
          <xdr:sp macro="" textlink="">
            <xdr:nvSpPr>
              <xdr:cNvPr id="52" name="Shape 27">
                <a:extLst>
                  <a:ext uri="{FF2B5EF4-FFF2-40B4-BE49-F238E27FC236}">
                    <a16:creationId xmlns:a16="http://schemas.microsoft.com/office/drawing/2014/main" id="{00000000-0008-0000-0300-000034000000}"/>
                  </a:ext>
                </a:extLst>
              </xdr:cNvPr>
              <xdr:cNvSpPr/>
            </xdr:nvSpPr>
            <xdr:spPr>
              <a:xfrm>
                <a:off x="11220477" y="377391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3" name="Shape 27">
                <a:extLst>
                  <a:ext uri="{FF2B5EF4-FFF2-40B4-BE49-F238E27FC236}">
                    <a16:creationId xmlns:a16="http://schemas.microsoft.com/office/drawing/2014/main" id="{00000000-0008-0000-0300-000035000000}"/>
                  </a:ext>
                </a:extLst>
              </xdr:cNvPr>
              <xdr:cNvSpPr/>
            </xdr:nvSpPr>
            <xdr:spPr>
              <a:xfrm>
                <a:off x="11221315" y="4171951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4" name="Shape 26">
                <a:extLst>
                  <a:ext uri="{FF2B5EF4-FFF2-40B4-BE49-F238E27FC236}">
                    <a16:creationId xmlns:a16="http://schemas.microsoft.com/office/drawing/2014/main" id="{00000000-0008-0000-0300-000036000000}"/>
                  </a:ext>
                </a:extLst>
              </xdr:cNvPr>
              <xdr:cNvSpPr/>
            </xdr:nvSpPr>
            <xdr:spPr>
              <a:xfrm flipH="1">
                <a:off x="11283191" y="3956253"/>
                <a:ext cx="230430" cy="21475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grpSp>
          <xdr:nvGrpSpPr>
            <xdr:cNvPr id="43" name="Group 42">
              <a:extLst>
                <a:ext uri="{FF2B5EF4-FFF2-40B4-BE49-F238E27FC236}">
                  <a16:creationId xmlns:a16="http://schemas.microsoft.com/office/drawing/2014/main" id="{00000000-0008-0000-0300-00002B000000}"/>
                </a:ext>
              </a:extLst>
            </xdr:cNvPr>
            <xdr:cNvGrpSpPr/>
          </xdr:nvGrpSpPr>
          <xdr:grpSpPr>
            <a:xfrm>
              <a:off x="11022345" y="1228189"/>
              <a:ext cx="502566" cy="3891196"/>
              <a:chOff x="11022345" y="1228189"/>
              <a:chExt cx="502566" cy="3891196"/>
            </a:xfrm>
          </xdr:grpSpPr>
          <xdr:sp macro="" textlink="">
            <xdr:nvSpPr>
              <xdr:cNvPr id="44" name="Shape 18">
                <a:extLst>
                  <a:ext uri="{FF2B5EF4-FFF2-40B4-BE49-F238E27FC236}">
                    <a16:creationId xmlns:a16="http://schemas.microsoft.com/office/drawing/2014/main" id="{00000000-0008-0000-0300-00002C000000}"/>
                  </a:ext>
                </a:extLst>
              </xdr:cNvPr>
              <xdr:cNvSpPr/>
            </xdr:nvSpPr>
            <xdr:spPr>
              <a:xfrm>
                <a:off x="11267984" y="4275144"/>
                <a:ext cx="0" cy="84424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  <a:tailEnd type="triangle" w="med" len="med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45" name="Straight Connector 44">
                <a:extLst>
                  <a:ext uri="{FF2B5EF4-FFF2-40B4-BE49-F238E27FC236}">
                    <a16:creationId xmlns:a16="http://schemas.microsoft.com/office/drawing/2014/main" id="{00000000-0008-0000-0300-00002D000000}"/>
                  </a:ext>
                </a:extLst>
              </xdr:cNvPr>
              <xdr:cNvCxnSpPr/>
            </xdr:nvCxnSpPr>
            <xdr:spPr>
              <a:xfrm>
                <a:off x="11267984" y="1228189"/>
                <a:ext cx="1" cy="154177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6" name="Straight Connector 45">
                <a:extLst>
                  <a:ext uri="{FF2B5EF4-FFF2-40B4-BE49-F238E27FC236}">
                    <a16:creationId xmlns:a16="http://schemas.microsoft.com/office/drawing/2014/main" id="{00000000-0008-0000-0300-00002E000000}"/>
                  </a:ext>
                </a:extLst>
              </xdr:cNvPr>
              <xdr:cNvCxnSpPr/>
            </xdr:nvCxnSpPr>
            <xdr:spPr>
              <a:xfrm>
                <a:off x="11268821" y="3361371"/>
                <a:ext cx="0" cy="417271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7" name="Straight Connector 46">
                <a:extLst>
                  <a:ext uri="{FF2B5EF4-FFF2-40B4-BE49-F238E27FC236}">
                    <a16:creationId xmlns:a16="http://schemas.microsoft.com/office/drawing/2014/main" id="{00000000-0008-0000-0300-00002F000000}"/>
                  </a:ext>
                </a:extLst>
              </xdr:cNvPr>
              <xdr:cNvCxnSpPr>
                <a:cxnSpLocks/>
              </xdr:cNvCxnSpPr>
            </xdr:nvCxnSpPr>
            <xdr:spPr>
              <a:xfrm>
                <a:off x="11267984" y="4688862"/>
                <a:ext cx="256927" cy="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8" name="Rectangle 47">
                <a:extLst>
                  <a:ext uri="{FF2B5EF4-FFF2-40B4-BE49-F238E27FC236}">
                    <a16:creationId xmlns:a16="http://schemas.microsoft.com/office/drawing/2014/main" id="{00000000-0008-0000-0300-000030000000}"/>
                  </a:ext>
                </a:extLst>
              </xdr:cNvPr>
              <xdr:cNvSpPr/>
            </xdr:nvSpPr>
            <xdr:spPr>
              <a:xfrm>
                <a:off x="11022345" y="1630618"/>
                <a:ext cx="501729" cy="820535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sp macro="" textlink="">
        <xdr:nvSpPr>
          <xdr:cNvPr id="41" name="Shape 18">
            <a:extLst>
              <a:ext uri="{FF2B5EF4-FFF2-40B4-BE49-F238E27FC236}">
                <a16:creationId xmlns:a16="http://schemas.microsoft.com/office/drawing/2014/main" id="{00000000-0008-0000-0300-000029000000}"/>
              </a:ext>
            </a:extLst>
          </xdr:cNvPr>
          <xdr:cNvSpPr/>
        </xdr:nvSpPr>
        <xdr:spPr>
          <a:xfrm>
            <a:off x="2567021" y="3752460"/>
            <a:ext cx="0" cy="413759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2</xdr:col>
      <xdr:colOff>8208</xdr:colOff>
      <xdr:row>3</xdr:row>
      <xdr:rowOff>162220</xdr:rowOff>
    </xdr:from>
    <xdr:to>
      <xdr:col>66</xdr:col>
      <xdr:colOff>244818</xdr:colOff>
      <xdr:row>27</xdr:row>
      <xdr:rowOff>15301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GrpSpPr/>
      </xdr:nvGrpSpPr>
      <xdr:grpSpPr>
        <a:xfrm>
          <a:off x="516208" y="771820"/>
          <a:ext cx="16492610" cy="4729881"/>
          <a:chOff x="497840" y="771821"/>
          <a:chExt cx="4684400" cy="4714624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300-000038000000}"/>
              </a:ext>
            </a:extLst>
          </xdr:cNvPr>
          <xdr:cNvSpPr/>
        </xdr:nvSpPr>
        <xdr:spPr>
          <a:xfrm>
            <a:off x="497840" y="771821"/>
            <a:ext cx="4684400" cy="471462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300-000039000000}"/>
              </a:ext>
            </a:extLst>
          </xdr:cNvPr>
          <xdr:cNvSpPr txBox="1"/>
        </xdr:nvSpPr>
        <xdr:spPr>
          <a:xfrm>
            <a:off x="536903" y="1145658"/>
            <a:ext cx="1574800" cy="2777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Service Fuses</a:t>
            </a:r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300-00003A000000}"/>
              </a:ext>
            </a:extLst>
          </xdr:cNvPr>
          <xdr:cNvSpPr txBox="1"/>
        </xdr:nvSpPr>
        <xdr:spPr>
          <a:xfrm>
            <a:off x="541851" y="1835505"/>
            <a:ext cx="2919045" cy="11630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Metering</a:t>
            </a:r>
            <a:r>
              <a:rPr lang="en-GB" sz="1200" baseline="0"/>
              <a:t> as</a:t>
            </a:r>
          </a:p>
          <a:p>
            <a:pPr algn="l"/>
            <a:r>
              <a:rPr lang="en-GB" sz="1200" baseline="0"/>
              <a:t>agreed with </a:t>
            </a:r>
          </a:p>
          <a:p>
            <a:pPr algn="l"/>
            <a:r>
              <a:rPr lang="en-GB" sz="1200" baseline="0"/>
              <a:t>the electricity</a:t>
            </a:r>
          </a:p>
          <a:p>
            <a:pPr algn="l"/>
            <a:r>
              <a:rPr lang="en-GB" sz="1200" baseline="0"/>
              <a:t>distributer</a:t>
            </a:r>
            <a:endParaRPr lang="en-GB" sz="1200"/>
          </a:p>
          <a:p>
            <a:pPr algn="l"/>
            <a:endParaRPr lang="en-GB" sz="1200"/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300-00003B000000}"/>
              </a:ext>
            </a:extLst>
          </xdr:cNvPr>
          <xdr:cNvSpPr txBox="1"/>
        </xdr:nvSpPr>
        <xdr:spPr>
          <a:xfrm>
            <a:off x="549438" y="2949042"/>
            <a:ext cx="1574800" cy="5847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Main Switch</a:t>
            </a:r>
          </a:p>
          <a:p>
            <a:pPr algn="l"/>
            <a:r>
              <a:rPr lang="en-GB" sz="1200"/>
              <a:t>Grid</a:t>
            </a:r>
            <a:r>
              <a:rPr lang="en-GB" sz="1200" baseline="0"/>
              <a:t> Supply</a:t>
            </a:r>
            <a:endParaRPr lang="en-GB" sz="1200"/>
          </a:p>
          <a:p>
            <a:pPr algn="l"/>
            <a:endParaRPr lang="en-GB" sz="1200"/>
          </a:p>
        </xdr:txBody>
      </xdr:sp>
    </xdr:grpSp>
    <xdr:clientData/>
  </xdr:twoCellAnchor>
  <xdr:twoCellAnchor>
    <xdr:from>
      <xdr:col>56</xdr:col>
      <xdr:colOff>156107</xdr:colOff>
      <xdr:row>19</xdr:row>
      <xdr:rowOff>34127</xdr:rowOff>
    </xdr:from>
    <xdr:to>
      <xdr:col>60</xdr:col>
      <xdr:colOff>159618</xdr:colOff>
      <xdr:row>23</xdr:row>
      <xdr:rowOff>139605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GrpSpPr/>
      </xdr:nvGrpSpPr>
      <xdr:grpSpPr>
        <a:xfrm>
          <a:off x="14380107" y="3894927"/>
          <a:ext cx="1019511" cy="918278"/>
          <a:chOff x="10475279" y="4413061"/>
          <a:chExt cx="1019511" cy="918310"/>
        </a:xfrm>
      </xdr:grpSpPr>
      <xdr:sp macro="" textlink="">
        <xdr:nvSpPr>
          <xdr:cNvPr id="61" name="Shape 18">
            <a:extLst>
              <a:ext uri="{FF2B5EF4-FFF2-40B4-BE49-F238E27FC236}">
                <a16:creationId xmlns:a16="http://schemas.microsoft.com/office/drawing/2014/main" id="{00000000-0008-0000-0300-00003D000000}"/>
              </a:ext>
            </a:extLst>
          </xdr:cNvPr>
          <xdr:cNvSpPr/>
        </xdr:nvSpPr>
        <xdr:spPr>
          <a:xfrm flipH="1">
            <a:off x="10475279" y="4413061"/>
            <a:ext cx="0" cy="555610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300-00003E000000}"/>
              </a:ext>
            </a:extLst>
          </xdr:cNvPr>
          <xdr:cNvSpPr txBox="1"/>
        </xdr:nvSpPr>
        <xdr:spPr>
          <a:xfrm>
            <a:off x="10566246" y="4657597"/>
            <a:ext cx="928544" cy="6737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Backup</a:t>
            </a:r>
          </a:p>
          <a:p>
            <a:r>
              <a:rPr lang="en-GB" sz="1100"/>
              <a:t>Loads</a:t>
            </a:r>
          </a:p>
          <a:p>
            <a:endParaRPr lang="en-GB" sz="1800"/>
          </a:p>
        </xdr:txBody>
      </xdr:sp>
    </xdr:grpSp>
    <xdr:clientData/>
  </xdr:twoCellAnchor>
  <xdr:twoCellAnchor>
    <xdr:from>
      <xdr:col>13</xdr:col>
      <xdr:colOff>18802</xdr:colOff>
      <xdr:row>62</xdr:row>
      <xdr:rowOff>161824</xdr:rowOff>
    </xdr:from>
    <xdr:to>
      <xdr:col>61</xdr:col>
      <xdr:colOff>96630</xdr:colOff>
      <xdr:row>62</xdr:row>
      <xdr:rowOff>161824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CxnSpPr/>
      </xdr:nvCxnSpPr>
      <xdr:spPr>
        <a:xfrm>
          <a:off x="3320802" y="12760224"/>
          <a:ext cx="12269828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221951</xdr:colOff>
      <xdr:row>42</xdr:row>
      <xdr:rowOff>173218</xdr:rowOff>
    </xdr:from>
    <xdr:to>
      <xdr:col>13</xdr:col>
      <xdr:colOff>65334</xdr:colOff>
      <xdr:row>43</xdr:row>
      <xdr:rowOff>78335</xdr:rowOff>
    </xdr:to>
    <xdr:sp macro="" textlink="">
      <xdr:nvSpPr>
        <xdr:cNvPr id="64" name="Shape 27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>
        <a:xfrm>
          <a:off x="3269951" y="8707618"/>
          <a:ext cx="97383" cy="108317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222738</xdr:colOff>
      <xdr:row>44</xdr:row>
      <xdr:rowOff>54733</xdr:rowOff>
    </xdr:from>
    <xdr:to>
      <xdr:col>13</xdr:col>
      <xdr:colOff>66121</xdr:colOff>
      <xdr:row>44</xdr:row>
      <xdr:rowOff>154475</xdr:rowOff>
    </xdr:to>
    <xdr:sp macro="" textlink="">
      <xdr:nvSpPr>
        <xdr:cNvPr id="65" name="Shape 27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/>
      </xdr:nvSpPr>
      <xdr:spPr>
        <a:xfrm>
          <a:off x="3270738" y="8995533"/>
          <a:ext cx="97383" cy="99742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17943</xdr:colOff>
      <xdr:row>31</xdr:row>
      <xdr:rowOff>132517</xdr:rowOff>
    </xdr:from>
    <xdr:to>
      <xdr:col>13</xdr:col>
      <xdr:colOff>17944</xdr:colOff>
      <xdr:row>43</xdr:row>
      <xdr:rowOff>19891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CxnSpPr>
          <a:endCxn id="64" idx="0"/>
        </xdr:cNvCxnSpPr>
      </xdr:nvCxnSpPr>
      <xdr:spPr>
        <a:xfrm>
          <a:off x="3319943" y="6431717"/>
          <a:ext cx="1" cy="23257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4008</xdr:colOff>
      <xdr:row>30</xdr:row>
      <xdr:rowOff>112543</xdr:rowOff>
    </xdr:from>
    <xdr:to>
      <xdr:col>18</xdr:col>
      <xdr:colOff>193429</xdr:colOff>
      <xdr:row>45</xdr:row>
      <xdr:rowOff>56598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/>
      </xdr:nvSpPr>
      <xdr:spPr>
        <a:xfrm>
          <a:off x="1782008" y="6208543"/>
          <a:ext cx="2983421" cy="2992055"/>
        </a:xfrm>
        <a:prstGeom prst="rect">
          <a:avLst/>
        </a:prstGeom>
        <a:noFill/>
        <a:ln w="1270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14248</xdr:colOff>
      <xdr:row>27</xdr:row>
      <xdr:rowOff>180487</xdr:rowOff>
    </xdr:from>
    <xdr:to>
      <xdr:col>13</xdr:col>
      <xdr:colOff>14248</xdr:colOff>
      <xdr:row>32</xdr:row>
      <xdr:rowOff>201264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CxnSpPr/>
      </xdr:nvCxnSpPr>
      <xdr:spPr>
        <a:xfrm>
          <a:off x="3316248" y="5666887"/>
          <a:ext cx="0" cy="103677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151437</xdr:colOff>
      <xdr:row>22</xdr:row>
      <xdr:rowOff>118462</xdr:rowOff>
    </xdr:from>
    <xdr:to>
      <xdr:col>13</xdr:col>
      <xdr:colOff>116077</xdr:colOff>
      <xdr:row>23</xdr:row>
      <xdr:rowOff>138639</xdr:rowOff>
    </xdr:to>
    <xdr:sp macro="" textlink="">
      <xdr:nvSpPr>
        <xdr:cNvPr id="69" name="Shape 26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 flipH="1">
          <a:off x="3199437" y="4588862"/>
          <a:ext cx="218640" cy="223377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135370</xdr:colOff>
      <xdr:row>43</xdr:row>
      <xdr:rowOff>157360</xdr:rowOff>
    </xdr:from>
    <xdr:to>
      <xdr:col>16</xdr:col>
      <xdr:colOff>211785</xdr:colOff>
      <xdr:row>43</xdr:row>
      <xdr:rowOff>157361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/>
      </xdr:nvCxnSpPr>
      <xdr:spPr>
        <a:xfrm flipV="1">
          <a:off x="3437370" y="8894960"/>
          <a:ext cx="838415" cy="1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245796</xdr:colOff>
      <xdr:row>33</xdr:row>
      <xdr:rowOff>151631</xdr:rowOff>
    </xdr:from>
    <xdr:to>
      <xdr:col>16</xdr:col>
      <xdr:colOff>160742</xdr:colOff>
      <xdr:row>35</xdr:row>
      <xdr:rowOff>202002</xdr:rowOff>
    </xdr:to>
    <xdr:sp macro="" textlink="">
      <xdr:nvSpPr>
        <xdr:cNvPr id="71" name="Shape 27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/>
      </xdr:nvSpPr>
      <xdr:spPr>
        <a:xfrm>
          <a:off x="3801796" y="6857231"/>
          <a:ext cx="422946" cy="456771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11</xdr:col>
      <xdr:colOff>202829</xdr:colOff>
      <xdr:row>33</xdr:row>
      <xdr:rowOff>58522</xdr:rowOff>
    </xdr:from>
    <xdr:to>
      <xdr:col>17</xdr:col>
      <xdr:colOff>230115</xdr:colOff>
      <xdr:row>37</xdr:row>
      <xdr:rowOff>69438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/>
      </xdr:nvSpPr>
      <xdr:spPr>
        <a:xfrm>
          <a:off x="2996829" y="6764122"/>
          <a:ext cx="1551286" cy="823716"/>
        </a:xfrm>
        <a:prstGeom prst="rect">
          <a:avLst/>
        </a:prstGeom>
        <a:noFill/>
        <a:ln w="635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225878</xdr:colOff>
      <xdr:row>37</xdr:row>
      <xdr:rowOff>68908</xdr:rowOff>
    </xdr:from>
    <xdr:to>
      <xdr:col>16</xdr:col>
      <xdr:colOff>225878</xdr:colOff>
      <xdr:row>43</xdr:row>
      <xdr:rowOff>166701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CxnSpPr/>
      </xdr:nvCxnSpPr>
      <xdr:spPr>
        <a:xfrm>
          <a:off x="4289878" y="7587308"/>
          <a:ext cx="0" cy="1316993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236387</xdr:colOff>
      <xdr:row>35</xdr:row>
      <xdr:rowOff>34262</xdr:rowOff>
    </xdr:from>
    <xdr:to>
      <xdr:col>14</xdr:col>
      <xdr:colOff>245763</xdr:colOff>
      <xdr:row>35</xdr:row>
      <xdr:rowOff>34262</xdr:rowOff>
    </xdr:to>
    <xdr:cxnSp macro="">
      <xdr:nvCxnSpPr>
        <xdr:cNvPr id="74" name="Straight Connector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CxnSpPr/>
      </xdr:nvCxnSpPr>
      <xdr:spPr>
        <a:xfrm flipH="1">
          <a:off x="3538387" y="7146262"/>
          <a:ext cx="263376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32723</xdr:colOff>
      <xdr:row>33</xdr:row>
      <xdr:rowOff>175920</xdr:rowOff>
    </xdr:from>
    <xdr:to>
      <xdr:col>16</xdr:col>
      <xdr:colOff>107087</xdr:colOff>
      <xdr:row>35</xdr:row>
      <xdr:rowOff>70052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 txBox="1"/>
      </xdr:nvSpPr>
      <xdr:spPr>
        <a:xfrm>
          <a:off x="3842723" y="6881520"/>
          <a:ext cx="328364" cy="300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/>
            <a:t>M</a:t>
          </a:r>
        </a:p>
      </xdr:txBody>
    </xdr:sp>
    <xdr:clientData/>
  </xdr:twoCellAnchor>
  <xdr:twoCellAnchor>
    <xdr:from>
      <xdr:col>14</xdr:col>
      <xdr:colOff>100162</xdr:colOff>
      <xdr:row>35</xdr:row>
      <xdr:rowOff>151016</xdr:rowOff>
    </xdr:from>
    <xdr:to>
      <xdr:col>17</xdr:col>
      <xdr:colOff>185284</xdr:colOff>
      <xdr:row>38</xdr:row>
      <xdr:rowOff>28167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 txBox="1"/>
      </xdr:nvSpPr>
      <xdr:spPr>
        <a:xfrm>
          <a:off x="3656162" y="7263016"/>
          <a:ext cx="847122" cy="4867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/>
            <a:t>Tesla Energy Meter</a:t>
          </a:r>
        </a:p>
        <a:p>
          <a:endParaRPr lang="en-GB" sz="1100"/>
        </a:p>
      </xdr:txBody>
    </xdr:sp>
    <xdr:clientData/>
  </xdr:twoCellAnchor>
  <xdr:twoCellAnchor>
    <xdr:from>
      <xdr:col>12</xdr:col>
      <xdr:colOff>16585</xdr:colOff>
      <xdr:row>34</xdr:row>
      <xdr:rowOff>159420</xdr:rowOff>
    </xdr:from>
    <xdr:to>
      <xdr:col>14</xdr:col>
      <xdr:colOff>8182</xdr:colOff>
      <xdr:row>35</xdr:row>
      <xdr:rowOff>167209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064585" y="7068220"/>
          <a:ext cx="499597" cy="210989"/>
        </a:xfrm>
        <a:prstGeom prst="rect">
          <a:avLst/>
        </a:prstGeom>
        <a:solidFill>
          <a:schemeClr val="bg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800"/>
            <a:t>NET CT</a:t>
          </a:r>
        </a:p>
      </xdr:txBody>
    </xdr:sp>
    <xdr:clientData/>
  </xdr:twoCellAnchor>
  <xdr:twoCellAnchor>
    <xdr:from>
      <xdr:col>7</xdr:col>
      <xdr:colOff>73977</xdr:colOff>
      <xdr:row>33</xdr:row>
      <xdr:rowOff>150038</xdr:rowOff>
    </xdr:from>
    <xdr:to>
      <xdr:col>11</xdr:col>
      <xdr:colOff>75565</xdr:colOff>
      <xdr:row>37</xdr:row>
      <xdr:rowOff>152400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 txBox="1"/>
      </xdr:nvSpPr>
      <xdr:spPr>
        <a:xfrm>
          <a:off x="1851977" y="6855638"/>
          <a:ext cx="1017588" cy="8151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/>
            <a:t>Tesla Backup Gateway</a:t>
          </a:r>
        </a:p>
        <a:p>
          <a:endParaRPr lang="en-GB" sz="1800"/>
        </a:p>
      </xdr:txBody>
    </xdr:sp>
    <xdr:clientData/>
  </xdr:twoCellAnchor>
  <xdr:twoCellAnchor>
    <xdr:from>
      <xdr:col>13</xdr:col>
      <xdr:colOff>17230</xdr:colOff>
      <xdr:row>44</xdr:row>
      <xdr:rowOff>155781</xdr:rowOff>
    </xdr:from>
    <xdr:to>
      <xdr:col>13</xdr:col>
      <xdr:colOff>17230</xdr:colOff>
      <xdr:row>62</xdr:row>
      <xdr:rowOff>165653</xdr:rowOff>
    </xdr:to>
    <xdr:cxnSp macro="">
      <xdr:nvCxnSpPr>
        <xdr:cNvPr id="79" name="Straight Connector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>
          <a:off x="3319230" y="9096581"/>
          <a:ext cx="0" cy="36674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84778</xdr:colOff>
      <xdr:row>14</xdr:row>
      <xdr:rowOff>80846</xdr:rowOff>
    </xdr:from>
    <xdr:to>
      <xdr:col>51</xdr:col>
      <xdr:colOff>190882</xdr:colOff>
      <xdr:row>27</xdr:row>
      <xdr:rowOff>203198</xdr:rowOff>
    </xdr:to>
    <xdr:grpSp>
      <xdr:nvGrpSpPr>
        <xdr:cNvPr id="80" name="Group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GrpSpPr/>
      </xdr:nvGrpSpPr>
      <xdr:grpSpPr>
        <a:xfrm>
          <a:off x="12784778" y="2925646"/>
          <a:ext cx="360104" cy="2763952"/>
          <a:chOff x="9530059" y="4216356"/>
          <a:chExt cx="369906" cy="2764483"/>
        </a:xfrm>
      </xdr:grpSpPr>
      <xdr:sp macro="" textlink="">
        <xdr:nvSpPr>
          <xdr:cNvPr id="81" name="Shape 27">
            <a:extLst>
              <a:ext uri="{FF2B5EF4-FFF2-40B4-BE49-F238E27FC236}">
                <a16:creationId xmlns:a16="http://schemas.microsoft.com/office/drawing/2014/main" id="{00000000-0008-0000-0300-00005100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2" name="Shape 27">
            <a:extLst>
              <a:ext uri="{FF2B5EF4-FFF2-40B4-BE49-F238E27FC236}">
                <a16:creationId xmlns:a16="http://schemas.microsoft.com/office/drawing/2014/main" id="{00000000-0008-0000-0300-00005200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3" name="Shape 26">
            <a:extLst>
              <a:ext uri="{FF2B5EF4-FFF2-40B4-BE49-F238E27FC236}">
                <a16:creationId xmlns:a16="http://schemas.microsoft.com/office/drawing/2014/main" id="{00000000-0008-0000-0300-00005300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4" name="Shape 26">
            <a:extLst>
              <a:ext uri="{FF2B5EF4-FFF2-40B4-BE49-F238E27FC236}">
                <a16:creationId xmlns:a16="http://schemas.microsoft.com/office/drawing/2014/main" id="{00000000-0008-0000-0300-00005400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85" name="Straight Connector 84">
            <a:extLst>
              <a:ext uri="{FF2B5EF4-FFF2-40B4-BE49-F238E27FC236}">
                <a16:creationId xmlns:a16="http://schemas.microsoft.com/office/drawing/2014/main" id="{00000000-0008-0000-0300-000055000000}"/>
              </a:ext>
            </a:extLst>
          </xdr:cNvPr>
          <xdr:cNvCxnSpPr/>
        </xdr:nvCxnSpPr>
        <xdr:spPr>
          <a:xfrm>
            <a:off x="9634878" y="4216356"/>
            <a:ext cx="0" cy="51332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6" name="Straight Connector 85">
            <a:extLst>
              <a:ext uri="{FF2B5EF4-FFF2-40B4-BE49-F238E27FC236}">
                <a16:creationId xmlns:a16="http://schemas.microsoft.com/office/drawing/2014/main" id="{00000000-0008-0000-0300-000056000000}"/>
              </a:ext>
            </a:extLst>
          </xdr:cNvPr>
          <xdr:cNvCxnSpPr/>
        </xdr:nvCxnSpPr>
        <xdr:spPr>
          <a:xfrm>
            <a:off x="9651134" y="5019836"/>
            <a:ext cx="0" cy="19610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61</xdr:col>
      <xdr:colOff>93865</xdr:colOff>
      <xdr:row>14</xdr:row>
      <xdr:rowOff>77123</xdr:rowOff>
    </xdr:from>
    <xdr:to>
      <xdr:col>61</xdr:col>
      <xdr:colOff>93865</xdr:colOff>
      <xdr:row>62</xdr:row>
      <xdr:rowOff>165653</xdr:rowOff>
    </xdr:to>
    <xdr:cxnSp macro="">
      <xdr:nvCxnSpPr>
        <xdr:cNvPr id="87" name="Straight Connector 86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CxnSpPr/>
      </xdr:nvCxnSpPr>
      <xdr:spPr>
        <a:xfrm>
          <a:off x="15587865" y="2921923"/>
          <a:ext cx="0" cy="98421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96630</xdr:colOff>
      <xdr:row>14</xdr:row>
      <xdr:rowOff>90267</xdr:rowOff>
    </xdr:from>
    <xdr:to>
      <xdr:col>62</xdr:col>
      <xdr:colOff>69022</xdr:colOff>
      <xdr:row>14</xdr:row>
      <xdr:rowOff>90267</xdr:rowOff>
    </xdr:to>
    <xdr:cxnSp macro="">
      <xdr:nvCxnSpPr>
        <xdr:cNvPr id="88" name="Straight Connector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CxnSpPr/>
      </xdr:nvCxnSpPr>
      <xdr:spPr>
        <a:xfrm>
          <a:off x="12542630" y="2935067"/>
          <a:ext cx="3274392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129353</xdr:colOff>
      <xdr:row>43</xdr:row>
      <xdr:rowOff>1104</xdr:rowOff>
    </xdr:from>
    <xdr:to>
      <xdr:col>13</xdr:col>
      <xdr:colOff>129353</xdr:colOff>
      <xdr:row>44</xdr:row>
      <xdr:rowOff>111538</xdr:rowOff>
    </xdr:to>
    <xdr:cxnSp macro="">
      <xdr:nvCxnSpPr>
        <xdr:cNvPr id="89" name="Straight Connector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CxnSpPr/>
      </xdr:nvCxnSpPr>
      <xdr:spPr>
        <a:xfrm>
          <a:off x="3431353" y="8738704"/>
          <a:ext cx="0" cy="31363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200227</xdr:colOff>
      <xdr:row>27</xdr:row>
      <xdr:rowOff>201603</xdr:rowOff>
    </xdr:from>
    <xdr:to>
      <xdr:col>52</xdr:col>
      <xdr:colOff>184730</xdr:colOff>
      <xdr:row>38</xdr:row>
      <xdr:rowOff>97074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GrpSpPr/>
      </xdr:nvGrpSpPr>
      <xdr:grpSpPr>
        <a:xfrm>
          <a:off x="12392227" y="5688003"/>
          <a:ext cx="1000503" cy="2130671"/>
          <a:chOff x="9331439" y="5595260"/>
          <a:chExt cx="1009223" cy="2113883"/>
        </a:xfrm>
      </xdr:grpSpPr>
      <xdr:grpSp>
        <xdr:nvGrpSpPr>
          <xdr:cNvPr id="91" name="Group 90" descr="Inverter">
            <a:extLst>
              <a:ext uri="{FF2B5EF4-FFF2-40B4-BE49-F238E27FC236}">
                <a16:creationId xmlns:a16="http://schemas.microsoft.com/office/drawing/2014/main" id="{00000000-0008-0000-0300-00005B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GrpSpPr/>
        </xdr:nvGrpSpPr>
        <xdr:grpSpPr>
          <a:xfrm rot="10800000">
            <a:off x="9331439" y="5595260"/>
            <a:ext cx="1009223" cy="2113883"/>
            <a:chOff x="5583133" y="1597653"/>
            <a:chExt cx="766867" cy="4472950"/>
          </a:xfrm>
        </xdr:grpSpPr>
        <xdr:grpSp>
          <xdr:nvGrpSpPr>
            <xdr:cNvPr id="106" name="Group 105">
              <a:extLst>
                <a:ext uri="{FF2B5EF4-FFF2-40B4-BE49-F238E27FC236}">
                  <a16:creationId xmlns:a16="http://schemas.microsoft.com/office/drawing/2014/main" id="{00000000-0008-0000-0300-00006A000000}"/>
                </a:ext>
              </a:extLst>
            </xdr:cNvPr>
            <xdr:cNvGrpSpPr/>
          </xdr:nvGrpSpPr>
          <xdr:grpSpPr>
            <a:xfrm>
              <a:off x="5588000" y="4800603"/>
              <a:ext cx="762000" cy="1270000"/>
              <a:chOff x="5588000" y="4800603"/>
              <a:chExt cx="762000" cy="1270000"/>
            </a:xfrm>
          </xdr:grpSpPr>
          <xdr:sp macro="" textlink="">
            <xdr:nvSpPr>
              <xdr:cNvPr id="112" name="Shape 5">
                <a:extLst>
                  <a:ext uri="{FF2B5EF4-FFF2-40B4-BE49-F238E27FC236}">
                    <a16:creationId xmlns:a16="http://schemas.microsoft.com/office/drawing/2014/main" id="{00000000-0008-0000-0300-000070000000}"/>
                  </a:ext>
                </a:extLst>
              </xdr:cNvPr>
              <xdr:cNvSpPr/>
            </xdr:nvSpPr>
            <xdr:spPr>
              <a:xfrm>
                <a:off x="5588000" y="4800603"/>
                <a:ext cx="762000" cy="12700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3" name="Shape 6">
                <a:extLst>
                  <a:ext uri="{FF2B5EF4-FFF2-40B4-BE49-F238E27FC236}">
                    <a16:creationId xmlns:a16="http://schemas.microsoft.com/office/drawing/2014/main" id="{00000000-0008-0000-0300-000071000000}"/>
                  </a:ext>
                </a:extLst>
              </xdr:cNvPr>
              <xdr:cNvSpPr/>
            </xdr:nvSpPr>
            <xdr:spPr>
              <a:xfrm>
                <a:off x="6027997" y="4938868"/>
                <a:ext cx="125900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4" name="Shape 7">
                <a:extLst>
                  <a:ext uri="{FF2B5EF4-FFF2-40B4-BE49-F238E27FC236}">
                    <a16:creationId xmlns:a16="http://schemas.microsoft.com/office/drawing/2014/main" id="{00000000-0008-0000-0300-000072000000}"/>
                  </a:ext>
                </a:extLst>
              </xdr:cNvPr>
              <xdr:cNvSpPr/>
            </xdr:nvSpPr>
            <xdr:spPr>
              <a:xfrm>
                <a:off x="6018473" y="5050734"/>
                <a:ext cx="141028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5" name="Shape 8">
                <a:extLst>
                  <a:ext uri="{FF2B5EF4-FFF2-40B4-BE49-F238E27FC236}">
                    <a16:creationId xmlns:a16="http://schemas.microsoft.com/office/drawing/2014/main" id="{00000000-0008-0000-0300-000073000000}"/>
                  </a:ext>
                </a:extLst>
              </xdr:cNvPr>
              <xdr:cNvSpPr/>
            </xdr:nvSpPr>
            <xdr:spPr>
              <a:xfrm>
                <a:off x="5716329" y="5725661"/>
                <a:ext cx="123805" cy="18855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107" name="Rectangle 106">
              <a:extLst>
                <a:ext uri="{FF2B5EF4-FFF2-40B4-BE49-F238E27FC236}">
                  <a16:creationId xmlns:a16="http://schemas.microsoft.com/office/drawing/2014/main" id="{00000000-0008-0000-0300-00006B000000}"/>
                </a:ext>
              </a:extLst>
            </xdr:cNvPr>
            <xdr:cNvSpPr/>
          </xdr:nvSpPr>
          <xdr:spPr>
            <a:xfrm>
              <a:off x="5588000" y="4781222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08" name="Rectangle 107">
              <a:extLst>
                <a:ext uri="{FF2B5EF4-FFF2-40B4-BE49-F238E27FC236}">
                  <a16:creationId xmlns:a16="http://schemas.microsoft.com/office/drawing/2014/main" id="{00000000-0008-0000-0300-00006C000000}"/>
                </a:ext>
              </a:extLst>
            </xdr:cNvPr>
            <xdr:cNvSpPr/>
          </xdr:nvSpPr>
          <xdr:spPr>
            <a:xfrm>
              <a:off x="5583133" y="1597653"/>
              <a:ext cx="762000" cy="1270002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09" name="Rectangle 108">
              <a:extLst>
                <a:ext uri="{FF2B5EF4-FFF2-40B4-BE49-F238E27FC236}">
                  <a16:creationId xmlns:a16="http://schemas.microsoft.com/office/drawing/2014/main" id="{00000000-0008-0000-0300-00006D000000}"/>
                </a:ext>
              </a:extLst>
            </xdr:cNvPr>
            <xdr:cNvSpPr/>
          </xdr:nvSpPr>
          <xdr:spPr>
            <a:xfrm>
              <a:off x="5759030" y="1866265"/>
              <a:ext cx="381000" cy="53309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10" name="Rectangle 109">
              <a:extLst>
                <a:ext uri="{FF2B5EF4-FFF2-40B4-BE49-F238E27FC236}">
                  <a16:creationId xmlns:a16="http://schemas.microsoft.com/office/drawing/2014/main" id="{00000000-0008-0000-0300-00006E000000}"/>
                </a:ext>
              </a:extLst>
            </xdr:cNvPr>
            <xdr:cNvSpPr/>
          </xdr:nvSpPr>
          <xdr:spPr>
            <a:xfrm>
              <a:off x="5802382" y="2402667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11" name="Rectangle 110">
              <a:extLst>
                <a:ext uri="{FF2B5EF4-FFF2-40B4-BE49-F238E27FC236}">
                  <a16:creationId xmlns:a16="http://schemas.microsoft.com/office/drawing/2014/main" id="{00000000-0008-0000-0300-00006F000000}"/>
                </a:ext>
              </a:extLst>
            </xdr:cNvPr>
            <xdr:cNvSpPr/>
          </xdr:nvSpPr>
          <xdr:spPr>
            <a:xfrm>
              <a:off x="6006836" y="2403328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92" name="Group 91">
            <a:extLst>
              <a:ext uri="{FF2B5EF4-FFF2-40B4-BE49-F238E27FC236}">
                <a16:creationId xmlns:a16="http://schemas.microsoft.com/office/drawing/2014/main" id="{00000000-0008-0000-0300-00005C000000}"/>
              </a:ext>
            </a:extLst>
          </xdr:cNvPr>
          <xdr:cNvGrpSpPr/>
        </xdr:nvGrpSpPr>
        <xdr:grpSpPr>
          <a:xfrm rot="5400000">
            <a:off x="9782738" y="6397626"/>
            <a:ext cx="286214" cy="498116"/>
            <a:chOff x="8428183" y="2317714"/>
            <a:chExt cx="322065" cy="583370"/>
          </a:xfrm>
        </xdr:grpSpPr>
        <xdr:sp macro="" textlink="">
          <xdr:nvSpPr>
            <xdr:cNvPr id="98" name="Shape 9">
              <a:extLst>
                <a:ext uri="{FF2B5EF4-FFF2-40B4-BE49-F238E27FC236}">
                  <a16:creationId xmlns:a16="http://schemas.microsoft.com/office/drawing/2014/main" id="{00000000-0008-0000-0300-000062000000}"/>
                </a:ext>
              </a:extLst>
            </xdr:cNvPr>
            <xdr:cNvSpPr/>
          </xdr:nvSpPr>
          <xdr:spPr>
            <a:xfrm>
              <a:off x="8428183" y="2545397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9" name="Shape 38">
              <a:extLst>
                <a:ext uri="{FF2B5EF4-FFF2-40B4-BE49-F238E27FC236}">
                  <a16:creationId xmlns:a16="http://schemas.microsoft.com/office/drawing/2014/main" id="{00000000-0008-0000-0300-000063000000}"/>
                </a:ext>
              </a:extLst>
            </xdr:cNvPr>
            <xdr:cNvSpPr/>
          </xdr:nvSpPr>
          <xdr:spPr>
            <a:xfrm flipV="1">
              <a:off x="8567942" y="2317714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0" name="Shape 39">
              <a:extLst>
                <a:ext uri="{FF2B5EF4-FFF2-40B4-BE49-F238E27FC236}">
                  <a16:creationId xmlns:a16="http://schemas.microsoft.com/office/drawing/2014/main" id="{00000000-0008-0000-0300-000064000000}"/>
                </a:ext>
              </a:extLst>
            </xdr:cNvPr>
            <xdr:cNvSpPr/>
          </xdr:nvSpPr>
          <xdr:spPr>
            <a:xfrm flipH="1">
              <a:off x="8519330" y="2325224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1" name="Shape 13">
              <a:extLst>
                <a:ext uri="{FF2B5EF4-FFF2-40B4-BE49-F238E27FC236}">
                  <a16:creationId xmlns:a16="http://schemas.microsoft.com/office/drawing/2014/main" id="{00000000-0008-0000-0300-000065000000}"/>
                </a:ext>
              </a:extLst>
            </xdr:cNvPr>
            <xdr:cNvSpPr/>
          </xdr:nvSpPr>
          <xdr:spPr>
            <a:xfrm flipV="1">
              <a:off x="8489201" y="2417420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2" name="Shape 37">
              <a:extLst>
                <a:ext uri="{FF2B5EF4-FFF2-40B4-BE49-F238E27FC236}">
                  <a16:creationId xmlns:a16="http://schemas.microsoft.com/office/drawing/2014/main" id="{00000000-0008-0000-0300-000066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3" name="Shape 9">
              <a:extLst>
                <a:ext uri="{FF2B5EF4-FFF2-40B4-BE49-F238E27FC236}">
                  <a16:creationId xmlns:a16="http://schemas.microsoft.com/office/drawing/2014/main" id="{00000000-0008-0000-0300-000067000000}"/>
                </a:ext>
              </a:extLst>
            </xdr:cNvPr>
            <xdr:cNvSpPr/>
          </xdr:nvSpPr>
          <xdr:spPr>
            <a:xfrm>
              <a:off x="8665659" y="2545877"/>
              <a:ext cx="84578" cy="84579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4" name="Shape 9">
              <a:extLst>
                <a:ext uri="{FF2B5EF4-FFF2-40B4-BE49-F238E27FC236}">
                  <a16:creationId xmlns:a16="http://schemas.microsoft.com/office/drawing/2014/main" id="{00000000-0008-0000-0300-000068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5" name="Shape 9">
              <a:extLst>
                <a:ext uri="{FF2B5EF4-FFF2-40B4-BE49-F238E27FC236}">
                  <a16:creationId xmlns:a16="http://schemas.microsoft.com/office/drawing/2014/main" id="{00000000-0008-0000-0300-000069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93" name="Rectangle 92">
            <a:extLst>
              <a:ext uri="{FF2B5EF4-FFF2-40B4-BE49-F238E27FC236}">
                <a16:creationId xmlns:a16="http://schemas.microsoft.com/office/drawing/2014/main" id="{00000000-0008-0000-0300-00005D000000}"/>
              </a:ext>
            </a:extLst>
          </xdr:cNvPr>
          <xdr:cNvSpPr/>
        </xdr:nvSpPr>
        <xdr:spPr>
          <a:xfrm rot="16200000">
            <a:off x="9383648" y="6156923"/>
            <a:ext cx="905603" cy="999320"/>
          </a:xfrm>
          <a:prstGeom prst="rect">
            <a:avLst/>
          </a:prstGeom>
          <a:noFill/>
          <a:ln w="63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94" name="Shape 18">
            <a:extLst>
              <a:ext uri="{FF2B5EF4-FFF2-40B4-BE49-F238E27FC236}">
                <a16:creationId xmlns:a16="http://schemas.microsoft.com/office/drawing/2014/main" id="{00000000-0008-0000-0300-00005E000000}"/>
              </a:ext>
            </a:extLst>
          </xdr:cNvPr>
          <xdr:cNvSpPr/>
        </xdr:nvSpPr>
        <xdr:spPr>
          <a:xfrm>
            <a:off x="9719315" y="6211407"/>
            <a:ext cx="0" cy="305655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5" name="Shape 18">
            <a:extLst>
              <a:ext uri="{FF2B5EF4-FFF2-40B4-BE49-F238E27FC236}">
                <a16:creationId xmlns:a16="http://schemas.microsoft.com/office/drawing/2014/main" id="{00000000-0008-0000-0300-00005F000000}"/>
              </a:ext>
            </a:extLst>
          </xdr:cNvPr>
          <xdr:cNvSpPr/>
        </xdr:nvSpPr>
        <xdr:spPr>
          <a:xfrm>
            <a:off x="9948052" y="6202615"/>
            <a:ext cx="0" cy="308097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6" name="Shape 18">
            <a:extLst>
              <a:ext uri="{FF2B5EF4-FFF2-40B4-BE49-F238E27FC236}">
                <a16:creationId xmlns:a16="http://schemas.microsoft.com/office/drawing/2014/main" id="{00000000-0008-0000-0300-000060000000}"/>
              </a:ext>
            </a:extLst>
          </xdr:cNvPr>
          <xdr:cNvSpPr/>
        </xdr:nvSpPr>
        <xdr:spPr>
          <a:xfrm>
            <a:off x="9721268" y="6782236"/>
            <a:ext cx="0" cy="32079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7" name="Shape 18">
            <a:extLst>
              <a:ext uri="{FF2B5EF4-FFF2-40B4-BE49-F238E27FC236}">
                <a16:creationId xmlns:a16="http://schemas.microsoft.com/office/drawing/2014/main" id="{00000000-0008-0000-0300-000061000000}"/>
              </a:ext>
            </a:extLst>
          </xdr:cNvPr>
          <xdr:cNvSpPr/>
        </xdr:nvSpPr>
        <xdr:spPr>
          <a:xfrm>
            <a:off x="9940236" y="6782236"/>
            <a:ext cx="0" cy="32714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32</xdr:col>
      <xdr:colOff>77699</xdr:colOff>
      <xdr:row>14</xdr:row>
      <xdr:rowOff>110068</xdr:rowOff>
    </xdr:from>
    <xdr:to>
      <xdr:col>35</xdr:col>
      <xdr:colOff>132054</xdr:colOff>
      <xdr:row>21</xdr:row>
      <xdr:rowOff>64194</xdr:rowOff>
    </xdr:to>
    <xdr:grpSp>
      <xdr:nvGrpSpPr>
        <xdr:cNvPr id="116" name="Group 115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GrpSpPr/>
      </xdr:nvGrpSpPr>
      <xdr:grpSpPr>
        <a:xfrm>
          <a:off x="8205699" y="2954868"/>
          <a:ext cx="816355" cy="1376526"/>
          <a:chOff x="8797753" y="2514393"/>
          <a:chExt cx="834717" cy="1346131"/>
        </a:xfrm>
      </xdr:grpSpPr>
      <xdr:sp macro="" textlink="">
        <xdr:nvSpPr>
          <xdr:cNvPr id="117" name="Shape 18">
            <a:extLst>
              <a:ext uri="{FF2B5EF4-FFF2-40B4-BE49-F238E27FC236}">
                <a16:creationId xmlns:a16="http://schemas.microsoft.com/office/drawing/2014/main" id="{00000000-0008-0000-0300-000075000000}"/>
              </a:ext>
            </a:extLst>
          </xdr:cNvPr>
          <xdr:cNvSpPr/>
        </xdr:nvSpPr>
        <xdr:spPr>
          <a:xfrm flipH="1">
            <a:off x="8862831" y="3665361"/>
            <a:ext cx="0" cy="37702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18" name="TextBox 117">
            <a:extLst>
              <a:ext uri="{FF2B5EF4-FFF2-40B4-BE49-F238E27FC236}">
                <a16:creationId xmlns:a16="http://schemas.microsoft.com/office/drawing/2014/main" id="{00000000-0008-0000-0300-000076000000}"/>
              </a:ext>
            </a:extLst>
          </xdr:cNvPr>
          <xdr:cNvSpPr txBox="1"/>
        </xdr:nvSpPr>
        <xdr:spPr>
          <a:xfrm>
            <a:off x="8965572" y="3354923"/>
            <a:ext cx="666898" cy="505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Normal</a:t>
            </a:r>
          </a:p>
          <a:p>
            <a:r>
              <a:rPr lang="en-GB" sz="1100"/>
              <a:t>Loads</a:t>
            </a:r>
          </a:p>
          <a:p>
            <a:endParaRPr lang="en-GB" sz="1100"/>
          </a:p>
          <a:p>
            <a:endParaRPr lang="en-GB" sz="1800"/>
          </a:p>
        </xdr:txBody>
      </xdr:sp>
      <xdr:grpSp>
        <xdr:nvGrpSpPr>
          <xdr:cNvPr id="119" name="Group 118">
            <a:extLst>
              <a:ext uri="{FF2B5EF4-FFF2-40B4-BE49-F238E27FC236}">
                <a16:creationId xmlns:a16="http://schemas.microsoft.com/office/drawing/2014/main" id="{00000000-0008-0000-0300-000077000000}"/>
              </a:ext>
            </a:extLst>
          </xdr:cNvPr>
          <xdr:cNvGrpSpPr/>
        </xdr:nvGrpSpPr>
        <xdr:grpSpPr>
          <a:xfrm>
            <a:off x="8797753" y="2514393"/>
            <a:ext cx="320161" cy="1129082"/>
            <a:chOff x="9589750" y="4139008"/>
            <a:chExt cx="310215" cy="1160577"/>
          </a:xfrm>
        </xdr:grpSpPr>
        <xdr:sp macro="" textlink="">
          <xdr:nvSpPr>
            <xdr:cNvPr id="120" name="Shape 27">
              <a:extLst>
                <a:ext uri="{FF2B5EF4-FFF2-40B4-BE49-F238E27FC236}">
                  <a16:creationId xmlns:a16="http://schemas.microsoft.com/office/drawing/2014/main" id="{00000000-0008-0000-0300-000078000000}"/>
                </a:ext>
              </a:extLst>
            </xdr:cNvPr>
            <xdr:cNvSpPr/>
          </xdr:nvSpPr>
          <xdr:spPr>
            <a:xfrm>
              <a:off x="9593489" y="4963526"/>
              <a:ext cx="95175" cy="10034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1" name="Shape 27">
              <a:extLst>
                <a:ext uri="{FF2B5EF4-FFF2-40B4-BE49-F238E27FC236}">
                  <a16:creationId xmlns:a16="http://schemas.microsoft.com/office/drawing/2014/main" id="{00000000-0008-0000-0300-000079000000}"/>
                </a:ext>
              </a:extLst>
            </xdr:cNvPr>
            <xdr:cNvSpPr/>
          </xdr:nvSpPr>
          <xdr:spPr>
            <a:xfrm>
              <a:off x="9589750" y="4736233"/>
              <a:ext cx="95175" cy="100343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2" name="Shape 26">
              <a:extLst>
                <a:ext uri="{FF2B5EF4-FFF2-40B4-BE49-F238E27FC236}">
                  <a16:creationId xmlns:a16="http://schemas.microsoft.com/office/drawing/2014/main" id="{00000000-0008-0000-0300-00007A000000}"/>
                </a:ext>
              </a:extLst>
            </xdr:cNvPr>
            <xdr:cNvSpPr/>
          </xdr:nvSpPr>
          <xdr:spPr>
            <a:xfrm flipH="1">
              <a:off x="9684192" y="4822358"/>
              <a:ext cx="215773" cy="178862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300-00007B000000}"/>
                </a:ext>
              </a:extLst>
            </xdr:cNvPr>
            <xdr:cNvCxnSpPr/>
          </xdr:nvCxnSpPr>
          <xdr:spPr>
            <a:xfrm>
              <a:off x="9642667" y="4139008"/>
              <a:ext cx="0" cy="606309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24" name="Straight Connector 123">
              <a:extLst>
                <a:ext uri="{FF2B5EF4-FFF2-40B4-BE49-F238E27FC236}">
                  <a16:creationId xmlns:a16="http://schemas.microsoft.com/office/drawing/2014/main" id="{00000000-0008-0000-0300-00007C000000}"/>
                </a:ext>
              </a:extLst>
            </xdr:cNvPr>
            <xdr:cNvCxnSpPr/>
          </xdr:nvCxnSpPr>
          <xdr:spPr>
            <a:xfrm>
              <a:off x="9647492" y="5069129"/>
              <a:ext cx="0" cy="230456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12</xdr:col>
      <xdr:colOff>211903</xdr:colOff>
      <xdr:row>25</xdr:row>
      <xdr:rowOff>189729</xdr:rowOff>
    </xdr:from>
    <xdr:to>
      <xdr:col>13</xdr:col>
      <xdr:colOff>49160</xdr:colOff>
      <xdr:row>26</xdr:row>
      <xdr:rowOff>89157</xdr:rowOff>
    </xdr:to>
    <xdr:sp macro="" textlink="">
      <xdr:nvSpPr>
        <xdr:cNvPr id="125" name="Shape 27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/>
      </xdr:nvSpPr>
      <xdr:spPr>
        <a:xfrm>
          <a:off x="3259903" y="5269729"/>
          <a:ext cx="91257" cy="102628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208077</xdr:colOff>
      <xdr:row>24</xdr:row>
      <xdr:rowOff>165886</xdr:rowOff>
    </xdr:from>
    <xdr:to>
      <xdr:col>13</xdr:col>
      <xdr:colOff>45334</xdr:colOff>
      <xdr:row>25</xdr:row>
      <xdr:rowOff>65312</xdr:rowOff>
    </xdr:to>
    <xdr:sp macro="" textlink="">
      <xdr:nvSpPr>
        <xdr:cNvPr id="126" name="Shape 27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SpPr/>
      </xdr:nvSpPr>
      <xdr:spPr>
        <a:xfrm>
          <a:off x="3256077" y="5042686"/>
          <a:ext cx="91257" cy="102626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44585</xdr:colOff>
      <xdr:row>25</xdr:row>
      <xdr:rowOff>51377</xdr:rowOff>
    </xdr:from>
    <xdr:to>
      <xdr:col>14</xdr:col>
      <xdr:colOff>5230</xdr:colOff>
      <xdr:row>26</xdr:row>
      <xdr:rowOff>27756</xdr:rowOff>
    </xdr:to>
    <xdr:sp macro="" textlink="">
      <xdr:nvSpPr>
        <xdr:cNvPr id="127" name="Shape 2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SpPr/>
      </xdr:nvSpPr>
      <xdr:spPr>
        <a:xfrm flipH="1">
          <a:off x="3346585" y="5131377"/>
          <a:ext cx="214645" cy="179579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139368</xdr:colOff>
      <xdr:row>22</xdr:row>
      <xdr:rowOff>50689</xdr:rowOff>
    </xdr:from>
    <xdr:to>
      <xdr:col>13</xdr:col>
      <xdr:colOff>111970</xdr:colOff>
      <xdr:row>24</xdr:row>
      <xdr:rowOff>18939</xdr:rowOff>
    </xdr:to>
    <xdr:grpSp>
      <xdr:nvGrpSpPr>
        <xdr:cNvPr id="128" name="3PCables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GrpSpPr/>
      </xdr:nvGrpSpPr>
      <xdr:grpSpPr>
        <a:xfrm>
          <a:off x="3187368" y="4521089"/>
          <a:ext cx="226602" cy="374650"/>
          <a:chOff x="3201903" y="4462268"/>
          <a:chExt cx="227837" cy="369303"/>
        </a:xfrm>
      </xdr:grpSpPr>
      <xdr:sp macro="" textlink="">
        <xdr:nvSpPr>
          <xdr:cNvPr id="129" name="Shape 26">
            <a:extLst>
              <a:ext uri="{FF2B5EF4-FFF2-40B4-BE49-F238E27FC236}">
                <a16:creationId xmlns:a16="http://schemas.microsoft.com/office/drawing/2014/main" id="{00000000-0008-0000-0300-000081000000}"/>
              </a:ext>
            </a:extLst>
          </xdr:cNvPr>
          <xdr:cNvSpPr/>
        </xdr:nvSpPr>
        <xdr:spPr>
          <a:xfrm flipH="1">
            <a:off x="3201903" y="4462268"/>
            <a:ext cx="219855" cy="212126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0" name="Shape 26">
            <a:extLst>
              <a:ext uri="{FF2B5EF4-FFF2-40B4-BE49-F238E27FC236}">
                <a16:creationId xmlns:a16="http://schemas.microsoft.com/office/drawing/2014/main" id="{00000000-0008-0000-0300-000082000000}"/>
              </a:ext>
            </a:extLst>
          </xdr:cNvPr>
          <xdr:cNvSpPr/>
        </xdr:nvSpPr>
        <xdr:spPr>
          <a:xfrm flipH="1">
            <a:off x="3209589" y="4619000"/>
            <a:ext cx="220151" cy="21257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13</xdr:col>
      <xdr:colOff>10762</xdr:colOff>
      <xdr:row>26</xdr:row>
      <xdr:rowOff>70156</xdr:rowOff>
    </xdr:from>
    <xdr:to>
      <xdr:col>13</xdr:col>
      <xdr:colOff>10762</xdr:colOff>
      <xdr:row>29</xdr:row>
      <xdr:rowOff>163005</xdr:rowOff>
    </xdr:to>
    <xdr:cxnSp macro="">
      <xdr:nvCxnSpPr>
        <xdr:cNvPr id="131" name="Straight Connector 13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CxnSpPr/>
      </xdr:nvCxnSpPr>
      <xdr:spPr>
        <a:xfrm>
          <a:off x="3312762" y="5353356"/>
          <a:ext cx="0" cy="7024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35245</xdr:colOff>
      <xdr:row>14</xdr:row>
      <xdr:rowOff>115882</xdr:rowOff>
    </xdr:from>
    <xdr:to>
      <xdr:col>57</xdr:col>
      <xdr:colOff>147470</xdr:colOff>
      <xdr:row>19</xdr:row>
      <xdr:rowOff>74507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GrpSpPr/>
      </xdr:nvGrpSpPr>
      <xdr:grpSpPr>
        <a:xfrm>
          <a:off x="14259245" y="2960682"/>
          <a:ext cx="366225" cy="974625"/>
          <a:chOff x="9530059" y="4275667"/>
          <a:chExt cx="369906" cy="974625"/>
        </a:xfrm>
      </xdr:grpSpPr>
      <xdr:sp macro="" textlink="">
        <xdr:nvSpPr>
          <xdr:cNvPr id="133" name="Shape 27">
            <a:extLst>
              <a:ext uri="{FF2B5EF4-FFF2-40B4-BE49-F238E27FC236}">
                <a16:creationId xmlns:a16="http://schemas.microsoft.com/office/drawing/2014/main" id="{00000000-0008-0000-0300-00008500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4" name="Shape 27">
            <a:extLst>
              <a:ext uri="{FF2B5EF4-FFF2-40B4-BE49-F238E27FC236}">
                <a16:creationId xmlns:a16="http://schemas.microsoft.com/office/drawing/2014/main" id="{00000000-0008-0000-0300-00008600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5" name="Shape 26">
            <a:extLst>
              <a:ext uri="{FF2B5EF4-FFF2-40B4-BE49-F238E27FC236}">
                <a16:creationId xmlns:a16="http://schemas.microsoft.com/office/drawing/2014/main" id="{00000000-0008-0000-0300-00008700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6" name="Shape 26">
            <a:extLst>
              <a:ext uri="{FF2B5EF4-FFF2-40B4-BE49-F238E27FC236}">
                <a16:creationId xmlns:a16="http://schemas.microsoft.com/office/drawing/2014/main" id="{00000000-0008-0000-0300-00008800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37" name="Straight Connector 136">
            <a:extLst>
              <a:ext uri="{FF2B5EF4-FFF2-40B4-BE49-F238E27FC236}">
                <a16:creationId xmlns:a16="http://schemas.microsoft.com/office/drawing/2014/main" id="{00000000-0008-0000-0300-000089000000}"/>
              </a:ext>
            </a:extLst>
          </xdr:cNvPr>
          <xdr:cNvCxnSpPr/>
        </xdr:nvCxnSpPr>
        <xdr:spPr>
          <a:xfrm>
            <a:off x="9642667" y="4275667"/>
            <a:ext cx="0" cy="4696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8" name="Straight Connector 137">
            <a:extLst>
              <a:ext uri="{FF2B5EF4-FFF2-40B4-BE49-F238E27FC236}">
                <a16:creationId xmlns:a16="http://schemas.microsoft.com/office/drawing/2014/main" id="{00000000-0008-0000-0300-00008A000000}"/>
              </a:ext>
            </a:extLst>
          </xdr:cNvPr>
          <xdr:cNvCxnSpPr/>
        </xdr:nvCxnSpPr>
        <xdr:spPr>
          <a:xfrm>
            <a:off x="9651134" y="5033545"/>
            <a:ext cx="0" cy="216747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24</xdr:col>
      <xdr:colOff>179521</xdr:colOff>
      <xdr:row>16</xdr:row>
      <xdr:rowOff>141587</xdr:rowOff>
    </xdr:from>
    <xdr:to>
      <xdr:col>25</xdr:col>
      <xdr:colOff>176114</xdr:colOff>
      <xdr:row>18</xdr:row>
      <xdr:rowOff>6571</xdr:rowOff>
    </xdr:to>
    <xdr:grpSp>
      <xdr:nvGrpSpPr>
        <xdr:cNvPr id="139" name="3PInv1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GrpSpPr/>
      </xdr:nvGrpSpPr>
      <xdr:grpSpPr>
        <a:xfrm>
          <a:off x="6275521" y="3392787"/>
          <a:ext cx="250593" cy="271384"/>
          <a:chOff x="3200401" y="7249224"/>
          <a:chExt cx="250595" cy="281901"/>
        </a:xfrm>
      </xdr:grpSpPr>
      <xdr:cxnSp macro="">
        <xdr:nvCxnSpPr>
          <xdr:cNvPr id="140" name="2P">
            <a:extLst>
              <a:ext uri="{FF2B5EF4-FFF2-40B4-BE49-F238E27FC236}">
                <a16:creationId xmlns:a16="http://schemas.microsoft.com/office/drawing/2014/main" id="{00000000-0008-0000-0300-00008C000000}"/>
              </a:ext>
            </a:extLst>
          </xdr:cNvPr>
          <xdr:cNvCxnSpPr/>
        </xdr:nvCxnSpPr>
        <xdr:spPr>
          <a:xfrm flipH="1">
            <a:off x="3200401" y="7249224"/>
            <a:ext cx="250595" cy="18903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1" name="3P">
            <a:extLst>
              <a:ext uri="{FF2B5EF4-FFF2-40B4-BE49-F238E27FC236}">
                <a16:creationId xmlns:a16="http://schemas.microsoft.com/office/drawing/2014/main" id="{00000000-0008-0000-0300-00008D000000}"/>
              </a:ext>
            </a:extLst>
          </xdr:cNvPr>
          <xdr:cNvCxnSpPr/>
        </xdr:nvCxnSpPr>
        <xdr:spPr>
          <a:xfrm flipH="1">
            <a:off x="3200401" y="7348250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54</xdr:col>
      <xdr:colOff>140822</xdr:colOff>
      <xdr:row>59</xdr:row>
      <xdr:rowOff>60543</xdr:rowOff>
    </xdr:from>
    <xdr:to>
      <xdr:col>56</xdr:col>
      <xdr:colOff>40696</xdr:colOff>
      <xdr:row>61</xdr:row>
      <xdr:rowOff>53672</xdr:rowOff>
    </xdr:to>
    <xdr:grpSp>
      <xdr:nvGrpSpPr>
        <xdr:cNvPr id="142" name="Ground1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GrpSpPr/>
      </xdr:nvGrpSpPr>
      <xdr:grpSpPr>
        <a:xfrm>
          <a:off x="13856822" y="12049343"/>
          <a:ext cx="407874" cy="399529"/>
          <a:chOff x="10160000" y="2820276"/>
          <a:chExt cx="508000" cy="401148"/>
        </a:xfrm>
      </xdr:grpSpPr>
      <xdr:grpSp>
        <xdr:nvGrpSpPr>
          <xdr:cNvPr id="143" name="Group 142">
            <a:extLst>
              <a:ext uri="{FF2B5EF4-FFF2-40B4-BE49-F238E27FC236}">
                <a16:creationId xmlns:a16="http://schemas.microsoft.com/office/drawing/2014/main" id="{00000000-0008-0000-0300-00008F00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145" name="Straight Connector 144">
              <a:extLst>
                <a:ext uri="{FF2B5EF4-FFF2-40B4-BE49-F238E27FC236}">
                  <a16:creationId xmlns:a16="http://schemas.microsoft.com/office/drawing/2014/main" id="{00000000-0008-0000-0300-00009100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6" name="Straight Connector 145">
              <a:extLst>
                <a:ext uri="{FF2B5EF4-FFF2-40B4-BE49-F238E27FC236}">
                  <a16:creationId xmlns:a16="http://schemas.microsoft.com/office/drawing/2014/main" id="{00000000-0008-0000-0300-00009200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7" name="Straight Connector 146">
              <a:extLst>
                <a:ext uri="{FF2B5EF4-FFF2-40B4-BE49-F238E27FC236}">
                  <a16:creationId xmlns:a16="http://schemas.microsoft.com/office/drawing/2014/main" id="{00000000-0008-0000-0300-00009300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44" name="Straight Connector 143">
            <a:extLst>
              <a:ext uri="{FF2B5EF4-FFF2-40B4-BE49-F238E27FC236}">
                <a16:creationId xmlns:a16="http://schemas.microsoft.com/office/drawing/2014/main" id="{00000000-0008-0000-0300-00009000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35736</xdr:colOff>
      <xdr:row>39</xdr:row>
      <xdr:rowOff>94092</xdr:rowOff>
    </xdr:from>
    <xdr:to>
      <xdr:col>23</xdr:col>
      <xdr:colOff>169333</xdr:colOff>
      <xdr:row>39</xdr:row>
      <xdr:rowOff>94092</xdr:rowOff>
    </xdr:to>
    <xdr:cxnSp macro="">
      <xdr:nvCxnSpPr>
        <xdr:cNvPr id="148" name="Straight Connector 147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CxnSpPr/>
      </xdr:nvCxnSpPr>
      <xdr:spPr>
        <a:xfrm>
          <a:off x="3337736" y="8018892"/>
          <a:ext cx="2673597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155340</xdr:colOff>
      <xdr:row>14</xdr:row>
      <xdr:rowOff>84667</xdr:rowOff>
    </xdr:from>
    <xdr:to>
      <xdr:col>23</xdr:col>
      <xdr:colOff>155340</xdr:colOff>
      <xdr:row>39</xdr:row>
      <xdr:rowOff>101600</xdr:rowOff>
    </xdr:to>
    <xdr:cxnSp macro="">
      <xdr:nvCxnSpPr>
        <xdr:cNvPr id="149" name="Straight Connector 148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CxnSpPr/>
      </xdr:nvCxnSpPr>
      <xdr:spPr>
        <a:xfrm>
          <a:off x="5997340" y="2929467"/>
          <a:ext cx="0" cy="50969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</xdr:colOff>
      <xdr:row>14</xdr:row>
      <xdr:rowOff>104072</xdr:rowOff>
    </xdr:from>
    <xdr:to>
      <xdr:col>34</xdr:col>
      <xdr:colOff>127000</xdr:colOff>
      <xdr:row>14</xdr:row>
      <xdr:rowOff>104072</xdr:rowOff>
    </xdr:to>
    <xdr:cxnSp macro="">
      <xdr:nvCxnSpPr>
        <xdr:cNvPr id="150" name="Straight Connector 149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CxnSpPr/>
      </xdr:nvCxnSpPr>
      <xdr:spPr>
        <a:xfrm>
          <a:off x="5842001" y="2948872"/>
          <a:ext cx="2920999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5681</xdr:colOff>
      <xdr:row>62</xdr:row>
      <xdr:rowOff>63499</xdr:rowOff>
    </xdr:from>
    <xdr:to>
      <xdr:col>23</xdr:col>
      <xdr:colOff>165100</xdr:colOff>
      <xdr:row>63</xdr:row>
      <xdr:rowOff>44061</xdr:rowOff>
    </xdr:to>
    <xdr:cxnSp macro="">
      <xdr:nvCxnSpPr>
        <xdr:cNvPr id="151" name="2P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CxnSpPr/>
      </xdr:nvCxnSpPr>
      <xdr:spPr>
        <a:xfrm flipH="1">
          <a:off x="5847681" y="12661899"/>
          <a:ext cx="159419" cy="1837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219430</xdr:colOff>
      <xdr:row>38</xdr:row>
      <xdr:rowOff>199809</xdr:rowOff>
    </xdr:from>
    <xdr:to>
      <xdr:col>21</xdr:col>
      <xdr:colOff>122073</xdr:colOff>
      <xdr:row>39</xdr:row>
      <xdr:rowOff>180372</xdr:rowOff>
    </xdr:to>
    <xdr:cxnSp macro="">
      <xdr:nvCxnSpPr>
        <xdr:cNvPr id="152" name="2P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CxnSpPr/>
      </xdr:nvCxnSpPr>
      <xdr:spPr>
        <a:xfrm flipH="1">
          <a:off x="5299430" y="7921409"/>
          <a:ext cx="156643" cy="18376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38855</xdr:colOff>
      <xdr:row>38</xdr:row>
      <xdr:rowOff>199809</xdr:rowOff>
    </xdr:from>
    <xdr:to>
      <xdr:col>22</xdr:col>
      <xdr:colOff>47893</xdr:colOff>
      <xdr:row>40</xdr:row>
      <xdr:rowOff>1629</xdr:rowOff>
    </xdr:to>
    <xdr:grpSp>
      <xdr:nvGrpSpPr>
        <xdr:cNvPr id="281" name="3PGate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GrpSpPr/>
      </xdr:nvGrpSpPr>
      <xdr:grpSpPr>
        <a:xfrm>
          <a:off x="5372855" y="7921409"/>
          <a:ext cx="263038" cy="208220"/>
          <a:chOff x="5372855" y="7921409"/>
          <a:chExt cx="263038" cy="208220"/>
        </a:xfrm>
      </xdr:grpSpPr>
      <xdr:cxnSp macro="">
        <xdr:nvCxnSpPr>
          <xdr:cNvPr id="153" name="2P">
            <a:extLst>
              <a:ext uri="{FF2B5EF4-FFF2-40B4-BE49-F238E27FC236}">
                <a16:creationId xmlns:a16="http://schemas.microsoft.com/office/drawing/2014/main" id="{00000000-0008-0000-0300-000099000000}"/>
              </a:ext>
            </a:extLst>
          </xdr:cNvPr>
          <xdr:cNvCxnSpPr/>
        </xdr:nvCxnSpPr>
        <xdr:spPr>
          <a:xfrm flipH="1">
            <a:off x="5372855" y="7921409"/>
            <a:ext cx="174894" cy="19646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4" name="2P">
            <a:extLst>
              <a:ext uri="{FF2B5EF4-FFF2-40B4-BE49-F238E27FC236}">
                <a16:creationId xmlns:a16="http://schemas.microsoft.com/office/drawing/2014/main" id="{00000000-0008-0000-0300-00009A000000}"/>
              </a:ext>
            </a:extLst>
          </xdr:cNvPr>
          <xdr:cNvCxnSpPr/>
        </xdr:nvCxnSpPr>
        <xdr:spPr>
          <a:xfrm flipH="1">
            <a:off x="5463775" y="7933167"/>
            <a:ext cx="172118" cy="19646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236388</xdr:colOff>
      <xdr:row>36</xdr:row>
      <xdr:rowOff>21783</xdr:rowOff>
    </xdr:from>
    <xdr:to>
      <xdr:col>24</xdr:col>
      <xdr:colOff>138044</xdr:colOff>
      <xdr:row>36</xdr:row>
      <xdr:rowOff>21783</xdr:rowOff>
    </xdr:to>
    <xdr:cxnSp macro="">
      <xdr:nvCxnSpPr>
        <xdr:cNvPr id="155" name="Straight Connector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CxnSpPr/>
      </xdr:nvCxnSpPr>
      <xdr:spPr>
        <a:xfrm flipH="1">
          <a:off x="4554388" y="7336983"/>
          <a:ext cx="1679656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93675</xdr:colOff>
      <xdr:row>35</xdr:row>
      <xdr:rowOff>60713</xdr:rowOff>
    </xdr:from>
    <xdr:to>
      <xdr:col>25</xdr:col>
      <xdr:colOff>170441</xdr:colOff>
      <xdr:row>36</xdr:row>
      <xdr:rowOff>27288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GrpSpPr/>
      </xdr:nvGrpSpPr>
      <xdr:grpSpPr>
        <a:xfrm>
          <a:off x="6189675" y="7172713"/>
          <a:ext cx="330766" cy="169775"/>
          <a:chOff x="10817680" y="7023878"/>
          <a:chExt cx="333698" cy="170683"/>
        </a:xfrm>
      </xdr:grpSpPr>
      <xdr:cxnSp macro="">
        <xdr:nvCxnSpPr>
          <xdr:cNvPr id="157" name="Straight Connector 156">
            <a:extLst>
              <a:ext uri="{FF2B5EF4-FFF2-40B4-BE49-F238E27FC236}">
                <a16:creationId xmlns:a16="http://schemas.microsoft.com/office/drawing/2014/main" id="{00000000-0008-0000-0300-00009D000000}"/>
              </a:ext>
            </a:extLst>
          </xdr:cNvPr>
          <xdr:cNvCxnSpPr/>
        </xdr:nvCxnSpPr>
        <xdr:spPr>
          <a:xfrm flipH="1">
            <a:off x="10820918" y="7187925"/>
            <a:ext cx="330460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8" name="Straight Connector 157">
            <a:extLst>
              <a:ext uri="{FF2B5EF4-FFF2-40B4-BE49-F238E27FC236}">
                <a16:creationId xmlns:a16="http://schemas.microsoft.com/office/drawing/2014/main" id="{00000000-0008-0000-0300-00009E000000}"/>
              </a:ext>
            </a:extLst>
          </xdr:cNvPr>
          <xdr:cNvCxnSpPr/>
        </xdr:nvCxnSpPr>
        <xdr:spPr>
          <a:xfrm flipV="1">
            <a:off x="11149906" y="7027117"/>
            <a:ext cx="0" cy="158605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9" name="Straight Connector 158">
            <a:extLst>
              <a:ext uri="{FF2B5EF4-FFF2-40B4-BE49-F238E27FC236}">
                <a16:creationId xmlns:a16="http://schemas.microsoft.com/office/drawing/2014/main" id="{00000000-0008-0000-0300-00009F000000}"/>
              </a:ext>
            </a:extLst>
          </xdr:cNvPr>
          <xdr:cNvCxnSpPr/>
        </xdr:nvCxnSpPr>
        <xdr:spPr>
          <a:xfrm flipV="1">
            <a:off x="10818999" y="7023878"/>
            <a:ext cx="0" cy="170683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0" name="Straight Connector 159">
            <a:extLst>
              <a:ext uri="{FF2B5EF4-FFF2-40B4-BE49-F238E27FC236}">
                <a16:creationId xmlns:a16="http://schemas.microsoft.com/office/drawing/2014/main" id="{00000000-0008-0000-0300-0000A0000000}"/>
              </a:ext>
            </a:extLst>
          </xdr:cNvPr>
          <xdr:cNvCxnSpPr/>
        </xdr:nvCxnSpPr>
        <xdr:spPr>
          <a:xfrm flipH="1">
            <a:off x="10817680" y="7025788"/>
            <a:ext cx="327218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20</xdr:col>
      <xdr:colOff>236909</xdr:colOff>
      <xdr:row>34</xdr:row>
      <xdr:rowOff>168082</xdr:rowOff>
    </xdr:from>
    <xdr:to>
      <xdr:col>23</xdr:col>
      <xdr:colOff>238677</xdr:colOff>
      <xdr:row>36</xdr:row>
      <xdr:rowOff>134029</xdr:rowOff>
    </xdr:to>
    <xdr:sp macro="" textlink="">
      <xdr:nvSpPr>
        <xdr:cNvPr id="161" name="TboxL2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SpPr txBox="1"/>
      </xdr:nvSpPr>
      <xdr:spPr>
        <a:xfrm>
          <a:off x="5316909" y="7076882"/>
          <a:ext cx="763768" cy="3723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PV</a:t>
          </a:r>
          <a:r>
            <a:rPr lang="en-GB" sz="800" baseline="0"/>
            <a:t> CT</a:t>
          </a:r>
          <a:endParaRPr lang="en-GB" sz="800"/>
        </a:p>
      </xdr:txBody>
    </xdr:sp>
    <xdr:clientData/>
  </xdr:twoCellAnchor>
  <xdr:twoCellAnchor>
    <xdr:from>
      <xdr:col>29</xdr:col>
      <xdr:colOff>228271</xdr:colOff>
      <xdr:row>14</xdr:row>
      <xdr:rowOff>105834</xdr:rowOff>
    </xdr:from>
    <xdr:to>
      <xdr:col>42</xdr:col>
      <xdr:colOff>10484</xdr:colOff>
      <xdr:row>34</xdr:row>
      <xdr:rowOff>188149</xdr:rowOff>
    </xdr:to>
    <xdr:grpSp>
      <xdr:nvGrpSpPr>
        <xdr:cNvPr id="162" name="ExtraArray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GrpSpPr/>
      </xdr:nvGrpSpPr>
      <xdr:grpSpPr>
        <a:xfrm>
          <a:off x="7594271" y="2950634"/>
          <a:ext cx="3084213" cy="4146315"/>
          <a:chOff x="2828940" y="8100298"/>
          <a:chExt cx="3087854" cy="4317755"/>
        </a:xfrm>
      </xdr:grpSpPr>
      <xdr:grpSp>
        <xdr:nvGrpSpPr>
          <xdr:cNvPr id="163" name="Group 162">
            <a:extLst>
              <a:ext uri="{FF2B5EF4-FFF2-40B4-BE49-F238E27FC236}">
                <a16:creationId xmlns:a16="http://schemas.microsoft.com/office/drawing/2014/main" id="{00000000-0008-0000-0300-0000A3000000}"/>
              </a:ext>
            </a:extLst>
          </xdr:cNvPr>
          <xdr:cNvGrpSpPr/>
        </xdr:nvGrpSpPr>
        <xdr:grpSpPr>
          <a:xfrm>
            <a:off x="2870479" y="10960100"/>
            <a:ext cx="2816009" cy="1269276"/>
            <a:chOff x="4867607" y="4975411"/>
            <a:chExt cx="2753654" cy="1316399"/>
          </a:xfrm>
        </xdr:grpSpPr>
        <xdr:grpSp>
          <xdr:nvGrpSpPr>
            <xdr:cNvPr id="172" name="Group 171">
              <a:extLst>
                <a:ext uri="{FF2B5EF4-FFF2-40B4-BE49-F238E27FC236}">
                  <a16:creationId xmlns:a16="http://schemas.microsoft.com/office/drawing/2014/main" id="{00000000-0008-0000-0300-0000AC00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180" name="Group 179">
                <a:extLst>
                  <a:ext uri="{FF2B5EF4-FFF2-40B4-BE49-F238E27FC236}">
                    <a16:creationId xmlns:a16="http://schemas.microsoft.com/office/drawing/2014/main" id="{00000000-0008-0000-0300-0000B400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182" name="Shape 5">
                  <a:extLst>
                    <a:ext uri="{FF2B5EF4-FFF2-40B4-BE49-F238E27FC236}">
                      <a16:creationId xmlns:a16="http://schemas.microsoft.com/office/drawing/2014/main" id="{00000000-0008-0000-0300-0000B600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83" name="Shape 6">
                  <a:extLst>
                    <a:ext uri="{FF2B5EF4-FFF2-40B4-BE49-F238E27FC236}">
                      <a16:creationId xmlns:a16="http://schemas.microsoft.com/office/drawing/2014/main" id="{00000000-0008-0000-0300-0000B700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84" name="Shape 7">
                  <a:extLst>
                    <a:ext uri="{FF2B5EF4-FFF2-40B4-BE49-F238E27FC236}">
                      <a16:creationId xmlns:a16="http://schemas.microsoft.com/office/drawing/2014/main" id="{00000000-0008-0000-0300-0000B800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85" name="Shape 8">
                  <a:extLst>
                    <a:ext uri="{FF2B5EF4-FFF2-40B4-BE49-F238E27FC236}">
                      <a16:creationId xmlns:a16="http://schemas.microsoft.com/office/drawing/2014/main" id="{00000000-0008-0000-0300-0000B900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181" name="Rectangle 180">
                <a:extLst>
                  <a:ext uri="{FF2B5EF4-FFF2-40B4-BE49-F238E27FC236}">
                    <a16:creationId xmlns:a16="http://schemas.microsoft.com/office/drawing/2014/main" id="{00000000-0008-0000-0300-0000B500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173" name="Group 172">
              <a:extLst>
                <a:ext uri="{FF2B5EF4-FFF2-40B4-BE49-F238E27FC236}">
                  <a16:creationId xmlns:a16="http://schemas.microsoft.com/office/drawing/2014/main" id="{00000000-0008-0000-0300-0000AD000000}"/>
                </a:ext>
              </a:extLst>
            </xdr:cNvPr>
            <xdr:cNvGrpSpPr/>
          </xdr:nvGrpSpPr>
          <xdr:grpSpPr>
            <a:xfrm>
              <a:off x="4867607" y="5492101"/>
              <a:ext cx="1990393" cy="564535"/>
              <a:chOff x="6401079" y="6917765"/>
              <a:chExt cx="1984619" cy="545353"/>
            </a:xfrm>
          </xdr:grpSpPr>
          <xdr:sp macro="" textlink="">
            <xdr:nvSpPr>
              <xdr:cNvPr id="174" name="Shape 27">
                <a:extLst>
                  <a:ext uri="{FF2B5EF4-FFF2-40B4-BE49-F238E27FC236}">
                    <a16:creationId xmlns:a16="http://schemas.microsoft.com/office/drawing/2014/main" id="{00000000-0008-0000-0300-0000AE00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75" name="Shape 27">
                <a:extLst>
                  <a:ext uri="{FF2B5EF4-FFF2-40B4-BE49-F238E27FC236}">
                    <a16:creationId xmlns:a16="http://schemas.microsoft.com/office/drawing/2014/main" id="{00000000-0008-0000-0300-0000AF00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76" name="Shape 26">
                <a:extLst>
                  <a:ext uri="{FF2B5EF4-FFF2-40B4-BE49-F238E27FC236}">
                    <a16:creationId xmlns:a16="http://schemas.microsoft.com/office/drawing/2014/main" id="{00000000-0008-0000-0300-0000B000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177" name="Straight Connector 176">
                <a:extLst>
                  <a:ext uri="{FF2B5EF4-FFF2-40B4-BE49-F238E27FC236}">
                    <a16:creationId xmlns:a16="http://schemas.microsoft.com/office/drawing/2014/main" id="{00000000-0008-0000-0300-0000B1000000}"/>
                  </a:ext>
                </a:extLst>
              </xdr:cNvPr>
              <xdr:cNvCxnSpPr/>
            </xdr:nvCxnSpPr>
            <xdr:spPr>
              <a:xfrm flipH="1">
                <a:off x="6401079" y="7270910"/>
                <a:ext cx="7183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8" name="Straight Connector 177">
                <a:extLst>
                  <a:ext uri="{FF2B5EF4-FFF2-40B4-BE49-F238E27FC236}">
                    <a16:creationId xmlns:a16="http://schemas.microsoft.com/office/drawing/2014/main" id="{00000000-0008-0000-0300-0000B2000000}"/>
                  </a:ext>
                </a:extLst>
              </xdr:cNvPr>
              <xdr:cNvCxnSpPr/>
            </xdr:nvCxnSpPr>
            <xdr:spPr>
              <a:xfrm flipH="1">
                <a:off x="7625907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79" name="Rectangle 178">
                <a:extLst>
                  <a:ext uri="{FF2B5EF4-FFF2-40B4-BE49-F238E27FC236}">
                    <a16:creationId xmlns:a16="http://schemas.microsoft.com/office/drawing/2014/main" id="{00000000-0008-0000-0300-0000B300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164" name="Group 163">
            <a:extLst>
              <a:ext uri="{FF2B5EF4-FFF2-40B4-BE49-F238E27FC236}">
                <a16:creationId xmlns:a16="http://schemas.microsoft.com/office/drawing/2014/main" id="{00000000-0008-0000-0300-0000A4000000}"/>
              </a:ext>
            </a:extLst>
          </xdr:cNvPr>
          <xdr:cNvGrpSpPr/>
        </xdr:nvGrpSpPr>
        <xdr:grpSpPr>
          <a:xfrm>
            <a:off x="2828940" y="8711961"/>
            <a:ext cx="269224" cy="3096381"/>
            <a:chOff x="4209075" y="8189559"/>
            <a:chExt cx="275787" cy="3076616"/>
          </a:xfrm>
        </xdr:grpSpPr>
        <xdr:grpSp>
          <xdr:nvGrpSpPr>
            <xdr:cNvPr id="167" name="Group 166">
              <a:extLst>
                <a:ext uri="{FF2B5EF4-FFF2-40B4-BE49-F238E27FC236}">
                  <a16:creationId xmlns:a16="http://schemas.microsoft.com/office/drawing/2014/main" id="{00000000-0008-0000-0300-0000A7000000}"/>
                </a:ext>
              </a:extLst>
            </xdr:cNvPr>
            <xdr:cNvGrpSpPr/>
          </xdr:nvGrpSpPr>
          <xdr:grpSpPr>
            <a:xfrm>
              <a:off x="4209075" y="8189559"/>
              <a:ext cx="275787" cy="318559"/>
              <a:chOff x="4209075" y="8189559"/>
              <a:chExt cx="275787" cy="318559"/>
            </a:xfrm>
          </xdr:grpSpPr>
          <xdr:sp macro="" textlink="">
            <xdr:nvSpPr>
              <xdr:cNvPr id="169" name="Shape 27">
                <a:extLst>
                  <a:ext uri="{FF2B5EF4-FFF2-40B4-BE49-F238E27FC236}">
                    <a16:creationId xmlns:a16="http://schemas.microsoft.com/office/drawing/2014/main" id="{00000000-0008-0000-0300-0000A9000000}"/>
                  </a:ext>
                </a:extLst>
              </xdr:cNvPr>
              <xdr:cNvSpPr/>
            </xdr:nvSpPr>
            <xdr:spPr>
              <a:xfrm>
                <a:off x="4209075" y="818955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70" name="Shape 27">
                <a:extLst>
                  <a:ext uri="{FF2B5EF4-FFF2-40B4-BE49-F238E27FC236}">
                    <a16:creationId xmlns:a16="http://schemas.microsoft.com/office/drawing/2014/main" id="{00000000-0008-0000-0300-0000AA000000}"/>
                  </a:ext>
                </a:extLst>
              </xdr:cNvPr>
              <xdr:cNvSpPr/>
            </xdr:nvSpPr>
            <xdr:spPr>
              <a:xfrm>
                <a:off x="4209920" y="8408431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71" name="Shape 26">
                <a:extLst>
                  <a:ext uri="{FF2B5EF4-FFF2-40B4-BE49-F238E27FC236}">
                    <a16:creationId xmlns:a16="http://schemas.microsoft.com/office/drawing/2014/main" id="{00000000-0008-0000-0300-0000AB000000}"/>
                  </a:ext>
                </a:extLst>
              </xdr:cNvPr>
              <xdr:cNvSpPr/>
            </xdr:nvSpPr>
            <xdr:spPr>
              <a:xfrm flipH="1">
                <a:off x="4272163" y="8222080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168" name="Straight Connector 167">
              <a:extLst>
                <a:ext uri="{FF2B5EF4-FFF2-40B4-BE49-F238E27FC236}">
                  <a16:creationId xmlns:a16="http://schemas.microsoft.com/office/drawing/2014/main" id="{00000000-0008-0000-0300-0000A8000000}"/>
                </a:ext>
              </a:extLst>
            </xdr:cNvPr>
            <xdr:cNvCxnSpPr/>
          </xdr:nvCxnSpPr>
          <xdr:spPr>
            <a:xfrm>
              <a:off x="4257709" y="8521439"/>
              <a:ext cx="0" cy="2744736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65" name="Straight Connector 164">
            <a:extLst>
              <a:ext uri="{FF2B5EF4-FFF2-40B4-BE49-F238E27FC236}">
                <a16:creationId xmlns:a16="http://schemas.microsoft.com/office/drawing/2014/main" id="{00000000-0008-0000-0300-0000A5000000}"/>
              </a:ext>
            </a:extLst>
          </xdr:cNvPr>
          <xdr:cNvCxnSpPr/>
        </xdr:nvCxnSpPr>
        <xdr:spPr>
          <a:xfrm>
            <a:off x="2870513" y="8100298"/>
            <a:ext cx="0" cy="60947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6" name="hehe">
            <a:extLst>
              <a:ext uri="{FF2B5EF4-FFF2-40B4-BE49-F238E27FC236}">
                <a16:creationId xmlns:a16="http://schemas.microsoft.com/office/drawing/2014/main" id="{00000000-0008-0000-0300-0000A6000000}"/>
              </a:ext>
            </a:extLst>
          </xdr:cNvPr>
          <xdr:cNvSpPr/>
        </xdr:nvSpPr>
        <xdr:spPr>
          <a:xfrm>
            <a:off x="3066644" y="10875109"/>
            <a:ext cx="2850150" cy="154294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24</xdr:col>
      <xdr:colOff>248125</xdr:colOff>
      <xdr:row>14</xdr:row>
      <xdr:rowOff>122410</xdr:rowOff>
    </xdr:from>
    <xdr:to>
      <xdr:col>34</xdr:col>
      <xdr:colOff>138044</xdr:colOff>
      <xdr:row>54</xdr:row>
      <xdr:rowOff>150600</xdr:rowOff>
    </xdr:to>
    <xdr:grpSp>
      <xdr:nvGrpSpPr>
        <xdr:cNvPr id="186" name="ExtraArray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GrpSpPr/>
      </xdr:nvGrpSpPr>
      <xdr:grpSpPr>
        <a:xfrm>
          <a:off x="6344125" y="2967210"/>
          <a:ext cx="2429919" cy="8156190"/>
          <a:chOff x="2181664" y="3516835"/>
          <a:chExt cx="2425759" cy="8485782"/>
        </a:xfrm>
      </xdr:grpSpPr>
      <xdr:grpSp>
        <xdr:nvGrpSpPr>
          <xdr:cNvPr id="187" name="Group 186">
            <a:extLst>
              <a:ext uri="{FF2B5EF4-FFF2-40B4-BE49-F238E27FC236}">
                <a16:creationId xmlns:a16="http://schemas.microsoft.com/office/drawing/2014/main" id="{00000000-0008-0000-0300-0000BB000000}"/>
              </a:ext>
            </a:extLst>
          </xdr:cNvPr>
          <xdr:cNvGrpSpPr/>
        </xdr:nvGrpSpPr>
        <xdr:grpSpPr>
          <a:xfrm>
            <a:off x="2213336" y="11458291"/>
            <a:ext cx="2394087" cy="544326"/>
            <a:chOff x="5760354" y="6917765"/>
            <a:chExt cx="2334284" cy="545353"/>
          </a:xfrm>
        </xdr:grpSpPr>
        <xdr:sp macro="" textlink="">
          <xdr:nvSpPr>
            <xdr:cNvPr id="195" name="Shape 27">
              <a:extLst>
                <a:ext uri="{FF2B5EF4-FFF2-40B4-BE49-F238E27FC236}">
                  <a16:creationId xmlns:a16="http://schemas.microsoft.com/office/drawing/2014/main" id="{00000000-0008-0000-0300-0000C3000000}"/>
                </a:ext>
              </a:extLst>
            </xdr:cNvPr>
            <xdr:cNvSpPr/>
          </xdr:nvSpPr>
          <xdr:spPr>
            <a:xfrm>
              <a:off x="7112996" y="7224912"/>
              <a:ext cx="81180" cy="8463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96" name="Shape 27">
              <a:extLst>
                <a:ext uri="{FF2B5EF4-FFF2-40B4-BE49-F238E27FC236}">
                  <a16:creationId xmlns:a16="http://schemas.microsoft.com/office/drawing/2014/main" id="{00000000-0008-0000-0300-0000C4000000}"/>
                </a:ext>
              </a:extLst>
            </xdr:cNvPr>
            <xdr:cNvSpPr/>
          </xdr:nvSpPr>
          <xdr:spPr>
            <a:xfrm>
              <a:off x="7539659" y="7223065"/>
              <a:ext cx="80343" cy="83761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97" name="Shape 26">
              <a:extLst>
                <a:ext uri="{FF2B5EF4-FFF2-40B4-BE49-F238E27FC236}">
                  <a16:creationId xmlns:a16="http://schemas.microsoft.com/office/drawing/2014/main" id="{00000000-0008-0000-0300-0000C5000000}"/>
                </a:ext>
              </a:extLst>
            </xdr:cNvPr>
            <xdr:cNvSpPr/>
          </xdr:nvSpPr>
          <xdr:spPr>
            <a:xfrm flipH="1" flipV="1">
              <a:off x="7209118" y="7014882"/>
              <a:ext cx="351592" cy="211269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198" name="Straight Connector 197">
              <a:extLst>
                <a:ext uri="{FF2B5EF4-FFF2-40B4-BE49-F238E27FC236}">
                  <a16:creationId xmlns:a16="http://schemas.microsoft.com/office/drawing/2014/main" id="{00000000-0008-0000-0300-0000C6000000}"/>
                </a:ext>
              </a:extLst>
            </xdr:cNvPr>
            <xdr:cNvCxnSpPr/>
          </xdr:nvCxnSpPr>
          <xdr:spPr>
            <a:xfrm flipH="1">
              <a:off x="5760354" y="7270910"/>
              <a:ext cx="1413107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9" name="Straight Connector 198">
              <a:extLst>
                <a:ext uri="{FF2B5EF4-FFF2-40B4-BE49-F238E27FC236}">
                  <a16:creationId xmlns:a16="http://schemas.microsoft.com/office/drawing/2014/main" id="{00000000-0008-0000-0300-0000C7000000}"/>
                </a:ext>
              </a:extLst>
            </xdr:cNvPr>
            <xdr:cNvCxnSpPr/>
          </xdr:nvCxnSpPr>
          <xdr:spPr>
            <a:xfrm flipH="1">
              <a:off x="7625909" y="7270208"/>
              <a:ext cx="468729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00" name="Rectangle 199">
              <a:extLst>
                <a:ext uri="{FF2B5EF4-FFF2-40B4-BE49-F238E27FC236}">
                  <a16:creationId xmlns:a16="http://schemas.microsoft.com/office/drawing/2014/main" id="{00000000-0008-0000-0300-0000C8000000}"/>
                </a:ext>
              </a:extLst>
            </xdr:cNvPr>
            <xdr:cNvSpPr/>
          </xdr:nvSpPr>
          <xdr:spPr>
            <a:xfrm>
              <a:off x="6866438" y="6917765"/>
              <a:ext cx="1007561" cy="545353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188" name="Group 187">
            <a:extLst>
              <a:ext uri="{FF2B5EF4-FFF2-40B4-BE49-F238E27FC236}">
                <a16:creationId xmlns:a16="http://schemas.microsoft.com/office/drawing/2014/main" id="{00000000-0008-0000-0300-0000BC000000}"/>
              </a:ext>
            </a:extLst>
          </xdr:cNvPr>
          <xdr:cNvGrpSpPr/>
        </xdr:nvGrpSpPr>
        <xdr:grpSpPr>
          <a:xfrm>
            <a:off x="2181664" y="5135238"/>
            <a:ext cx="269223" cy="6671323"/>
            <a:chOff x="3546016" y="4635668"/>
            <a:chExt cx="275786" cy="6628739"/>
          </a:xfrm>
        </xdr:grpSpPr>
        <xdr:grpSp>
          <xdr:nvGrpSpPr>
            <xdr:cNvPr id="190" name="Group 189">
              <a:extLst>
                <a:ext uri="{FF2B5EF4-FFF2-40B4-BE49-F238E27FC236}">
                  <a16:creationId xmlns:a16="http://schemas.microsoft.com/office/drawing/2014/main" id="{00000000-0008-0000-0300-0000BE000000}"/>
                </a:ext>
              </a:extLst>
            </xdr:cNvPr>
            <xdr:cNvGrpSpPr/>
          </xdr:nvGrpSpPr>
          <xdr:grpSpPr>
            <a:xfrm>
              <a:off x="3546016" y="4635668"/>
              <a:ext cx="275786" cy="318558"/>
              <a:chOff x="3546016" y="4635668"/>
              <a:chExt cx="275786" cy="318558"/>
            </a:xfrm>
          </xdr:grpSpPr>
          <xdr:sp macro="" textlink="">
            <xdr:nvSpPr>
              <xdr:cNvPr id="192" name="Shape 27">
                <a:extLst>
                  <a:ext uri="{FF2B5EF4-FFF2-40B4-BE49-F238E27FC236}">
                    <a16:creationId xmlns:a16="http://schemas.microsoft.com/office/drawing/2014/main" id="{00000000-0008-0000-0300-0000C0000000}"/>
                  </a:ext>
                </a:extLst>
              </xdr:cNvPr>
              <xdr:cNvSpPr/>
            </xdr:nvSpPr>
            <xdr:spPr>
              <a:xfrm>
                <a:off x="3546016" y="463566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3" name="Shape 27">
                <a:extLst>
                  <a:ext uri="{FF2B5EF4-FFF2-40B4-BE49-F238E27FC236}">
                    <a16:creationId xmlns:a16="http://schemas.microsoft.com/office/drawing/2014/main" id="{00000000-0008-0000-0300-0000C1000000}"/>
                  </a:ext>
                </a:extLst>
              </xdr:cNvPr>
              <xdr:cNvSpPr/>
            </xdr:nvSpPr>
            <xdr:spPr>
              <a:xfrm>
                <a:off x="3546859" y="485453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4" name="Shape 26">
                <a:extLst>
                  <a:ext uri="{FF2B5EF4-FFF2-40B4-BE49-F238E27FC236}">
                    <a16:creationId xmlns:a16="http://schemas.microsoft.com/office/drawing/2014/main" id="{00000000-0008-0000-0300-0000C2000000}"/>
                  </a:ext>
                </a:extLst>
              </xdr:cNvPr>
              <xdr:cNvSpPr/>
            </xdr:nvSpPr>
            <xdr:spPr>
              <a:xfrm flipH="1">
                <a:off x="3609103" y="4668189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191" name="Straight Connector 190">
              <a:extLst>
                <a:ext uri="{FF2B5EF4-FFF2-40B4-BE49-F238E27FC236}">
                  <a16:creationId xmlns:a16="http://schemas.microsoft.com/office/drawing/2014/main" id="{00000000-0008-0000-0300-0000BF000000}"/>
                </a:ext>
              </a:extLst>
            </xdr:cNvPr>
            <xdr:cNvCxnSpPr/>
          </xdr:nvCxnSpPr>
          <xdr:spPr>
            <a:xfrm>
              <a:off x="3594658" y="4967549"/>
              <a:ext cx="0" cy="6296858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89" name="Straight Connector 188">
            <a:extLst>
              <a:ext uri="{FF2B5EF4-FFF2-40B4-BE49-F238E27FC236}">
                <a16:creationId xmlns:a16="http://schemas.microsoft.com/office/drawing/2014/main" id="{00000000-0008-0000-0300-0000BD000000}"/>
              </a:ext>
            </a:extLst>
          </xdr:cNvPr>
          <xdr:cNvCxnSpPr/>
        </xdr:nvCxnSpPr>
        <xdr:spPr>
          <a:xfrm>
            <a:off x="2223243" y="3516835"/>
            <a:ext cx="0" cy="161621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24</xdr:col>
      <xdr:colOff>167478</xdr:colOff>
      <xdr:row>16</xdr:row>
      <xdr:rowOff>34436</xdr:rowOff>
    </xdr:from>
    <xdr:to>
      <xdr:col>25</xdr:col>
      <xdr:colOff>167972</xdr:colOff>
      <xdr:row>17</xdr:row>
      <xdr:rowOff>15803</xdr:rowOff>
    </xdr:to>
    <xdr:cxnSp macro="">
      <xdr:nvCxnSpPr>
        <xdr:cNvPr id="201" name="Straight Connector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CxnSpPr/>
      </xdr:nvCxnSpPr>
      <xdr:spPr>
        <a:xfrm flipH="1">
          <a:off x="6263478" y="3285636"/>
          <a:ext cx="254494" cy="184567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170139</xdr:colOff>
      <xdr:row>52</xdr:row>
      <xdr:rowOff>54689</xdr:rowOff>
    </xdr:from>
    <xdr:to>
      <xdr:col>52</xdr:col>
      <xdr:colOff>243061</xdr:colOff>
      <xdr:row>57</xdr:row>
      <xdr:rowOff>1584</xdr:rowOff>
    </xdr:to>
    <xdr:grpSp>
      <xdr:nvGrpSpPr>
        <xdr:cNvPr id="202" name="Group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GrpSpPr/>
      </xdr:nvGrpSpPr>
      <xdr:grpSpPr>
        <a:xfrm>
          <a:off x="10584139" y="10621089"/>
          <a:ext cx="2866922" cy="962895"/>
          <a:chOff x="6501150" y="3629024"/>
          <a:chExt cx="3912850" cy="1216296"/>
        </a:xfrm>
      </xdr:grpSpPr>
      <xdr:grpSp>
        <xdr:nvGrpSpPr>
          <xdr:cNvPr id="203" name="Group 202">
            <a:extLst>
              <a:ext uri="{FF2B5EF4-FFF2-40B4-BE49-F238E27FC236}">
                <a16:creationId xmlns:a16="http://schemas.microsoft.com/office/drawing/2014/main" id="{00000000-0008-0000-0300-0000CB00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215" name="Group 214">
              <a:extLst>
                <a:ext uri="{FF2B5EF4-FFF2-40B4-BE49-F238E27FC236}">
                  <a16:creationId xmlns:a16="http://schemas.microsoft.com/office/drawing/2014/main" id="{00000000-0008-0000-0300-0000D700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218" name="Group 217">
                <a:extLst>
                  <a:ext uri="{FF2B5EF4-FFF2-40B4-BE49-F238E27FC236}">
                    <a16:creationId xmlns:a16="http://schemas.microsoft.com/office/drawing/2014/main" id="{00000000-0008-0000-0300-0000DA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220" name="Group 219">
                  <a:extLst>
                    <a:ext uri="{FF2B5EF4-FFF2-40B4-BE49-F238E27FC236}">
                      <a16:creationId xmlns:a16="http://schemas.microsoft.com/office/drawing/2014/main" id="{00000000-0008-0000-0300-0000DC00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229" name="Shape 46">
                    <a:extLst>
                      <a:ext uri="{FF2B5EF4-FFF2-40B4-BE49-F238E27FC236}">
                        <a16:creationId xmlns:a16="http://schemas.microsoft.com/office/drawing/2014/main" id="{00000000-0008-0000-0300-0000E5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30" name="Rectangle 229">
                    <a:extLst>
                      <a:ext uri="{FF2B5EF4-FFF2-40B4-BE49-F238E27FC236}">
                        <a16:creationId xmlns:a16="http://schemas.microsoft.com/office/drawing/2014/main" id="{00000000-0008-0000-0300-0000E600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231" name="Shape 46">
                    <a:extLst>
                      <a:ext uri="{FF2B5EF4-FFF2-40B4-BE49-F238E27FC236}">
                        <a16:creationId xmlns:a16="http://schemas.microsoft.com/office/drawing/2014/main" id="{00000000-0008-0000-0300-0000E7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221" name="Group 220">
                  <a:extLst>
                    <a:ext uri="{FF2B5EF4-FFF2-40B4-BE49-F238E27FC236}">
                      <a16:creationId xmlns:a16="http://schemas.microsoft.com/office/drawing/2014/main" id="{00000000-0008-0000-0300-0000DD00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226" name="Shape 46">
                    <a:extLst>
                      <a:ext uri="{FF2B5EF4-FFF2-40B4-BE49-F238E27FC236}">
                        <a16:creationId xmlns:a16="http://schemas.microsoft.com/office/drawing/2014/main" id="{00000000-0008-0000-0300-0000E2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27" name="Rectangle 226">
                    <a:extLst>
                      <a:ext uri="{FF2B5EF4-FFF2-40B4-BE49-F238E27FC236}">
                        <a16:creationId xmlns:a16="http://schemas.microsoft.com/office/drawing/2014/main" id="{00000000-0008-0000-0300-0000E300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228" name="Shape 46">
                    <a:extLst>
                      <a:ext uri="{FF2B5EF4-FFF2-40B4-BE49-F238E27FC236}">
                        <a16:creationId xmlns:a16="http://schemas.microsoft.com/office/drawing/2014/main" id="{00000000-0008-0000-0300-0000E4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222" name="Shape 27">
                  <a:extLst>
                    <a:ext uri="{FF2B5EF4-FFF2-40B4-BE49-F238E27FC236}">
                      <a16:creationId xmlns:a16="http://schemas.microsoft.com/office/drawing/2014/main" id="{00000000-0008-0000-0300-0000DE00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23" name="Shape 27">
                  <a:extLst>
                    <a:ext uri="{FF2B5EF4-FFF2-40B4-BE49-F238E27FC236}">
                      <a16:creationId xmlns:a16="http://schemas.microsoft.com/office/drawing/2014/main" id="{00000000-0008-0000-0300-0000DF00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24" name="Shape 27">
                  <a:extLst>
                    <a:ext uri="{FF2B5EF4-FFF2-40B4-BE49-F238E27FC236}">
                      <a16:creationId xmlns:a16="http://schemas.microsoft.com/office/drawing/2014/main" id="{00000000-0008-0000-0300-0000E000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25" name="Shape 27">
                  <a:extLst>
                    <a:ext uri="{FF2B5EF4-FFF2-40B4-BE49-F238E27FC236}">
                      <a16:creationId xmlns:a16="http://schemas.microsoft.com/office/drawing/2014/main" id="{00000000-0008-0000-0300-0000E100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219" name="Elbow Connector 218">
                <a:extLst>
                  <a:ext uri="{FF2B5EF4-FFF2-40B4-BE49-F238E27FC236}">
                    <a16:creationId xmlns:a16="http://schemas.microsoft.com/office/drawing/2014/main" id="{00000000-0008-0000-0300-0000DB000000}"/>
                  </a:ext>
                </a:extLst>
              </xdr:cNvPr>
              <xdr:cNvCxnSpPr>
                <a:stCxn id="227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16" name="Elbow Connector 215">
              <a:extLst>
                <a:ext uri="{FF2B5EF4-FFF2-40B4-BE49-F238E27FC236}">
                  <a16:creationId xmlns:a16="http://schemas.microsoft.com/office/drawing/2014/main" id="{00000000-0008-0000-0300-0000D800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7" name="Straight Connector 216">
              <a:extLst>
                <a:ext uri="{FF2B5EF4-FFF2-40B4-BE49-F238E27FC236}">
                  <a16:creationId xmlns:a16="http://schemas.microsoft.com/office/drawing/2014/main" id="{00000000-0008-0000-0300-0000D9000000}"/>
                </a:ext>
              </a:extLst>
            </xdr:cNvPr>
            <xdr:cNvCxnSpPr>
              <a:stCxn id="230" idx="1"/>
              <a:endCxn id="212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04" name="Group 203">
            <a:extLst>
              <a:ext uri="{FF2B5EF4-FFF2-40B4-BE49-F238E27FC236}">
                <a16:creationId xmlns:a16="http://schemas.microsoft.com/office/drawing/2014/main" id="{00000000-0008-0000-0300-0000CC000000}"/>
              </a:ext>
            </a:extLst>
          </xdr:cNvPr>
          <xdr:cNvGrpSpPr/>
        </xdr:nvGrpSpPr>
        <xdr:grpSpPr>
          <a:xfrm>
            <a:off x="6501150" y="3663974"/>
            <a:ext cx="475949" cy="696725"/>
            <a:chOff x="8351037" y="2242252"/>
            <a:chExt cx="478200" cy="692682"/>
          </a:xfrm>
        </xdr:grpSpPr>
        <xdr:grpSp>
          <xdr:nvGrpSpPr>
            <xdr:cNvPr id="205" name="Group 204">
              <a:extLst>
                <a:ext uri="{FF2B5EF4-FFF2-40B4-BE49-F238E27FC236}">
                  <a16:creationId xmlns:a16="http://schemas.microsoft.com/office/drawing/2014/main" id="{00000000-0008-0000-0300-0000CD00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207" name="Shape 9">
                <a:extLst>
                  <a:ext uri="{FF2B5EF4-FFF2-40B4-BE49-F238E27FC236}">
                    <a16:creationId xmlns:a16="http://schemas.microsoft.com/office/drawing/2014/main" id="{00000000-0008-0000-0300-0000CF00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08" name="Shape 38">
                <a:extLst>
                  <a:ext uri="{FF2B5EF4-FFF2-40B4-BE49-F238E27FC236}">
                    <a16:creationId xmlns:a16="http://schemas.microsoft.com/office/drawing/2014/main" id="{00000000-0008-0000-0300-0000D000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09" name="Shape 39">
                <a:extLst>
                  <a:ext uri="{FF2B5EF4-FFF2-40B4-BE49-F238E27FC236}">
                    <a16:creationId xmlns:a16="http://schemas.microsoft.com/office/drawing/2014/main" id="{00000000-0008-0000-0300-0000D100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10" name="Shape 13">
                <a:extLst>
                  <a:ext uri="{FF2B5EF4-FFF2-40B4-BE49-F238E27FC236}">
                    <a16:creationId xmlns:a16="http://schemas.microsoft.com/office/drawing/2014/main" id="{00000000-0008-0000-0300-0000D200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11" name="Shape 37">
                <a:extLst>
                  <a:ext uri="{FF2B5EF4-FFF2-40B4-BE49-F238E27FC236}">
                    <a16:creationId xmlns:a16="http://schemas.microsoft.com/office/drawing/2014/main" id="{00000000-0008-0000-0300-0000D300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12" name="Shape 9">
                <a:extLst>
                  <a:ext uri="{FF2B5EF4-FFF2-40B4-BE49-F238E27FC236}">
                    <a16:creationId xmlns:a16="http://schemas.microsoft.com/office/drawing/2014/main" id="{00000000-0008-0000-0300-0000D400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13" name="Shape 9">
                <a:extLst>
                  <a:ext uri="{FF2B5EF4-FFF2-40B4-BE49-F238E27FC236}">
                    <a16:creationId xmlns:a16="http://schemas.microsoft.com/office/drawing/2014/main" id="{00000000-0008-0000-0300-0000D500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14" name="Shape 9">
                <a:extLst>
                  <a:ext uri="{FF2B5EF4-FFF2-40B4-BE49-F238E27FC236}">
                    <a16:creationId xmlns:a16="http://schemas.microsoft.com/office/drawing/2014/main" id="{00000000-0008-0000-0300-0000D600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206" name="Rectangle 205">
              <a:extLst>
                <a:ext uri="{FF2B5EF4-FFF2-40B4-BE49-F238E27FC236}">
                  <a16:creationId xmlns:a16="http://schemas.microsoft.com/office/drawing/2014/main" id="{00000000-0008-0000-0300-0000CE000000}"/>
                </a:ext>
              </a:extLst>
            </xdr:cNvPr>
            <xdr:cNvSpPr/>
          </xdr:nvSpPr>
          <xdr:spPr>
            <a:xfrm>
              <a:off x="8351037" y="2242252"/>
              <a:ext cx="478200" cy="6926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45</xdr:col>
      <xdr:colOff>100062</xdr:colOff>
      <xdr:row>45</xdr:row>
      <xdr:rowOff>173380</xdr:rowOff>
    </xdr:from>
    <xdr:to>
      <xdr:col>52</xdr:col>
      <xdr:colOff>181107</xdr:colOff>
      <xdr:row>54</xdr:row>
      <xdr:rowOff>151873</xdr:rowOff>
    </xdr:to>
    <xdr:grpSp>
      <xdr:nvGrpSpPr>
        <xdr:cNvPr id="232" name="Parra.A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GrpSpPr/>
      </xdr:nvGrpSpPr>
      <xdr:grpSpPr>
        <a:xfrm>
          <a:off x="11530062" y="9317380"/>
          <a:ext cx="1859045" cy="1807293"/>
          <a:chOff x="12303718" y="1681200"/>
          <a:chExt cx="2567441" cy="2504534"/>
        </a:xfrm>
      </xdr:grpSpPr>
      <xdr:grpSp>
        <xdr:nvGrpSpPr>
          <xdr:cNvPr id="233" name="Group 232">
            <a:extLst>
              <a:ext uri="{FF2B5EF4-FFF2-40B4-BE49-F238E27FC236}">
                <a16:creationId xmlns:a16="http://schemas.microsoft.com/office/drawing/2014/main" id="{00000000-0008-0000-0300-0000E9000000}"/>
              </a:ext>
            </a:extLst>
          </xdr:cNvPr>
          <xdr:cNvGrpSpPr/>
        </xdr:nvGrpSpPr>
        <xdr:grpSpPr>
          <a:xfrm>
            <a:off x="12303718" y="1681200"/>
            <a:ext cx="2565312" cy="2504534"/>
            <a:chOff x="8355800" y="6041149"/>
            <a:chExt cx="2565324" cy="2337199"/>
          </a:xfrm>
        </xdr:grpSpPr>
        <xdr:grpSp>
          <xdr:nvGrpSpPr>
            <xdr:cNvPr id="235" name="Group 234">
              <a:extLst>
                <a:ext uri="{FF2B5EF4-FFF2-40B4-BE49-F238E27FC236}">
                  <a16:creationId xmlns:a16="http://schemas.microsoft.com/office/drawing/2014/main" id="{00000000-0008-0000-0300-0000EB000000}"/>
                </a:ext>
              </a:extLst>
            </xdr:cNvPr>
            <xdr:cNvGrpSpPr/>
          </xdr:nvGrpSpPr>
          <xdr:grpSpPr>
            <a:xfrm>
              <a:off x="8381124" y="6041149"/>
              <a:ext cx="2540000" cy="1214493"/>
              <a:chOff x="7874000" y="3624645"/>
              <a:chExt cx="2540000" cy="1214493"/>
            </a:xfrm>
          </xdr:grpSpPr>
          <xdr:grpSp>
            <xdr:nvGrpSpPr>
              <xdr:cNvPr id="240" name="Group 239">
                <a:extLst>
                  <a:ext uri="{FF2B5EF4-FFF2-40B4-BE49-F238E27FC236}">
                    <a16:creationId xmlns:a16="http://schemas.microsoft.com/office/drawing/2014/main" id="{00000000-0008-0000-0300-0000F0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242" name="Group 241">
                  <a:extLst>
                    <a:ext uri="{FF2B5EF4-FFF2-40B4-BE49-F238E27FC236}">
                      <a16:creationId xmlns:a16="http://schemas.microsoft.com/office/drawing/2014/main" id="{00000000-0008-0000-0300-0000F200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244" name="Group 243">
                    <a:extLst>
                      <a:ext uri="{FF2B5EF4-FFF2-40B4-BE49-F238E27FC236}">
                        <a16:creationId xmlns:a16="http://schemas.microsoft.com/office/drawing/2014/main" id="{00000000-0008-0000-0300-0000F400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253" name="Shape 46">
                      <a:extLst>
                        <a:ext uri="{FF2B5EF4-FFF2-40B4-BE49-F238E27FC236}">
                          <a16:creationId xmlns:a16="http://schemas.microsoft.com/office/drawing/2014/main" id="{00000000-0008-0000-0300-0000FD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54" name="Rectangle 253">
                      <a:extLst>
                        <a:ext uri="{FF2B5EF4-FFF2-40B4-BE49-F238E27FC236}">
                          <a16:creationId xmlns:a16="http://schemas.microsoft.com/office/drawing/2014/main" id="{00000000-0008-0000-0300-0000FE00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55" name="Shape 46">
                      <a:extLst>
                        <a:ext uri="{FF2B5EF4-FFF2-40B4-BE49-F238E27FC236}">
                          <a16:creationId xmlns:a16="http://schemas.microsoft.com/office/drawing/2014/main" id="{00000000-0008-0000-0300-0000FF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245" name="Group 244">
                    <a:extLst>
                      <a:ext uri="{FF2B5EF4-FFF2-40B4-BE49-F238E27FC236}">
                        <a16:creationId xmlns:a16="http://schemas.microsoft.com/office/drawing/2014/main" id="{00000000-0008-0000-0300-0000F500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250" name="Shape 46">
                      <a:extLst>
                        <a:ext uri="{FF2B5EF4-FFF2-40B4-BE49-F238E27FC236}">
                          <a16:creationId xmlns:a16="http://schemas.microsoft.com/office/drawing/2014/main" id="{00000000-0008-0000-0300-0000FA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51" name="Rectangle 250">
                      <a:extLst>
                        <a:ext uri="{FF2B5EF4-FFF2-40B4-BE49-F238E27FC236}">
                          <a16:creationId xmlns:a16="http://schemas.microsoft.com/office/drawing/2014/main" id="{00000000-0008-0000-0300-0000FB00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52" name="Shape 46">
                      <a:extLst>
                        <a:ext uri="{FF2B5EF4-FFF2-40B4-BE49-F238E27FC236}">
                          <a16:creationId xmlns:a16="http://schemas.microsoft.com/office/drawing/2014/main" id="{00000000-0008-0000-0300-0000FC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246" name="Shape 27">
                    <a:extLst>
                      <a:ext uri="{FF2B5EF4-FFF2-40B4-BE49-F238E27FC236}">
                        <a16:creationId xmlns:a16="http://schemas.microsoft.com/office/drawing/2014/main" id="{00000000-0008-0000-0300-0000F600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47" name="Shape 27">
                    <a:extLst>
                      <a:ext uri="{FF2B5EF4-FFF2-40B4-BE49-F238E27FC236}">
                        <a16:creationId xmlns:a16="http://schemas.microsoft.com/office/drawing/2014/main" id="{00000000-0008-0000-0300-0000F700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48" name="Shape 27">
                    <a:extLst>
                      <a:ext uri="{FF2B5EF4-FFF2-40B4-BE49-F238E27FC236}">
                        <a16:creationId xmlns:a16="http://schemas.microsoft.com/office/drawing/2014/main" id="{00000000-0008-0000-0300-0000F800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49" name="Shape 27">
                    <a:extLst>
                      <a:ext uri="{FF2B5EF4-FFF2-40B4-BE49-F238E27FC236}">
                        <a16:creationId xmlns:a16="http://schemas.microsoft.com/office/drawing/2014/main" id="{00000000-0008-0000-0300-0000F900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243" name="Elbow Connector 242">
                  <a:extLst>
                    <a:ext uri="{FF2B5EF4-FFF2-40B4-BE49-F238E27FC236}">
                      <a16:creationId xmlns:a16="http://schemas.microsoft.com/office/drawing/2014/main" id="{00000000-0008-0000-0300-0000F3000000}"/>
                    </a:ext>
                  </a:extLst>
                </xdr:cNvPr>
                <xdr:cNvCxnSpPr>
                  <a:stCxn id="251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41" name="Straight Connector 240">
                <a:extLst>
                  <a:ext uri="{FF2B5EF4-FFF2-40B4-BE49-F238E27FC236}">
                    <a16:creationId xmlns:a16="http://schemas.microsoft.com/office/drawing/2014/main" id="{00000000-0008-0000-0300-0000F1000000}"/>
                  </a:ext>
                </a:extLst>
              </xdr:cNvPr>
              <xdr:cNvCxnSpPr>
                <a:stCxn id="254" idx="1"/>
              </xdr:cNvCxnSpPr>
            </xdr:nvCxnSpPr>
            <xdr:spPr>
              <a:xfrm flipH="1">
                <a:off x="7874000" y="4027589"/>
                <a:ext cx="763589" cy="1377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36" name="Straight Connector 235">
              <a:extLst>
                <a:ext uri="{FF2B5EF4-FFF2-40B4-BE49-F238E27FC236}">
                  <a16:creationId xmlns:a16="http://schemas.microsoft.com/office/drawing/2014/main" id="{00000000-0008-0000-0300-0000EC000000}"/>
                </a:ext>
              </a:extLst>
            </xdr:cNvPr>
            <xdr:cNvCxnSpPr/>
          </xdr:nvCxnSpPr>
          <xdr:spPr>
            <a:xfrm>
              <a:off x="8676106" y="7259130"/>
              <a:ext cx="0" cy="1084176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7" name="Straight Connector 236">
              <a:extLst>
                <a:ext uri="{FF2B5EF4-FFF2-40B4-BE49-F238E27FC236}">
                  <a16:creationId xmlns:a16="http://schemas.microsoft.com/office/drawing/2014/main" id="{00000000-0008-0000-0300-0000ED000000}"/>
                </a:ext>
              </a:extLst>
            </xdr:cNvPr>
            <xdr:cNvCxnSpPr/>
          </xdr:nvCxnSpPr>
          <xdr:spPr>
            <a:xfrm>
              <a:off x="8386456" y="6441788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38" name="Shape 27">
              <a:extLst>
                <a:ext uri="{FF2B5EF4-FFF2-40B4-BE49-F238E27FC236}">
                  <a16:creationId xmlns:a16="http://schemas.microsoft.com/office/drawing/2014/main" id="{00000000-0008-0000-0300-0000EE000000}"/>
                </a:ext>
              </a:extLst>
            </xdr:cNvPr>
            <xdr:cNvSpPr/>
          </xdr:nvSpPr>
          <xdr:spPr>
            <a:xfrm>
              <a:off x="8355800" y="8111094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9" name="Shape 27">
              <a:extLst>
                <a:ext uri="{FF2B5EF4-FFF2-40B4-BE49-F238E27FC236}">
                  <a16:creationId xmlns:a16="http://schemas.microsoft.com/office/drawing/2014/main" id="{00000000-0008-0000-0300-0000EF000000}"/>
                </a:ext>
              </a:extLst>
            </xdr:cNvPr>
            <xdr:cNvSpPr/>
          </xdr:nvSpPr>
          <xdr:spPr>
            <a:xfrm>
              <a:off x="8645844" y="8312616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34" name="Straight Connector 233">
            <a:extLst>
              <a:ext uri="{FF2B5EF4-FFF2-40B4-BE49-F238E27FC236}">
                <a16:creationId xmlns:a16="http://schemas.microsoft.com/office/drawing/2014/main" id="{00000000-0008-0000-0300-0000EA000000}"/>
              </a:ext>
            </a:extLst>
          </xdr:cNvPr>
          <xdr:cNvCxnSpPr/>
        </xdr:nvCxnSpPr>
        <xdr:spPr>
          <a:xfrm flipH="1">
            <a:off x="12622411" y="2978366"/>
            <a:ext cx="224874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34</xdr:col>
      <xdr:colOff>140705</xdr:colOff>
      <xdr:row>50</xdr:row>
      <xdr:rowOff>179456</xdr:rowOff>
    </xdr:from>
    <xdr:to>
      <xdr:col>41</xdr:col>
      <xdr:colOff>220869</xdr:colOff>
      <xdr:row>56</xdr:row>
      <xdr:rowOff>105987</xdr:rowOff>
    </xdr:to>
    <xdr:grpSp>
      <xdr:nvGrpSpPr>
        <xdr:cNvPr id="256" name="Group 255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GrpSpPr/>
      </xdr:nvGrpSpPr>
      <xdr:grpSpPr>
        <a:xfrm>
          <a:off x="8776705" y="10339456"/>
          <a:ext cx="1858164" cy="1145731"/>
          <a:chOff x="10582313" y="11394591"/>
          <a:chExt cx="2816444" cy="1647175"/>
        </a:xfrm>
      </xdr:grpSpPr>
      <xdr:grpSp>
        <xdr:nvGrpSpPr>
          <xdr:cNvPr id="257" name="Group 256">
            <a:extLst>
              <a:ext uri="{FF2B5EF4-FFF2-40B4-BE49-F238E27FC236}">
                <a16:creationId xmlns:a16="http://schemas.microsoft.com/office/drawing/2014/main" id="{00000000-0008-0000-0300-000001010000}"/>
              </a:ext>
            </a:extLst>
          </xdr:cNvPr>
          <xdr:cNvGrpSpPr/>
        </xdr:nvGrpSpPr>
        <xdr:grpSpPr>
          <a:xfrm>
            <a:off x="10582313" y="11394591"/>
            <a:ext cx="970386" cy="1647175"/>
            <a:chOff x="5588000" y="4800600"/>
            <a:chExt cx="762000" cy="1270001"/>
          </a:xfrm>
        </xdr:grpSpPr>
        <xdr:grpSp>
          <xdr:nvGrpSpPr>
            <xdr:cNvPr id="273" name="Group 272">
              <a:extLst>
                <a:ext uri="{FF2B5EF4-FFF2-40B4-BE49-F238E27FC236}">
                  <a16:creationId xmlns:a16="http://schemas.microsoft.com/office/drawing/2014/main" id="{00000000-0008-0000-0300-000011010000}"/>
                </a:ext>
              </a:extLst>
            </xdr:cNvPr>
            <xdr:cNvGrpSpPr/>
          </xdr:nvGrpSpPr>
          <xdr:grpSpPr>
            <a:xfrm>
              <a:off x="5600699" y="4813301"/>
              <a:ext cx="736601" cy="1257300"/>
              <a:chOff x="5600699" y="4813301"/>
              <a:chExt cx="736601" cy="1257300"/>
            </a:xfrm>
          </xdr:grpSpPr>
          <xdr:sp macro="" textlink="">
            <xdr:nvSpPr>
              <xdr:cNvPr id="275" name="Shape 5">
                <a:extLst>
                  <a:ext uri="{FF2B5EF4-FFF2-40B4-BE49-F238E27FC236}">
                    <a16:creationId xmlns:a16="http://schemas.microsoft.com/office/drawing/2014/main" id="{00000000-0008-0000-0300-000013010000}"/>
                  </a:ext>
                </a:extLst>
              </xdr:cNvPr>
              <xdr:cNvSpPr/>
            </xdr:nvSpPr>
            <xdr:spPr>
              <a:xfrm>
                <a:off x="5600699" y="4813301"/>
                <a:ext cx="736601" cy="12573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6" name="Shape 6">
                <a:extLst>
                  <a:ext uri="{FF2B5EF4-FFF2-40B4-BE49-F238E27FC236}">
                    <a16:creationId xmlns:a16="http://schemas.microsoft.com/office/drawing/2014/main" id="{00000000-0008-0000-0300-000014010000}"/>
                  </a:ext>
                </a:extLst>
              </xdr:cNvPr>
              <xdr:cNvSpPr/>
            </xdr:nvSpPr>
            <xdr:spPr>
              <a:xfrm>
                <a:off x="6027997" y="4938868"/>
                <a:ext cx="212482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7" name="Shape 7">
                <a:extLst>
                  <a:ext uri="{FF2B5EF4-FFF2-40B4-BE49-F238E27FC236}">
                    <a16:creationId xmlns:a16="http://schemas.microsoft.com/office/drawing/2014/main" id="{00000000-0008-0000-0300-000015010000}"/>
                  </a:ext>
                </a:extLst>
              </xdr:cNvPr>
              <xdr:cNvSpPr/>
            </xdr:nvSpPr>
            <xdr:spPr>
              <a:xfrm>
                <a:off x="6018472" y="5050734"/>
                <a:ext cx="222007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8" name="Shape 8">
                <a:extLst>
                  <a:ext uri="{FF2B5EF4-FFF2-40B4-BE49-F238E27FC236}">
                    <a16:creationId xmlns:a16="http://schemas.microsoft.com/office/drawing/2014/main" id="{00000000-0008-0000-0300-000016010000}"/>
                  </a:ext>
                </a:extLst>
              </xdr:cNvPr>
              <xdr:cNvSpPr/>
            </xdr:nvSpPr>
            <xdr:spPr>
              <a:xfrm>
                <a:off x="5716328" y="5742770"/>
                <a:ext cx="202957" cy="171450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274" name="Rectangle 273">
              <a:extLst>
                <a:ext uri="{FF2B5EF4-FFF2-40B4-BE49-F238E27FC236}">
                  <a16:creationId xmlns:a16="http://schemas.microsoft.com/office/drawing/2014/main" id="{00000000-0008-0000-0300-000012010000}"/>
                </a:ext>
              </a:extLst>
            </xdr:cNvPr>
            <xdr:cNvSpPr/>
          </xdr:nvSpPr>
          <xdr:spPr>
            <a:xfrm>
              <a:off x="5588000" y="4800600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258" name="Group 257">
            <a:extLst>
              <a:ext uri="{FF2B5EF4-FFF2-40B4-BE49-F238E27FC236}">
                <a16:creationId xmlns:a16="http://schemas.microsoft.com/office/drawing/2014/main" id="{00000000-0008-0000-0300-000002010000}"/>
              </a:ext>
            </a:extLst>
          </xdr:cNvPr>
          <xdr:cNvGrpSpPr/>
        </xdr:nvGrpSpPr>
        <xdr:grpSpPr>
          <a:xfrm>
            <a:off x="11988664" y="11859924"/>
            <a:ext cx="517581" cy="743782"/>
            <a:chOff x="8312729" y="2242252"/>
            <a:chExt cx="532713" cy="699032"/>
          </a:xfrm>
        </xdr:grpSpPr>
        <xdr:grpSp>
          <xdr:nvGrpSpPr>
            <xdr:cNvPr id="263" name="Group 262">
              <a:extLst>
                <a:ext uri="{FF2B5EF4-FFF2-40B4-BE49-F238E27FC236}">
                  <a16:creationId xmlns:a16="http://schemas.microsoft.com/office/drawing/2014/main" id="{00000000-0008-0000-0300-00000701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265" name="Shape 9">
                <a:extLst>
                  <a:ext uri="{FF2B5EF4-FFF2-40B4-BE49-F238E27FC236}">
                    <a16:creationId xmlns:a16="http://schemas.microsoft.com/office/drawing/2014/main" id="{00000000-0008-0000-0300-00000901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66" name="Shape 38">
                <a:extLst>
                  <a:ext uri="{FF2B5EF4-FFF2-40B4-BE49-F238E27FC236}">
                    <a16:creationId xmlns:a16="http://schemas.microsoft.com/office/drawing/2014/main" id="{00000000-0008-0000-0300-00000A01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67" name="Shape 39">
                <a:extLst>
                  <a:ext uri="{FF2B5EF4-FFF2-40B4-BE49-F238E27FC236}">
                    <a16:creationId xmlns:a16="http://schemas.microsoft.com/office/drawing/2014/main" id="{00000000-0008-0000-0300-00000B01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68" name="Shape 13">
                <a:extLst>
                  <a:ext uri="{FF2B5EF4-FFF2-40B4-BE49-F238E27FC236}">
                    <a16:creationId xmlns:a16="http://schemas.microsoft.com/office/drawing/2014/main" id="{00000000-0008-0000-0300-00000C01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69" name="Shape 37">
                <a:extLst>
                  <a:ext uri="{FF2B5EF4-FFF2-40B4-BE49-F238E27FC236}">
                    <a16:creationId xmlns:a16="http://schemas.microsoft.com/office/drawing/2014/main" id="{00000000-0008-0000-0300-00000D01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0" name="Shape 9">
                <a:extLst>
                  <a:ext uri="{FF2B5EF4-FFF2-40B4-BE49-F238E27FC236}">
                    <a16:creationId xmlns:a16="http://schemas.microsoft.com/office/drawing/2014/main" id="{00000000-0008-0000-0300-00000E01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1" name="Shape 9">
                <a:extLst>
                  <a:ext uri="{FF2B5EF4-FFF2-40B4-BE49-F238E27FC236}">
                    <a16:creationId xmlns:a16="http://schemas.microsoft.com/office/drawing/2014/main" id="{00000000-0008-0000-0300-00000F01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2" name="Shape 9">
                <a:extLst>
                  <a:ext uri="{FF2B5EF4-FFF2-40B4-BE49-F238E27FC236}">
                    <a16:creationId xmlns:a16="http://schemas.microsoft.com/office/drawing/2014/main" id="{00000000-0008-0000-0300-00001001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264" name="Rectangle 263">
              <a:extLst>
                <a:ext uri="{FF2B5EF4-FFF2-40B4-BE49-F238E27FC236}">
                  <a16:creationId xmlns:a16="http://schemas.microsoft.com/office/drawing/2014/main" id="{00000000-0008-0000-0300-000008010000}"/>
                </a:ext>
              </a:extLst>
            </xdr:cNvPr>
            <xdr:cNvSpPr/>
          </xdr:nvSpPr>
          <xdr:spPr>
            <a:xfrm>
              <a:off x="8312729" y="2242252"/>
              <a:ext cx="532713" cy="69903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cxnSp macro="">
        <xdr:nvCxnSpPr>
          <xdr:cNvPr id="259" name="Straight Connector 258">
            <a:extLst>
              <a:ext uri="{FF2B5EF4-FFF2-40B4-BE49-F238E27FC236}">
                <a16:creationId xmlns:a16="http://schemas.microsoft.com/office/drawing/2014/main" id="{00000000-0008-0000-0300-000003010000}"/>
              </a:ext>
            </a:extLst>
          </xdr:cNvPr>
          <xdr:cNvCxnSpPr/>
        </xdr:nvCxnSpPr>
        <xdr:spPr>
          <a:xfrm flipH="1">
            <a:off x="12409382" y="12246383"/>
            <a:ext cx="98901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0" name="Straight Connector 259">
            <a:extLst>
              <a:ext uri="{FF2B5EF4-FFF2-40B4-BE49-F238E27FC236}">
                <a16:creationId xmlns:a16="http://schemas.microsoft.com/office/drawing/2014/main" id="{00000000-0008-0000-0300-000004010000}"/>
              </a:ext>
            </a:extLst>
          </xdr:cNvPr>
          <xdr:cNvCxnSpPr/>
        </xdr:nvCxnSpPr>
        <xdr:spPr>
          <a:xfrm flipH="1">
            <a:off x="12409740" y="12472114"/>
            <a:ext cx="98901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1" name="Straight Connector 260">
            <a:extLst>
              <a:ext uri="{FF2B5EF4-FFF2-40B4-BE49-F238E27FC236}">
                <a16:creationId xmlns:a16="http://schemas.microsoft.com/office/drawing/2014/main" id="{00000000-0008-0000-0300-000005010000}"/>
              </a:ext>
            </a:extLst>
          </xdr:cNvPr>
          <xdr:cNvCxnSpPr/>
        </xdr:nvCxnSpPr>
        <xdr:spPr>
          <a:xfrm flipH="1">
            <a:off x="11537670" y="12454584"/>
            <a:ext cx="564093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2" name="Straight Connector 261">
            <a:extLst>
              <a:ext uri="{FF2B5EF4-FFF2-40B4-BE49-F238E27FC236}">
                <a16:creationId xmlns:a16="http://schemas.microsoft.com/office/drawing/2014/main" id="{00000000-0008-0000-0300-000006010000}"/>
              </a:ext>
            </a:extLst>
          </xdr:cNvPr>
          <xdr:cNvCxnSpPr/>
        </xdr:nvCxnSpPr>
        <xdr:spPr>
          <a:xfrm flipH="1">
            <a:off x="11529084" y="12247457"/>
            <a:ext cx="564093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33</xdr:col>
      <xdr:colOff>241371</xdr:colOff>
      <xdr:row>45</xdr:row>
      <xdr:rowOff>96630</xdr:rowOff>
    </xdr:from>
    <xdr:to>
      <xdr:col>55</xdr:col>
      <xdr:colOff>81281</xdr:colOff>
      <xdr:row>59</xdr:row>
      <xdr:rowOff>50800</xdr:rowOff>
    </xdr:to>
    <xdr:sp macro="" textlink="">
      <xdr:nvSpPr>
        <xdr:cNvPr id="279" name="Dash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SpPr/>
      </xdr:nvSpPr>
      <xdr:spPr>
        <a:xfrm>
          <a:off x="8623371" y="9240630"/>
          <a:ext cx="5427910" cy="2798970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49</xdr:col>
      <xdr:colOff>137160</xdr:colOff>
      <xdr:row>20</xdr:row>
      <xdr:rowOff>55880</xdr:rowOff>
    </xdr:from>
    <xdr:to>
      <xdr:col>50</xdr:col>
      <xdr:colOff>167640</xdr:colOff>
      <xdr:row>24</xdr:row>
      <xdr:rowOff>106680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SpPr txBox="1"/>
      </xdr:nvSpPr>
      <xdr:spPr>
        <a:xfrm rot="16200000">
          <a:off x="12293600" y="4409440"/>
          <a:ext cx="863600" cy="2844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6mm</a:t>
          </a:r>
          <a:r>
            <a:rPr lang="en-GB" sz="1100" baseline="0"/>
            <a:t> 2C+E</a:t>
          </a:r>
          <a:endParaRPr lang="en-GB" sz="1100"/>
        </a:p>
      </xdr:txBody>
    </xdr:sp>
    <xdr:clientData/>
  </xdr:twoCellAnchor>
  <xdr:twoCellAnchor>
    <xdr:from>
      <xdr:col>32</xdr:col>
      <xdr:colOff>10187</xdr:colOff>
      <xdr:row>15</xdr:row>
      <xdr:rowOff>90787</xdr:rowOff>
    </xdr:from>
    <xdr:to>
      <xdr:col>33</xdr:col>
      <xdr:colOff>6780</xdr:colOff>
      <xdr:row>16</xdr:row>
      <xdr:rowOff>158971</xdr:rowOff>
    </xdr:to>
    <xdr:grpSp>
      <xdr:nvGrpSpPr>
        <xdr:cNvPr id="282" name="3PLoads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GrpSpPr/>
      </xdr:nvGrpSpPr>
      <xdr:grpSpPr>
        <a:xfrm>
          <a:off x="8138187" y="3138787"/>
          <a:ext cx="250593" cy="271384"/>
          <a:chOff x="3200401" y="7249224"/>
          <a:chExt cx="250595" cy="281901"/>
        </a:xfrm>
      </xdr:grpSpPr>
      <xdr:cxnSp macro="">
        <xdr:nvCxnSpPr>
          <xdr:cNvPr id="283" name="2P">
            <a:extLst>
              <a:ext uri="{FF2B5EF4-FFF2-40B4-BE49-F238E27FC236}">
                <a16:creationId xmlns:a16="http://schemas.microsoft.com/office/drawing/2014/main" id="{00000000-0008-0000-0300-00001B010000}"/>
              </a:ext>
            </a:extLst>
          </xdr:cNvPr>
          <xdr:cNvCxnSpPr/>
        </xdr:nvCxnSpPr>
        <xdr:spPr>
          <a:xfrm flipH="1">
            <a:off x="3200401" y="7249224"/>
            <a:ext cx="250595" cy="18903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4" name="3P">
            <a:extLst>
              <a:ext uri="{FF2B5EF4-FFF2-40B4-BE49-F238E27FC236}">
                <a16:creationId xmlns:a16="http://schemas.microsoft.com/office/drawing/2014/main" id="{00000000-0008-0000-0300-00001C010000}"/>
              </a:ext>
            </a:extLst>
          </xdr:cNvPr>
          <xdr:cNvCxnSpPr/>
        </xdr:nvCxnSpPr>
        <xdr:spPr>
          <a:xfrm flipH="1">
            <a:off x="3200401" y="7348250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31</xdr:col>
      <xdr:colOff>243678</xdr:colOff>
      <xdr:row>15</xdr:row>
      <xdr:rowOff>570</xdr:rowOff>
    </xdr:from>
    <xdr:to>
      <xdr:col>32</xdr:col>
      <xdr:colOff>244172</xdr:colOff>
      <xdr:row>15</xdr:row>
      <xdr:rowOff>185137</xdr:rowOff>
    </xdr:to>
    <xdr:cxnSp macro="">
      <xdr:nvCxnSpPr>
        <xdr:cNvPr id="285" name="Straight Connector 284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CxnSpPr/>
      </xdr:nvCxnSpPr>
      <xdr:spPr>
        <a:xfrm flipH="1">
          <a:off x="8117678" y="3048570"/>
          <a:ext cx="254494" cy="184567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54000" y="221606"/>
          <a:ext cx="206411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9412" y="14140329"/>
          <a:ext cx="2942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6</xdr:col>
      <xdr:colOff>152400</xdr:colOff>
      <xdr:row>21</xdr:row>
      <xdr:rowOff>98891</xdr:rowOff>
    </xdr:from>
    <xdr:to>
      <xdr:col>21</xdr:col>
      <xdr:colOff>67733</xdr:colOff>
      <xdr:row>21</xdr:row>
      <xdr:rowOff>98891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1676400" y="4366091"/>
          <a:ext cx="372533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251970</xdr:colOff>
      <xdr:row>21</xdr:row>
      <xdr:rowOff>97225</xdr:rowOff>
    </xdr:from>
    <xdr:to>
      <xdr:col>12</xdr:col>
      <xdr:colOff>251970</xdr:colOff>
      <xdr:row>24</xdr:row>
      <xdr:rowOff>182297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 flipV="1">
          <a:off x="3299970" y="4364425"/>
          <a:ext cx="0" cy="69467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3036347" y="477520"/>
          <a:ext cx="603322" cy="3822689"/>
          <a:chOff x="3039217" y="322189"/>
          <a:chExt cx="594111" cy="3834356"/>
        </a:xfrm>
      </xdr:grpSpPr>
      <xdr:sp macro="" textlink="">
        <xdr:nvSpPr>
          <xdr:cNvPr id="7" name="Shape 27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9" name="Shape 27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" name="Shape 26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0400-00000B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12" name="Shape 27">
                <a:extLst>
                  <a:ext uri="{FF2B5EF4-FFF2-40B4-BE49-F238E27FC236}">
                    <a16:creationId xmlns:a16="http://schemas.microsoft.com/office/drawing/2014/main" id="{00000000-0008-0000-0400-00000C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00000000-0008-0000-0400-00000D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14" name="Oval 13">
                  <a:extLst>
                    <a:ext uri="{FF2B5EF4-FFF2-40B4-BE49-F238E27FC236}">
                      <a16:creationId xmlns:a16="http://schemas.microsoft.com/office/drawing/2014/main" id="{00000000-0008-0000-0400-00000E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15" name="Group 14">
                  <a:extLst>
                    <a:ext uri="{FF2B5EF4-FFF2-40B4-BE49-F238E27FC236}">
                      <a16:creationId xmlns:a16="http://schemas.microsoft.com/office/drawing/2014/main" id="{00000000-0008-0000-0400-00000F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16" name="Shape 22">
                    <a:extLst>
                      <a:ext uri="{FF2B5EF4-FFF2-40B4-BE49-F238E27FC236}">
                        <a16:creationId xmlns:a16="http://schemas.microsoft.com/office/drawing/2014/main" id="{00000000-0008-0000-0400-000010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:ma14="http://schemas.microsoft.com/office/mac/drawingml/2011/main" xmlns="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17" name="Group 16">
                    <a:extLst>
                      <a:ext uri="{FF2B5EF4-FFF2-40B4-BE49-F238E27FC236}">
                        <a16:creationId xmlns:a16="http://schemas.microsoft.com/office/drawing/2014/main" id="{00000000-0008-0000-0400-000011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18" name="Shape 18">
                      <a:extLst>
                        <a:ext uri="{FF2B5EF4-FFF2-40B4-BE49-F238E27FC236}">
                          <a16:creationId xmlns:a16="http://schemas.microsoft.com/office/drawing/2014/main" id="{00000000-0008-0000-0400-000012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9" name="Shape 18">
                      <a:extLst>
                        <a:ext uri="{FF2B5EF4-FFF2-40B4-BE49-F238E27FC236}">
                          <a16:creationId xmlns:a16="http://schemas.microsoft.com/office/drawing/2014/main" id="{00000000-0008-0000-0400-000013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20" name="Straight Connector 19">
                      <a:extLst>
                        <a:ext uri="{FF2B5EF4-FFF2-40B4-BE49-F238E27FC236}">
                          <a16:creationId xmlns:a16="http://schemas.microsoft.com/office/drawing/2014/main" id="{00000000-0008-0000-0400-000014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1" name="Straight Connector 20">
                      <a:extLst>
                        <a:ext uri="{FF2B5EF4-FFF2-40B4-BE49-F238E27FC236}">
                          <a16:creationId xmlns:a16="http://schemas.microsoft.com/office/drawing/2014/main" id="{00000000-0008-0000-0400-000015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" name="Straight Connector 21">
                      <a:extLst>
                        <a:ext uri="{FF2B5EF4-FFF2-40B4-BE49-F238E27FC236}">
                          <a16:creationId xmlns:a16="http://schemas.microsoft.com/office/drawing/2014/main" id="{00000000-0008-0000-0400-000016000000}"/>
                        </a:ext>
                      </a:extLst>
                    </xdr:cNvPr>
                    <xdr:cNvCxnSpPr>
                      <a:endCxn id="19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3" name="Rectangle 22">
                      <a:extLst>
                        <a:ext uri="{FF2B5EF4-FFF2-40B4-BE49-F238E27FC236}">
                          <a16:creationId xmlns:a16="http://schemas.microsoft.com/office/drawing/2014/main" id="{00000000-0008-0000-0400-000017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24" name="3PR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075429" y="477520"/>
          <a:ext cx="603322" cy="3822688"/>
          <a:chOff x="10975311" y="1118934"/>
          <a:chExt cx="590576" cy="4001288"/>
        </a:xfrm>
      </xdr:grpSpPr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33" name="Oval 32">
              <a:extLst>
                <a:ext uri="{FF2B5EF4-FFF2-40B4-BE49-F238E27FC236}">
                  <a16:creationId xmlns:a16="http://schemas.microsoft.com/office/drawing/2014/main" id="{00000000-0008-0000-0400-000021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34" name="Shape 27">
              <a:extLst>
                <a:ext uri="{FF2B5EF4-FFF2-40B4-BE49-F238E27FC236}">
                  <a16:creationId xmlns:a16="http://schemas.microsoft.com/office/drawing/2014/main" id="{00000000-0008-0000-0400-000022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5" name="Shape 22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:ma14="http://schemas.microsoft.com/office/mac/drawingml/2011/main" xmlns="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36" name="Shape 27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7" name="Shape 27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8" name="Shape 26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7" name="Shape 18">
              <a:extLst>
                <a:ext uri="{FF2B5EF4-FFF2-40B4-BE49-F238E27FC236}">
                  <a16:creationId xmlns:a16="http://schemas.microsoft.com/office/drawing/2014/main" id="{00000000-0008-0000-0400-00001B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8" name="Shape 18">
              <a:extLst>
                <a:ext uri="{FF2B5EF4-FFF2-40B4-BE49-F238E27FC236}">
                  <a16:creationId xmlns:a16="http://schemas.microsoft.com/office/drawing/2014/main" id="{00000000-0008-0000-0400-00001C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9" name="Straight Connector 28">
              <a:extLst>
                <a:ext uri="{FF2B5EF4-FFF2-40B4-BE49-F238E27FC236}">
                  <a16:creationId xmlns:a16="http://schemas.microsoft.com/office/drawing/2014/main" id="{00000000-0008-0000-0400-00001D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" name="Straight Connector 29">
              <a:extLst>
                <a:ext uri="{FF2B5EF4-FFF2-40B4-BE49-F238E27FC236}">
                  <a16:creationId xmlns:a16="http://schemas.microsoft.com/office/drawing/2014/main" id="{00000000-0008-0000-0400-00001E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" name="Straight Connector 30">
              <a:extLst>
                <a:ext uri="{FF2B5EF4-FFF2-40B4-BE49-F238E27FC236}">
                  <a16:creationId xmlns:a16="http://schemas.microsoft.com/office/drawing/2014/main" id="{00000000-0008-0000-0400-00001F000000}"/>
                </a:ext>
              </a:extLst>
            </xdr:cNvPr>
            <xdr:cNvCxnSpPr>
              <a:endCxn id="28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400-000020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7</xdr:col>
      <xdr:colOff>219314</xdr:colOff>
      <xdr:row>2</xdr:row>
      <xdr:rowOff>74390</xdr:rowOff>
    </xdr:from>
    <xdr:to>
      <xdr:col>10</xdr:col>
      <xdr:colOff>58684</xdr:colOff>
      <xdr:row>21</xdr:row>
      <xdr:rowOff>42683</xdr:rowOff>
    </xdr:to>
    <xdr:grpSp>
      <xdr:nvGrpSpPr>
        <xdr:cNvPr id="39" name="3PL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pSpPr/>
      </xdr:nvGrpSpPr>
      <xdr:grpSpPr>
        <a:xfrm>
          <a:off x="1997314" y="480790"/>
          <a:ext cx="601370" cy="3829093"/>
          <a:chOff x="2012467" y="325459"/>
          <a:chExt cx="592158" cy="3840760"/>
        </a:xfrm>
      </xdr:grpSpPr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GrpSpPr/>
        </xdr:nvGrpSpPr>
        <xdr:grpSpPr>
          <a:xfrm>
            <a:off x="2012467" y="325459"/>
            <a:ext cx="592158" cy="3836226"/>
            <a:chOff x="10975311" y="1118934"/>
            <a:chExt cx="590576" cy="4000451"/>
          </a:xfrm>
        </xdr:grpSpPr>
        <xdr:grpSp>
          <xdr:nvGrpSpPr>
            <xdr:cNvPr id="42" name="Group 41">
              <a:extLst>
                <a:ext uri="{FF2B5EF4-FFF2-40B4-BE49-F238E27FC236}">
                  <a16:creationId xmlns:a16="http://schemas.microsoft.com/office/drawing/2014/main" id="{00000000-0008-0000-0400-00002A000000}"/>
                </a:ext>
              </a:extLst>
            </xdr:cNvPr>
            <xdr:cNvGrpSpPr/>
          </xdr:nvGrpSpPr>
          <xdr:grpSpPr>
            <a:xfrm>
              <a:off x="10975311" y="1118934"/>
              <a:ext cx="590576" cy="3157044"/>
              <a:chOff x="10975311" y="1118934"/>
              <a:chExt cx="590576" cy="3157044"/>
            </a:xfrm>
          </xdr:grpSpPr>
          <xdr:sp macro="" textlink="">
            <xdr:nvSpPr>
              <xdr:cNvPr id="49" name="Oval 48">
                <a:extLst>
                  <a:ext uri="{FF2B5EF4-FFF2-40B4-BE49-F238E27FC236}">
                    <a16:creationId xmlns:a16="http://schemas.microsoft.com/office/drawing/2014/main" id="{00000000-0008-0000-0400-000031000000}"/>
                  </a:ext>
                </a:extLst>
              </xdr:cNvPr>
              <xdr:cNvSpPr/>
            </xdr:nvSpPr>
            <xdr:spPr>
              <a:xfrm>
                <a:off x="10975311" y="2769957"/>
                <a:ext cx="590576" cy="590576"/>
              </a:xfrm>
              <a:prstGeom prst="ellipse">
                <a:avLst/>
              </a:prstGeom>
              <a:solidFill>
                <a:schemeClr val="bg1"/>
              </a:solidFill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50" name="Shape 27">
                <a:extLst>
                  <a:ext uri="{FF2B5EF4-FFF2-40B4-BE49-F238E27FC236}">
                    <a16:creationId xmlns:a16="http://schemas.microsoft.com/office/drawing/2014/main" id="{00000000-0008-0000-0400-000032000000}"/>
                  </a:ext>
                </a:extLst>
              </xdr:cNvPr>
              <xdr:cNvSpPr/>
            </xdr:nvSpPr>
            <xdr:spPr>
              <a:xfrm>
                <a:off x="11222694" y="111893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1" name="Shape 22">
                <a:extLst>
                  <a:ext uri="{FF2B5EF4-FFF2-40B4-BE49-F238E27FC236}">
                    <a16:creationId xmlns:a16="http://schemas.microsoft.com/office/drawing/2014/main" id="{00000000-0008-0000-0400-000033000000}"/>
                  </a:ext>
                </a:extLst>
              </xdr:cNvPr>
              <xdr:cNvSpPr/>
            </xdr:nvSpPr>
            <xdr:spPr>
              <a:xfrm>
                <a:off x="11173983" y="2958107"/>
                <a:ext cx="229894" cy="214279"/>
              </a:xfrm>
              <a:prstGeom prst="rect">
                <a:avLst/>
              </a:prstGeom>
              <a:noFill/>
              <a:ln w="12700" cap="flat">
                <a:noFill/>
                <a:miter lim="400000"/>
              </a:ln>
              <a:effectLst/>
              <a:extLst>
                <a:ext uri="{C572A759-6A51-4108-AA02-DFA0A04FC94B}">
                  <ma14:wrappingTextBoxFlag xmlns:ma14="http://schemas.microsoft.com/office/mac/drawingml/2011/main" xmlns="" val="1"/>
                </a:ext>
              </a:extLst>
            </xdr:spPr>
            <xdr:txBody>
              <a:bodyPr wrap="square" lIns="50800" tIns="50800" rIns="50800" bIns="50800" numCol="1" anchor="ctr">
                <a:noAutofit/>
              </a:bodyPr>
              <a:lstStyle/>
              <a:p>
                <a:pPr marL="0" marR="0" lvl="0" indent="0" algn="ctr" defTabSz="45720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r>
                  <a:rPr sz="1400" b="1" i="0" u="none" strike="noStrike" cap="none" spc="0" baseline="0">
                    <a:ln>
                      <a:noFill/>
                    </a:ln>
                    <a:solidFill>
                      <a:srgbClr val="000000"/>
                    </a:solidFill>
                    <a:uFillTx/>
                    <a:latin typeface="+mn-lt"/>
                    <a:ea typeface="+mn-ea"/>
                    <a:cs typeface="+mn-cs"/>
                    <a:sym typeface="Helvetica"/>
                  </a:rPr>
                  <a:t>M</a:t>
                </a:r>
              </a:p>
            </xdr:txBody>
          </xdr:sp>
          <xdr:sp macro="" textlink="">
            <xdr:nvSpPr>
              <xdr:cNvPr id="52" name="Shape 27">
                <a:extLst>
                  <a:ext uri="{FF2B5EF4-FFF2-40B4-BE49-F238E27FC236}">
                    <a16:creationId xmlns:a16="http://schemas.microsoft.com/office/drawing/2014/main" id="{00000000-0008-0000-0400-000034000000}"/>
                  </a:ext>
                </a:extLst>
              </xdr:cNvPr>
              <xdr:cNvSpPr/>
            </xdr:nvSpPr>
            <xdr:spPr>
              <a:xfrm>
                <a:off x="11220477" y="377391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3" name="Shape 27">
                <a:extLst>
                  <a:ext uri="{FF2B5EF4-FFF2-40B4-BE49-F238E27FC236}">
                    <a16:creationId xmlns:a16="http://schemas.microsoft.com/office/drawing/2014/main" id="{00000000-0008-0000-0400-000035000000}"/>
                  </a:ext>
                </a:extLst>
              </xdr:cNvPr>
              <xdr:cNvSpPr/>
            </xdr:nvSpPr>
            <xdr:spPr>
              <a:xfrm>
                <a:off x="11221315" y="4171951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4" name="Shape 26">
                <a:extLst>
                  <a:ext uri="{FF2B5EF4-FFF2-40B4-BE49-F238E27FC236}">
                    <a16:creationId xmlns:a16="http://schemas.microsoft.com/office/drawing/2014/main" id="{00000000-0008-0000-0400-000036000000}"/>
                  </a:ext>
                </a:extLst>
              </xdr:cNvPr>
              <xdr:cNvSpPr/>
            </xdr:nvSpPr>
            <xdr:spPr>
              <a:xfrm flipH="1">
                <a:off x="11283191" y="3956253"/>
                <a:ext cx="230430" cy="21475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grpSp>
          <xdr:nvGrpSpPr>
            <xdr:cNvPr id="43" name="Group 42">
              <a:extLst>
                <a:ext uri="{FF2B5EF4-FFF2-40B4-BE49-F238E27FC236}">
                  <a16:creationId xmlns:a16="http://schemas.microsoft.com/office/drawing/2014/main" id="{00000000-0008-0000-0400-00002B000000}"/>
                </a:ext>
              </a:extLst>
            </xdr:cNvPr>
            <xdr:cNvGrpSpPr/>
          </xdr:nvGrpSpPr>
          <xdr:grpSpPr>
            <a:xfrm>
              <a:off x="11022345" y="1228189"/>
              <a:ext cx="502566" cy="3891196"/>
              <a:chOff x="11022345" y="1228189"/>
              <a:chExt cx="502566" cy="3891196"/>
            </a:xfrm>
          </xdr:grpSpPr>
          <xdr:sp macro="" textlink="">
            <xdr:nvSpPr>
              <xdr:cNvPr id="44" name="Shape 18">
                <a:extLst>
                  <a:ext uri="{FF2B5EF4-FFF2-40B4-BE49-F238E27FC236}">
                    <a16:creationId xmlns:a16="http://schemas.microsoft.com/office/drawing/2014/main" id="{00000000-0008-0000-0400-00002C000000}"/>
                  </a:ext>
                </a:extLst>
              </xdr:cNvPr>
              <xdr:cNvSpPr/>
            </xdr:nvSpPr>
            <xdr:spPr>
              <a:xfrm>
                <a:off x="11267984" y="4275144"/>
                <a:ext cx="0" cy="84424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  <a:tailEnd type="triangle" w="med" len="med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45" name="Straight Connector 44">
                <a:extLst>
                  <a:ext uri="{FF2B5EF4-FFF2-40B4-BE49-F238E27FC236}">
                    <a16:creationId xmlns:a16="http://schemas.microsoft.com/office/drawing/2014/main" id="{00000000-0008-0000-0400-00002D000000}"/>
                  </a:ext>
                </a:extLst>
              </xdr:cNvPr>
              <xdr:cNvCxnSpPr/>
            </xdr:nvCxnSpPr>
            <xdr:spPr>
              <a:xfrm>
                <a:off x="11267984" y="1228189"/>
                <a:ext cx="1" cy="154177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6" name="Straight Connector 45">
                <a:extLst>
                  <a:ext uri="{FF2B5EF4-FFF2-40B4-BE49-F238E27FC236}">
                    <a16:creationId xmlns:a16="http://schemas.microsoft.com/office/drawing/2014/main" id="{00000000-0008-0000-0400-00002E000000}"/>
                  </a:ext>
                </a:extLst>
              </xdr:cNvPr>
              <xdr:cNvCxnSpPr/>
            </xdr:nvCxnSpPr>
            <xdr:spPr>
              <a:xfrm>
                <a:off x="11268821" y="3361371"/>
                <a:ext cx="0" cy="417271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7" name="Straight Connector 46">
                <a:extLst>
                  <a:ext uri="{FF2B5EF4-FFF2-40B4-BE49-F238E27FC236}">
                    <a16:creationId xmlns:a16="http://schemas.microsoft.com/office/drawing/2014/main" id="{00000000-0008-0000-0400-00002F000000}"/>
                  </a:ext>
                </a:extLst>
              </xdr:cNvPr>
              <xdr:cNvCxnSpPr>
                <a:cxnSpLocks/>
              </xdr:cNvCxnSpPr>
            </xdr:nvCxnSpPr>
            <xdr:spPr>
              <a:xfrm>
                <a:off x="11267984" y="4688862"/>
                <a:ext cx="256927" cy="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8" name="Rectangle 47">
                <a:extLst>
                  <a:ext uri="{FF2B5EF4-FFF2-40B4-BE49-F238E27FC236}">
                    <a16:creationId xmlns:a16="http://schemas.microsoft.com/office/drawing/2014/main" id="{00000000-0008-0000-0400-000030000000}"/>
                  </a:ext>
                </a:extLst>
              </xdr:cNvPr>
              <xdr:cNvSpPr/>
            </xdr:nvSpPr>
            <xdr:spPr>
              <a:xfrm>
                <a:off x="11022345" y="1630618"/>
                <a:ext cx="501729" cy="820535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sp macro="" textlink="">
        <xdr:nvSpPr>
          <xdr:cNvPr id="41" name="Shape 18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/>
        </xdr:nvSpPr>
        <xdr:spPr>
          <a:xfrm>
            <a:off x="2567021" y="3752460"/>
            <a:ext cx="0" cy="413759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2</xdr:col>
      <xdr:colOff>8208</xdr:colOff>
      <xdr:row>3</xdr:row>
      <xdr:rowOff>162221</xdr:rowOff>
    </xdr:from>
    <xdr:to>
      <xdr:col>21</xdr:col>
      <xdr:colOff>226786</xdr:colOff>
      <xdr:row>27</xdr:row>
      <xdr:rowOff>192768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GrpSpPr/>
      </xdr:nvGrpSpPr>
      <xdr:grpSpPr>
        <a:xfrm>
          <a:off x="516208" y="771821"/>
          <a:ext cx="5044578" cy="4907347"/>
          <a:chOff x="497840" y="771821"/>
          <a:chExt cx="4684400" cy="4714624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400-000038000000}"/>
              </a:ext>
            </a:extLst>
          </xdr:cNvPr>
          <xdr:cNvSpPr/>
        </xdr:nvSpPr>
        <xdr:spPr>
          <a:xfrm>
            <a:off x="497840" y="771821"/>
            <a:ext cx="4684400" cy="471462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 txBox="1"/>
        </xdr:nvSpPr>
        <xdr:spPr>
          <a:xfrm>
            <a:off x="536903" y="1145658"/>
            <a:ext cx="1574800" cy="2777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Service Fuses</a:t>
            </a:r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 txBox="1"/>
        </xdr:nvSpPr>
        <xdr:spPr>
          <a:xfrm>
            <a:off x="541851" y="1835505"/>
            <a:ext cx="2919045" cy="11630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Metering</a:t>
            </a:r>
            <a:r>
              <a:rPr lang="en-GB" sz="1200" baseline="0"/>
              <a:t> as</a:t>
            </a:r>
          </a:p>
          <a:p>
            <a:pPr algn="l"/>
            <a:r>
              <a:rPr lang="en-GB" sz="1200" baseline="0"/>
              <a:t>agreed with </a:t>
            </a:r>
          </a:p>
          <a:p>
            <a:pPr algn="l"/>
            <a:r>
              <a:rPr lang="en-GB" sz="1200" baseline="0"/>
              <a:t>the electricity</a:t>
            </a:r>
          </a:p>
          <a:p>
            <a:pPr algn="l"/>
            <a:r>
              <a:rPr lang="en-GB" sz="1200" baseline="0"/>
              <a:t>distributer</a:t>
            </a:r>
            <a:endParaRPr lang="en-GB" sz="1200"/>
          </a:p>
          <a:p>
            <a:pPr algn="l"/>
            <a:endParaRPr lang="en-GB" sz="1200"/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400-00003B000000}"/>
              </a:ext>
            </a:extLst>
          </xdr:cNvPr>
          <xdr:cNvSpPr txBox="1"/>
        </xdr:nvSpPr>
        <xdr:spPr>
          <a:xfrm>
            <a:off x="549438" y="2949042"/>
            <a:ext cx="1574800" cy="5847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Main Switch</a:t>
            </a:r>
          </a:p>
          <a:p>
            <a:pPr algn="l"/>
            <a:r>
              <a:rPr lang="en-GB" sz="1200"/>
              <a:t>Grid</a:t>
            </a:r>
            <a:r>
              <a:rPr lang="en-GB" sz="1200" baseline="0"/>
              <a:t> Supply</a:t>
            </a:r>
            <a:endParaRPr lang="en-GB" sz="1200"/>
          </a:p>
          <a:p>
            <a:pPr algn="l"/>
            <a:endParaRPr lang="en-GB" sz="1200"/>
          </a:p>
        </xdr:txBody>
      </xdr:sp>
    </xdr:grpSp>
    <xdr:clientData/>
  </xdr:twoCellAnchor>
  <xdr:twoCellAnchor>
    <xdr:from>
      <xdr:col>64</xdr:col>
      <xdr:colOff>147837</xdr:colOff>
      <xdr:row>20</xdr:row>
      <xdr:rowOff>95778</xdr:rowOff>
    </xdr:from>
    <xdr:to>
      <xdr:col>68</xdr:col>
      <xdr:colOff>151348</xdr:colOff>
      <xdr:row>23</xdr:row>
      <xdr:rowOff>159929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16488504" y="4159778"/>
          <a:ext cx="1019511" cy="673751"/>
          <a:chOff x="10475279" y="4657597"/>
          <a:chExt cx="1019511" cy="673774"/>
        </a:xfrm>
      </xdr:grpSpPr>
      <xdr:sp macro="" textlink="">
        <xdr:nvSpPr>
          <xdr:cNvPr id="61" name="Shape 18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 flipH="1">
            <a:off x="10475279" y="4676123"/>
            <a:ext cx="0" cy="292548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10566246" y="4657597"/>
            <a:ext cx="928544" cy="6737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Backup</a:t>
            </a:r>
          </a:p>
          <a:p>
            <a:r>
              <a:rPr lang="en-GB" sz="1100"/>
              <a:t>Loads</a:t>
            </a:r>
          </a:p>
          <a:p>
            <a:endParaRPr lang="en-GB" sz="1800"/>
          </a:p>
        </xdr:txBody>
      </xdr:sp>
    </xdr:grpSp>
    <xdr:clientData/>
  </xdr:twoCellAnchor>
  <xdr:twoCellAnchor>
    <xdr:from>
      <xdr:col>13</xdr:col>
      <xdr:colOff>18802</xdr:colOff>
      <xdr:row>62</xdr:row>
      <xdr:rowOff>161824</xdr:rowOff>
    </xdr:from>
    <xdr:to>
      <xdr:col>56</xdr:col>
      <xdr:colOff>0</xdr:colOff>
      <xdr:row>62</xdr:row>
      <xdr:rowOff>161824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CxnSpPr/>
      </xdr:nvCxnSpPr>
      <xdr:spPr>
        <a:xfrm>
          <a:off x="3320802" y="12760224"/>
          <a:ext cx="10933678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221951</xdr:colOff>
      <xdr:row>42</xdr:row>
      <xdr:rowOff>173218</xdr:rowOff>
    </xdr:from>
    <xdr:to>
      <xdr:col>13</xdr:col>
      <xdr:colOff>65334</xdr:colOff>
      <xdr:row>43</xdr:row>
      <xdr:rowOff>78335</xdr:rowOff>
    </xdr:to>
    <xdr:sp macro="" textlink="">
      <xdr:nvSpPr>
        <xdr:cNvPr id="66" name="Shape 27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/>
      </xdr:nvSpPr>
      <xdr:spPr>
        <a:xfrm>
          <a:off x="3269951" y="8707618"/>
          <a:ext cx="97383" cy="108317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222738</xdr:colOff>
      <xdr:row>44</xdr:row>
      <xdr:rowOff>54733</xdr:rowOff>
    </xdr:from>
    <xdr:to>
      <xdr:col>13</xdr:col>
      <xdr:colOff>66121</xdr:colOff>
      <xdr:row>44</xdr:row>
      <xdr:rowOff>154475</xdr:rowOff>
    </xdr:to>
    <xdr:sp macro="" textlink="">
      <xdr:nvSpPr>
        <xdr:cNvPr id="67" name="Shape 27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/>
      </xdr:nvSpPr>
      <xdr:spPr>
        <a:xfrm>
          <a:off x="3270738" y="8995533"/>
          <a:ext cx="97383" cy="99742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17943</xdr:colOff>
      <xdr:row>31</xdr:row>
      <xdr:rowOff>132517</xdr:rowOff>
    </xdr:from>
    <xdr:to>
      <xdr:col>13</xdr:col>
      <xdr:colOff>17944</xdr:colOff>
      <xdr:row>43</xdr:row>
      <xdr:rowOff>19891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CxnSpPr>
          <a:endCxn id="66" idx="0"/>
        </xdr:cNvCxnSpPr>
      </xdr:nvCxnSpPr>
      <xdr:spPr>
        <a:xfrm>
          <a:off x="3319943" y="6431717"/>
          <a:ext cx="1" cy="23257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4008</xdr:colOff>
      <xdr:row>30</xdr:row>
      <xdr:rowOff>112543</xdr:rowOff>
    </xdr:from>
    <xdr:to>
      <xdr:col>18</xdr:col>
      <xdr:colOff>193429</xdr:colOff>
      <xdr:row>45</xdr:row>
      <xdr:rowOff>56598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/>
      </xdr:nvSpPr>
      <xdr:spPr>
        <a:xfrm>
          <a:off x="1782008" y="6208543"/>
          <a:ext cx="2983421" cy="2992055"/>
        </a:xfrm>
        <a:prstGeom prst="rect">
          <a:avLst/>
        </a:prstGeom>
        <a:noFill/>
        <a:ln w="1270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14248</xdr:colOff>
      <xdr:row>27</xdr:row>
      <xdr:rowOff>180487</xdr:rowOff>
    </xdr:from>
    <xdr:to>
      <xdr:col>13</xdr:col>
      <xdr:colOff>14248</xdr:colOff>
      <xdr:row>32</xdr:row>
      <xdr:rowOff>201264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CxnSpPr/>
      </xdr:nvCxnSpPr>
      <xdr:spPr>
        <a:xfrm>
          <a:off x="3316248" y="5666887"/>
          <a:ext cx="0" cy="103677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151437</xdr:colOff>
      <xdr:row>22</xdr:row>
      <xdr:rowOff>118462</xdr:rowOff>
    </xdr:from>
    <xdr:to>
      <xdr:col>13</xdr:col>
      <xdr:colOff>116077</xdr:colOff>
      <xdr:row>23</xdr:row>
      <xdr:rowOff>138639</xdr:rowOff>
    </xdr:to>
    <xdr:sp macro="" textlink="">
      <xdr:nvSpPr>
        <xdr:cNvPr id="71" name="Shape 26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/>
      </xdr:nvSpPr>
      <xdr:spPr>
        <a:xfrm flipH="1">
          <a:off x="3272883" y="4494607"/>
          <a:ext cx="224760" cy="219092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135370</xdr:colOff>
      <xdr:row>43</xdr:row>
      <xdr:rowOff>157360</xdr:rowOff>
    </xdr:from>
    <xdr:to>
      <xdr:col>16</xdr:col>
      <xdr:colOff>211785</xdr:colOff>
      <xdr:row>43</xdr:row>
      <xdr:rowOff>157361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CxnSpPr/>
      </xdr:nvCxnSpPr>
      <xdr:spPr>
        <a:xfrm flipV="1">
          <a:off x="3437370" y="8894960"/>
          <a:ext cx="838415" cy="1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245796</xdr:colOff>
      <xdr:row>33</xdr:row>
      <xdr:rowOff>151631</xdr:rowOff>
    </xdr:from>
    <xdr:to>
      <xdr:col>16</xdr:col>
      <xdr:colOff>160742</xdr:colOff>
      <xdr:row>35</xdr:row>
      <xdr:rowOff>202002</xdr:rowOff>
    </xdr:to>
    <xdr:sp macro="" textlink="">
      <xdr:nvSpPr>
        <xdr:cNvPr id="74" name="Shape 27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>
          <a:off x="3801796" y="6857231"/>
          <a:ext cx="422946" cy="456771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11</xdr:col>
      <xdr:colOff>202829</xdr:colOff>
      <xdr:row>33</xdr:row>
      <xdr:rowOff>58522</xdr:rowOff>
    </xdr:from>
    <xdr:to>
      <xdr:col>17</xdr:col>
      <xdr:colOff>230115</xdr:colOff>
      <xdr:row>37</xdr:row>
      <xdr:rowOff>69438</xdr:rowOff>
    </xdr:to>
    <xdr:sp macro="" textlink="">
      <xdr:nvSpPr>
        <xdr:cNvPr id="75" name="Rectangle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/>
      </xdr:nvSpPr>
      <xdr:spPr>
        <a:xfrm>
          <a:off x="2996829" y="6764122"/>
          <a:ext cx="1551286" cy="823716"/>
        </a:xfrm>
        <a:prstGeom prst="rect">
          <a:avLst/>
        </a:prstGeom>
        <a:noFill/>
        <a:ln w="635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225878</xdr:colOff>
      <xdr:row>37</xdr:row>
      <xdr:rowOff>68908</xdr:rowOff>
    </xdr:from>
    <xdr:to>
      <xdr:col>16</xdr:col>
      <xdr:colOff>225878</xdr:colOff>
      <xdr:row>43</xdr:row>
      <xdr:rowOff>166701</xdr:rowOff>
    </xdr:to>
    <xdr:cxnSp macro="">
      <xdr:nvCxnSpPr>
        <xdr:cNvPr id="76" name="Straight Connector 7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CxnSpPr/>
      </xdr:nvCxnSpPr>
      <xdr:spPr>
        <a:xfrm>
          <a:off x="4289878" y="7587308"/>
          <a:ext cx="0" cy="1316993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236387</xdr:colOff>
      <xdr:row>35</xdr:row>
      <xdr:rowOff>34262</xdr:rowOff>
    </xdr:from>
    <xdr:to>
      <xdr:col>14</xdr:col>
      <xdr:colOff>245763</xdr:colOff>
      <xdr:row>35</xdr:row>
      <xdr:rowOff>34262</xdr:rowOff>
    </xdr:to>
    <xdr:cxnSp macro="">
      <xdr:nvCxnSpPr>
        <xdr:cNvPr id="77" name="Straight Connector 76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CxnSpPr/>
      </xdr:nvCxnSpPr>
      <xdr:spPr>
        <a:xfrm flipH="1">
          <a:off x="3538387" y="7146262"/>
          <a:ext cx="263376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32723</xdr:colOff>
      <xdr:row>33</xdr:row>
      <xdr:rowOff>175920</xdr:rowOff>
    </xdr:from>
    <xdr:to>
      <xdr:col>16</xdr:col>
      <xdr:colOff>107087</xdr:colOff>
      <xdr:row>35</xdr:row>
      <xdr:rowOff>70052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 txBox="1"/>
      </xdr:nvSpPr>
      <xdr:spPr>
        <a:xfrm>
          <a:off x="3842723" y="6881520"/>
          <a:ext cx="328364" cy="300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/>
            <a:t>M</a:t>
          </a:r>
        </a:p>
      </xdr:txBody>
    </xdr:sp>
    <xdr:clientData/>
  </xdr:twoCellAnchor>
  <xdr:twoCellAnchor>
    <xdr:from>
      <xdr:col>14</xdr:col>
      <xdr:colOff>100162</xdr:colOff>
      <xdr:row>35</xdr:row>
      <xdr:rowOff>151016</xdr:rowOff>
    </xdr:from>
    <xdr:to>
      <xdr:col>17</xdr:col>
      <xdr:colOff>185284</xdr:colOff>
      <xdr:row>38</xdr:row>
      <xdr:rowOff>28167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3656162" y="7263016"/>
          <a:ext cx="847122" cy="4867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/>
            <a:t>Tesla Energy Meter</a:t>
          </a:r>
        </a:p>
        <a:p>
          <a:endParaRPr lang="en-GB" sz="1100"/>
        </a:p>
      </xdr:txBody>
    </xdr:sp>
    <xdr:clientData/>
  </xdr:twoCellAnchor>
  <xdr:twoCellAnchor>
    <xdr:from>
      <xdr:col>12</xdr:col>
      <xdr:colOff>16585</xdr:colOff>
      <xdr:row>34</xdr:row>
      <xdr:rowOff>159420</xdr:rowOff>
    </xdr:from>
    <xdr:to>
      <xdr:col>14</xdr:col>
      <xdr:colOff>8182</xdr:colOff>
      <xdr:row>35</xdr:row>
      <xdr:rowOff>167209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 txBox="1"/>
      </xdr:nvSpPr>
      <xdr:spPr>
        <a:xfrm>
          <a:off x="3064585" y="7068220"/>
          <a:ext cx="499597" cy="210989"/>
        </a:xfrm>
        <a:prstGeom prst="rect">
          <a:avLst/>
        </a:prstGeom>
        <a:solidFill>
          <a:schemeClr val="bg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800"/>
            <a:t>NET CT</a:t>
          </a:r>
        </a:p>
      </xdr:txBody>
    </xdr:sp>
    <xdr:clientData/>
  </xdr:twoCellAnchor>
  <xdr:twoCellAnchor>
    <xdr:from>
      <xdr:col>7</xdr:col>
      <xdr:colOff>73977</xdr:colOff>
      <xdr:row>33</xdr:row>
      <xdr:rowOff>150038</xdr:rowOff>
    </xdr:from>
    <xdr:to>
      <xdr:col>11</xdr:col>
      <xdr:colOff>75565</xdr:colOff>
      <xdr:row>37</xdr:row>
      <xdr:rowOff>152400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 txBox="1"/>
      </xdr:nvSpPr>
      <xdr:spPr>
        <a:xfrm>
          <a:off x="1851977" y="6855638"/>
          <a:ext cx="1017588" cy="8151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/>
            <a:t>Tesla Backup Gateway</a:t>
          </a:r>
        </a:p>
        <a:p>
          <a:endParaRPr lang="en-GB" sz="1800"/>
        </a:p>
      </xdr:txBody>
    </xdr:sp>
    <xdr:clientData/>
  </xdr:twoCellAnchor>
  <xdr:twoCellAnchor>
    <xdr:from>
      <xdr:col>13</xdr:col>
      <xdr:colOff>17230</xdr:colOff>
      <xdr:row>44</xdr:row>
      <xdr:rowOff>155781</xdr:rowOff>
    </xdr:from>
    <xdr:to>
      <xdr:col>13</xdr:col>
      <xdr:colOff>17230</xdr:colOff>
      <xdr:row>62</xdr:row>
      <xdr:rowOff>165653</xdr:rowOff>
    </xdr:to>
    <xdr:cxnSp macro="">
      <xdr:nvCxnSpPr>
        <xdr:cNvPr id="82" name="Straight Connector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CxnSpPr/>
      </xdr:nvCxnSpPr>
      <xdr:spPr>
        <a:xfrm>
          <a:off x="3247447" y="9266651"/>
          <a:ext cx="0" cy="373704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163518</xdr:colOff>
      <xdr:row>14</xdr:row>
      <xdr:rowOff>88900</xdr:rowOff>
    </xdr:from>
    <xdr:to>
      <xdr:col>60</xdr:col>
      <xdr:colOff>15622</xdr:colOff>
      <xdr:row>27</xdr:row>
      <xdr:rowOff>165098</xdr:rowOff>
    </xdr:to>
    <xdr:grpSp>
      <xdr:nvGrpSpPr>
        <xdr:cNvPr id="83" name="Group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GrpSpPr/>
      </xdr:nvGrpSpPr>
      <xdr:grpSpPr>
        <a:xfrm>
          <a:off x="14980185" y="2933700"/>
          <a:ext cx="360104" cy="2717798"/>
          <a:chOff x="9530059" y="4262519"/>
          <a:chExt cx="369906" cy="2718320"/>
        </a:xfrm>
      </xdr:grpSpPr>
      <xdr:sp macro="" textlink="">
        <xdr:nvSpPr>
          <xdr:cNvPr id="84" name="Shape 27">
            <a:extLst>
              <a:ext uri="{FF2B5EF4-FFF2-40B4-BE49-F238E27FC236}">
                <a16:creationId xmlns:a16="http://schemas.microsoft.com/office/drawing/2014/main" id="{00000000-0008-0000-0400-00005400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5" name="Shape 27">
            <a:extLst>
              <a:ext uri="{FF2B5EF4-FFF2-40B4-BE49-F238E27FC236}">
                <a16:creationId xmlns:a16="http://schemas.microsoft.com/office/drawing/2014/main" id="{00000000-0008-0000-0400-00005500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6" name="Shape 26">
            <a:extLst>
              <a:ext uri="{FF2B5EF4-FFF2-40B4-BE49-F238E27FC236}">
                <a16:creationId xmlns:a16="http://schemas.microsoft.com/office/drawing/2014/main" id="{00000000-0008-0000-0400-00005600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7" name="Shape 26">
            <a:extLst>
              <a:ext uri="{FF2B5EF4-FFF2-40B4-BE49-F238E27FC236}">
                <a16:creationId xmlns:a16="http://schemas.microsoft.com/office/drawing/2014/main" id="{00000000-0008-0000-0400-00005700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88" name="Straight Connector 87">
            <a:extLst>
              <a:ext uri="{FF2B5EF4-FFF2-40B4-BE49-F238E27FC236}">
                <a16:creationId xmlns:a16="http://schemas.microsoft.com/office/drawing/2014/main" id="{00000000-0008-0000-0400-000058000000}"/>
              </a:ext>
            </a:extLst>
          </xdr:cNvPr>
          <xdr:cNvCxnSpPr/>
        </xdr:nvCxnSpPr>
        <xdr:spPr>
          <a:xfrm>
            <a:off x="9634878" y="4262519"/>
            <a:ext cx="0" cy="46716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9" name="Straight Connector 88">
            <a:extLst>
              <a:ext uri="{FF2B5EF4-FFF2-40B4-BE49-F238E27FC236}">
                <a16:creationId xmlns:a16="http://schemas.microsoft.com/office/drawing/2014/main" id="{00000000-0008-0000-0400-000059000000}"/>
              </a:ext>
            </a:extLst>
          </xdr:cNvPr>
          <xdr:cNvCxnSpPr/>
        </xdr:nvCxnSpPr>
        <xdr:spPr>
          <a:xfrm>
            <a:off x="9651134" y="5019836"/>
            <a:ext cx="0" cy="19610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55</xdr:col>
      <xdr:colOff>246265</xdr:colOff>
      <xdr:row>14</xdr:row>
      <xdr:rowOff>87283</xdr:rowOff>
    </xdr:from>
    <xdr:to>
      <xdr:col>55</xdr:col>
      <xdr:colOff>246265</xdr:colOff>
      <xdr:row>62</xdr:row>
      <xdr:rowOff>175813</xdr:rowOff>
    </xdr:to>
    <xdr:cxnSp macro="">
      <xdr:nvCxnSpPr>
        <xdr:cNvPr id="291" name="Straight Connector 290">
          <a:extLst>
            <a:ext uri="{FF2B5EF4-FFF2-40B4-BE49-F238E27FC236}">
              <a16:creationId xmlns:a16="http://schemas.microsoft.com/office/drawing/2014/main" id="{00000000-0008-0000-0400-000023010000}"/>
            </a:ext>
          </a:extLst>
        </xdr:cNvPr>
        <xdr:cNvCxnSpPr/>
      </xdr:nvCxnSpPr>
      <xdr:spPr>
        <a:xfrm>
          <a:off x="14246745" y="2932083"/>
          <a:ext cx="0" cy="98421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167750</xdr:colOff>
      <xdr:row>14</xdr:row>
      <xdr:rowOff>90267</xdr:rowOff>
    </xdr:from>
    <xdr:to>
      <xdr:col>65</xdr:col>
      <xdr:colOff>147674</xdr:colOff>
      <xdr:row>14</xdr:row>
      <xdr:rowOff>90267</xdr:rowOff>
    </xdr:to>
    <xdr:cxnSp macro="">
      <xdr:nvCxnSpPr>
        <xdr:cNvPr id="292" name="Straight Connector 291">
          <a:extLst>
            <a:ext uri="{FF2B5EF4-FFF2-40B4-BE49-F238E27FC236}">
              <a16:creationId xmlns:a16="http://schemas.microsoft.com/office/drawing/2014/main" id="{00000000-0008-0000-0400-000024010000}"/>
            </a:ext>
          </a:extLst>
        </xdr:cNvPr>
        <xdr:cNvCxnSpPr/>
      </xdr:nvCxnSpPr>
      <xdr:spPr>
        <a:xfrm>
          <a:off x="13812866" y="2984686"/>
          <a:ext cx="2741436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129353</xdr:colOff>
      <xdr:row>43</xdr:row>
      <xdr:rowOff>1104</xdr:rowOff>
    </xdr:from>
    <xdr:to>
      <xdr:col>13</xdr:col>
      <xdr:colOff>129353</xdr:colOff>
      <xdr:row>44</xdr:row>
      <xdr:rowOff>111538</xdr:rowOff>
    </xdr:to>
    <xdr:cxnSp macro="">
      <xdr:nvCxnSpPr>
        <xdr:cNvPr id="294" name="Straight Connector 293">
          <a:extLst>
            <a:ext uri="{FF2B5EF4-FFF2-40B4-BE49-F238E27FC236}">
              <a16:creationId xmlns:a16="http://schemas.microsoft.com/office/drawing/2014/main" id="{00000000-0008-0000-0400-000026010000}"/>
            </a:ext>
          </a:extLst>
        </xdr:cNvPr>
        <xdr:cNvCxnSpPr/>
      </xdr:nvCxnSpPr>
      <xdr:spPr>
        <a:xfrm>
          <a:off x="3431353" y="8738704"/>
          <a:ext cx="0" cy="31363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24967</xdr:colOff>
      <xdr:row>27</xdr:row>
      <xdr:rowOff>163503</xdr:rowOff>
    </xdr:from>
    <xdr:to>
      <xdr:col>61</xdr:col>
      <xdr:colOff>9470</xdr:colOff>
      <xdr:row>38</xdr:row>
      <xdr:rowOff>58974</xdr:rowOff>
    </xdr:to>
    <xdr:grpSp>
      <xdr:nvGrpSpPr>
        <xdr:cNvPr id="295" name="Group 294">
          <a:extLst>
            <a:ext uri="{FF2B5EF4-FFF2-40B4-BE49-F238E27FC236}">
              <a16:creationId xmlns:a16="http://schemas.microsoft.com/office/drawing/2014/main" id="{00000000-0008-0000-0400-000027010000}"/>
            </a:ext>
          </a:extLst>
        </xdr:cNvPr>
        <xdr:cNvGrpSpPr/>
      </xdr:nvGrpSpPr>
      <xdr:grpSpPr>
        <a:xfrm>
          <a:off x="14587634" y="5649903"/>
          <a:ext cx="1000503" cy="2130671"/>
          <a:chOff x="9331439" y="5595260"/>
          <a:chExt cx="1009223" cy="2113883"/>
        </a:xfrm>
      </xdr:grpSpPr>
      <xdr:grpSp>
        <xdr:nvGrpSpPr>
          <xdr:cNvPr id="296" name="Group 295" descr="Inverter">
            <a:extLst>
              <a:ext uri="{FF2B5EF4-FFF2-40B4-BE49-F238E27FC236}">
                <a16:creationId xmlns:a16="http://schemas.microsoft.com/office/drawing/2014/main" id="{00000000-0008-0000-0400-00002801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GrpSpPr/>
        </xdr:nvGrpSpPr>
        <xdr:grpSpPr>
          <a:xfrm rot="10800000">
            <a:off x="9331439" y="5595260"/>
            <a:ext cx="1009223" cy="2113883"/>
            <a:chOff x="5583133" y="1597653"/>
            <a:chExt cx="766867" cy="4472950"/>
          </a:xfrm>
        </xdr:grpSpPr>
        <xdr:grpSp>
          <xdr:nvGrpSpPr>
            <xdr:cNvPr id="311" name="Group 310">
              <a:extLst>
                <a:ext uri="{FF2B5EF4-FFF2-40B4-BE49-F238E27FC236}">
                  <a16:creationId xmlns:a16="http://schemas.microsoft.com/office/drawing/2014/main" id="{00000000-0008-0000-0400-000037010000}"/>
                </a:ext>
              </a:extLst>
            </xdr:cNvPr>
            <xdr:cNvGrpSpPr/>
          </xdr:nvGrpSpPr>
          <xdr:grpSpPr>
            <a:xfrm>
              <a:off x="5588000" y="4800603"/>
              <a:ext cx="762000" cy="1270000"/>
              <a:chOff x="5588000" y="4800603"/>
              <a:chExt cx="762000" cy="1270000"/>
            </a:xfrm>
          </xdr:grpSpPr>
          <xdr:sp macro="" textlink="">
            <xdr:nvSpPr>
              <xdr:cNvPr id="317" name="Shape 5">
                <a:extLst>
                  <a:ext uri="{FF2B5EF4-FFF2-40B4-BE49-F238E27FC236}">
                    <a16:creationId xmlns:a16="http://schemas.microsoft.com/office/drawing/2014/main" id="{00000000-0008-0000-0400-00003D010000}"/>
                  </a:ext>
                </a:extLst>
              </xdr:cNvPr>
              <xdr:cNvSpPr/>
            </xdr:nvSpPr>
            <xdr:spPr>
              <a:xfrm>
                <a:off x="5588000" y="4800603"/>
                <a:ext cx="762000" cy="12700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18" name="Shape 6">
                <a:extLst>
                  <a:ext uri="{FF2B5EF4-FFF2-40B4-BE49-F238E27FC236}">
                    <a16:creationId xmlns:a16="http://schemas.microsoft.com/office/drawing/2014/main" id="{00000000-0008-0000-0400-00003E010000}"/>
                  </a:ext>
                </a:extLst>
              </xdr:cNvPr>
              <xdr:cNvSpPr/>
            </xdr:nvSpPr>
            <xdr:spPr>
              <a:xfrm>
                <a:off x="6027997" y="4938868"/>
                <a:ext cx="125900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19" name="Shape 7">
                <a:extLst>
                  <a:ext uri="{FF2B5EF4-FFF2-40B4-BE49-F238E27FC236}">
                    <a16:creationId xmlns:a16="http://schemas.microsoft.com/office/drawing/2014/main" id="{00000000-0008-0000-0400-00003F010000}"/>
                  </a:ext>
                </a:extLst>
              </xdr:cNvPr>
              <xdr:cNvSpPr/>
            </xdr:nvSpPr>
            <xdr:spPr>
              <a:xfrm>
                <a:off x="6018473" y="5050734"/>
                <a:ext cx="141028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20" name="Shape 8">
                <a:extLst>
                  <a:ext uri="{FF2B5EF4-FFF2-40B4-BE49-F238E27FC236}">
                    <a16:creationId xmlns:a16="http://schemas.microsoft.com/office/drawing/2014/main" id="{00000000-0008-0000-0400-000040010000}"/>
                  </a:ext>
                </a:extLst>
              </xdr:cNvPr>
              <xdr:cNvSpPr/>
            </xdr:nvSpPr>
            <xdr:spPr>
              <a:xfrm>
                <a:off x="5716329" y="5725661"/>
                <a:ext cx="123805" cy="18855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312" name="Rectangle 311">
              <a:extLst>
                <a:ext uri="{FF2B5EF4-FFF2-40B4-BE49-F238E27FC236}">
                  <a16:creationId xmlns:a16="http://schemas.microsoft.com/office/drawing/2014/main" id="{00000000-0008-0000-0400-000038010000}"/>
                </a:ext>
              </a:extLst>
            </xdr:cNvPr>
            <xdr:cNvSpPr/>
          </xdr:nvSpPr>
          <xdr:spPr>
            <a:xfrm>
              <a:off x="5588000" y="4781222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313" name="Rectangle 312">
              <a:extLst>
                <a:ext uri="{FF2B5EF4-FFF2-40B4-BE49-F238E27FC236}">
                  <a16:creationId xmlns:a16="http://schemas.microsoft.com/office/drawing/2014/main" id="{00000000-0008-0000-0400-000039010000}"/>
                </a:ext>
              </a:extLst>
            </xdr:cNvPr>
            <xdr:cNvSpPr/>
          </xdr:nvSpPr>
          <xdr:spPr>
            <a:xfrm>
              <a:off x="5583133" y="1597653"/>
              <a:ext cx="762000" cy="1270002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314" name="Rectangle 313">
              <a:extLst>
                <a:ext uri="{FF2B5EF4-FFF2-40B4-BE49-F238E27FC236}">
                  <a16:creationId xmlns:a16="http://schemas.microsoft.com/office/drawing/2014/main" id="{00000000-0008-0000-0400-00003A010000}"/>
                </a:ext>
              </a:extLst>
            </xdr:cNvPr>
            <xdr:cNvSpPr/>
          </xdr:nvSpPr>
          <xdr:spPr>
            <a:xfrm>
              <a:off x="5759030" y="1866265"/>
              <a:ext cx="381000" cy="53309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315" name="Rectangle 314">
              <a:extLst>
                <a:ext uri="{FF2B5EF4-FFF2-40B4-BE49-F238E27FC236}">
                  <a16:creationId xmlns:a16="http://schemas.microsoft.com/office/drawing/2014/main" id="{00000000-0008-0000-0400-00003B010000}"/>
                </a:ext>
              </a:extLst>
            </xdr:cNvPr>
            <xdr:cNvSpPr/>
          </xdr:nvSpPr>
          <xdr:spPr>
            <a:xfrm>
              <a:off x="5802382" y="2402667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316" name="Rectangle 315">
              <a:extLst>
                <a:ext uri="{FF2B5EF4-FFF2-40B4-BE49-F238E27FC236}">
                  <a16:creationId xmlns:a16="http://schemas.microsoft.com/office/drawing/2014/main" id="{00000000-0008-0000-0400-00003C010000}"/>
                </a:ext>
              </a:extLst>
            </xdr:cNvPr>
            <xdr:cNvSpPr/>
          </xdr:nvSpPr>
          <xdr:spPr>
            <a:xfrm>
              <a:off x="6006836" y="2403328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297" name="Group 296">
            <a:extLst>
              <a:ext uri="{FF2B5EF4-FFF2-40B4-BE49-F238E27FC236}">
                <a16:creationId xmlns:a16="http://schemas.microsoft.com/office/drawing/2014/main" id="{00000000-0008-0000-0400-000029010000}"/>
              </a:ext>
            </a:extLst>
          </xdr:cNvPr>
          <xdr:cNvGrpSpPr/>
        </xdr:nvGrpSpPr>
        <xdr:grpSpPr>
          <a:xfrm rot="5400000">
            <a:off x="9782738" y="6397626"/>
            <a:ext cx="286214" cy="498116"/>
            <a:chOff x="8428183" y="2317714"/>
            <a:chExt cx="322065" cy="583370"/>
          </a:xfrm>
        </xdr:grpSpPr>
        <xdr:sp macro="" textlink="">
          <xdr:nvSpPr>
            <xdr:cNvPr id="303" name="Shape 9">
              <a:extLst>
                <a:ext uri="{FF2B5EF4-FFF2-40B4-BE49-F238E27FC236}">
                  <a16:creationId xmlns:a16="http://schemas.microsoft.com/office/drawing/2014/main" id="{00000000-0008-0000-0400-00002F010000}"/>
                </a:ext>
              </a:extLst>
            </xdr:cNvPr>
            <xdr:cNvSpPr/>
          </xdr:nvSpPr>
          <xdr:spPr>
            <a:xfrm>
              <a:off x="8428183" y="2545397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4" name="Shape 38">
              <a:extLst>
                <a:ext uri="{FF2B5EF4-FFF2-40B4-BE49-F238E27FC236}">
                  <a16:creationId xmlns:a16="http://schemas.microsoft.com/office/drawing/2014/main" id="{00000000-0008-0000-0400-000030010000}"/>
                </a:ext>
              </a:extLst>
            </xdr:cNvPr>
            <xdr:cNvSpPr/>
          </xdr:nvSpPr>
          <xdr:spPr>
            <a:xfrm flipV="1">
              <a:off x="8567942" y="2317714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5" name="Shape 39">
              <a:extLst>
                <a:ext uri="{FF2B5EF4-FFF2-40B4-BE49-F238E27FC236}">
                  <a16:creationId xmlns:a16="http://schemas.microsoft.com/office/drawing/2014/main" id="{00000000-0008-0000-0400-000031010000}"/>
                </a:ext>
              </a:extLst>
            </xdr:cNvPr>
            <xdr:cNvSpPr/>
          </xdr:nvSpPr>
          <xdr:spPr>
            <a:xfrm flipH="1">
              <a:off x="8519330" y="2325224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6" name="Shape 13">
              <a:extLst>
                <a:ext uri="{FF2B5EF4-FFF2-40B4-BE49-F238E27FC236}">
                  <a16:creationId xmlns:a16="http://schemas.microsoft.com/office/drawing/2014/main" id="{00000000-0008-0000-0400-000032010000}"/>
                </a:ext>
              </a:extLst>
            </xdr:cNvPr>
            <xdr:cNvSpPr/>
          </xdr:nvSpPr>
          <xdr:spPr>
            <a:xfrm flipV="1">
              <a:off x="8489201" y="2417420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7" name="Shape 37">
              <a:extLst>
                <a:ext uri="{FF2B5EF4-FFF2-40B4-BE49-F238E27FC236}">
                  <a16:creationId xmlns:a16="http://schemas.microsoft.com/office/drawing/2014/main" id="{00000000-0008-0000-0400-00003301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8" name="Shape 9">
              <a:extLst>
                <a:ext uri="{FF2B5EF4-FFF2-40B4-BE49-F238E27FC236}">
                  <a16:creationId xmlns:a16="http://schemas.microsoft.com/office/drawing/2014/main" id="{00000000-0008-0000-0400-000034010000}"/>
                </a:ext>
              </a:extLst>
            </xdr:cNvPr>
            <xdr:cNvSpPr/>
          </xdr:nvSpPr>
          <xdr:spPr>
            <a:xfrm>
              <a:off x="8665659" y="2545877"/>
              <a:ext cx="84578" cy="84579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9" name="Shape 9">
              <a:extLst>
                <a:ext uri="{FF2B5EF4-FFF2-40B4-BE49-F238E27FC236}">
                  <a16:creationId xmlns:a16="http://schemas.microsoft.com/office/drawing/2014/main" id="{00000000-0008-0000-0400-00003501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10" name="Shape 9">
              <a:extLst>
                <a:ext uri="{FF2B5EF4-FFF2-40B4-BE49-F238E27FC236}">
                  <a16:creationId xmlns:a16="http://schemas.microsoft.com/office/drawing/2014/main" id="{00000000-0008-0000-0400-00003601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400-00002A010000}"/>
              </a:ext>
            </a:extLst>
          </xdr:cNvPr>
          <xdr:cNvSpPr/>
        </xdr:nvSpPr>
        <xdr:spPr>
          <a:xfrm rot="16200000">
            <a:off x="9383648" y="6156923"/>
            <a:ext cx="905603" cy="999320"/>
          </a:xfrm>
          <a:prstGeom prst="rect">
            <a:avLst/>
          </a:prstGeom>
          <a:noFill/>
          <a:ln w="63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299" name="Shape 18">
            <a:extLst>
              <a:ext uri="{FF2B5EF4-FFF2-40B4-BE49-F238E27FC236}">
                <a16:creationId xmlns:a16="http://schemas.microsoft.com/office/drawing/2014/main" id="{00000000-0008-0000-0400-00002B010000}"/>
              </a:ext>
            </a:extLst>
          </xdr:cNvPr>
          <xdr:cNvSpPr/>
        </xdr:nvSpPr>
        <xdr:spPr>
          <a:xfrm>
            <a:off x="9719315" y="6211407"/>
            <a:ext cx="0" cy="305655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00" name="Shape 18">
            <a:extLst>
              <a:ext uri="{FF2B5EF4-FFF2-40B4-BE49-F238E27FC236}">
                <a16:creationId xmlns:a16="http://schemas.microsoft.com/office/drawing/2014/main" id="{00000000-0008-0000-0400-00002C010000}"/>
              </a:ext>
            </a:extLst>
          </xdr:cNvPr>
          <xdr:cNvSpPr/>
        </xdr:nvSpPr>
        <xdr:spPr>
          <a:xfrm>
            <a:off x="9948052" y="6202615"/>
            <a:ext cx="0" cy="308097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01" name="Shape 18">
            <a:extLst>
              <a:ext uri="{FF2B5EF4-FFF2-40B4-BE49-F238E27FC236}">
                <a16:creationId xmlns:a16="http://schemas.microsoft.com/office/drawing/2014/main" id="{00000000-0008-0000-0400-00002D010000}"/>
              </a:ext>
            </a:extLst>
          </xdr:cNvPr>
          <xdr:cNvSpPr/>
        </xdr:nvSpPr>
        <xdr:spPr>
          <a:xfrm>
            <a:off x="9721268" y="6782236"/>
            <a:ext cx="0" cy="32079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02" name="Shape 18">
            <a:extLst>
              <a:ext uri="{FF2B5EF4-FFF2-40B4-BE49-F238E27FC236}">
                <a16:creationId xmlns:a16="http://schemas.microsoft.com/office/drawing/2014/main" id="{00000000-0008-0000-0400-00002E010000}"/>
              </a:ext>
            </a:extLst>
          </xdr:cNvPr>
          <xdr:cNvSpPr/>
        </xdr:nvSpPr>
        <xdr:spPr>
          <a:xfrm>
            <a:off x="9940236" y="6782236"/>
            <a:ext cx="0" cy="32714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33</xdr:col>
      <xdr:colOff>168263</xdr:colOff>
      <xdr:row>14</xdr:row>
      <xdr:rowOff>102055</xdr:rowOff>
    </xdr:from>
    <xdr:to>
      <xdr:col>36</xdr:col>
      <xdr:colOff>222617</xdr:colOff>
      <xdr:row>21</xdr:row>
      <xdr:rowOff>35770</xdr:rowOff>
    </xdr:to>
    <xdr:grpSp>
      <xdr:nvGrpSpPr>
        <xdr:cNvPr id="457" name="Group 456">
          <a:extLst>
            <a:ext uri="{FF2B5EF4-FFF2-40B4-BE49-F238E27FC236}">
              <a16:creationId xmlns:a16="http://schemas.microsoft.com/office/drawing/2014/main" id="{00000000-0008-0000-0400-0000C9010000}"/>
            </a:ext>
          </a:extLst>
        </xdr:cNvPr>
        <xdr:cNvGrpSpPr/>
      </xdr:nvGrpSpPr>
      <xdr:grpSpPr>
        <a:xfrm>
          <a:off x="8550263" y="2946855"/>
          <a:ext cx="816354" cy="1356115"/>
          <a:chOff x="8797753" y="2534345"/>
          <a:chExt cx="834716" cy="1326180"/>
        </a:xfrm>
      </xdr:grpSpPr>
      <xdr:sp macro="" textlink="">
        <xdr:nvSpPr>
          <xdr:cNvPr id="321" name="Shape 18">
            <a:extLst>
              <a:ext uri="{FF2B5EF4-FFF2-40B4-BE49-F238E27FC236}">
                <a16:creationId xmlns:a16="http://schemas.microsoft.com/office/drawing/2014/main" id="{00000000-0008-0000-0400-000041010000}"/>
              </a:ext>
            </a:extLst>
          </xdr:cNvPr>
          <xdr:cNvSpPr/>
        </xdr:nvSpPr>
        <xdr:spPr>
          <a:xfrm flipH="1">
            <a:off x="8862831" y="3665361"/>
            <a:ext cx="0" cy="37702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22" name="TextBox 321">
            <a:extLst>
              <a:ext uri="{FF2B5EF4-FFF2-40B4-BE49-F238E27FC236}">
                <a16:creationId xmlns:a16="http://schemas.microsoft.com/office/drawing/2014/main" id="{00000000-0008-0000-0400-000042010000}"/>
              </a:ext>
            </a:extLst>
          </xdr:cNvPr>
          <xdr:cNvSpPr txBox="1"/>
        </xdr:nvSpPr>
        <xdr:spPr>
          <a:xfrm>
            <a:off x="8965571" y="3354924"/>
            <a:ext cx="666898" cy="505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Normal</a:t>
            </a:r>
          </a:p>
          <a:p>
            <a:r>
              <a:rPr lang="en-GB" sz="1100"/>
              <a:t>Loads</a:t>
            </a:r>
          </a:p>
          <a:p>
            <a:endParaRPr lang="en-GB" sz="1100"/>
          </a:p>
          <a:p>
            <a:endParaRPr lang="en-GB" sz="1800"/>
          </a:p>
        </xdr:txBody>
      </xdr:sp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400-000047010000}"/>
              </a:ext>
            </a:extLst>
          </xdr:cNvPr>
          <xdr:cNvGrpSpPr/>
        </xdr:nvGrpSpPr>
        <xdr:grpSpPr>
          <a:xfrm>
            <a:off x="8797753" y="2534345"/>
            <a:ext cx="320161" cy="1109132"/>
            <a:chOff x="9589750" y="4159515"/>
            <a:chExt cx="310215" cy="1140070"/>
          </a:xfrm>
        </xdr:grpSpPr>
        <xdr:sp macro="" textlink="">
          <xdr:nvSpPr>
            <xdr:cNvPr id="328" name="Shape 27">
              <a:extLst>
                <a:ext uri="{FF2B5EF4-FFF2-40B4-BE49-F238E27FC236}">
                  <a16:creationId xmlns:a16="http://schemas.microsoft.com/office/drawing/2014/main" id="{00000000-0008-0000-0400-000048010000}"/>
                </a:ext>
              </a:extLst>
            </xdr:cNvPr>
            <xdr:cNvSpPr/>
          </xdr:nvSpPr>
          <xdr:spPr>
            <a:xfrm>
              <a:off x="9593489" y="4963526"/>
              <a:ext cx="95175" cy="10034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29" name="Shape 27">
              <a:extLst>
                <a:ext uri="{FF2B5EF4-FFF2-40B4-BE49-F238E27FC236}">
                  <a16:creationId xmlns:a16="http://schemas.microsoft.com/office/drawing/2014/main" id="{00000000-0008-0000-0400-000049010000}"/>
                </a:ext>
              </a:extLst>
            </xdr:cNvPr>
            <xdr:cNvSpPr/>
          </xdr:nvSpPr>
          <xdr:spPr>
            <a:xfrm>
              <a:off x="9589750" y="4736233"/>
              <a:ext cx="95175" cy="100343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30" name="Shape 26">
              <a:extLst>
                <a:ext uri="{FF2B5EF4-FFF2-40B4-BE49-F238E27FC236}">
                  <a16:creationId xmlns:a16="http://schemas.microsoft.com/office/drawing/2014/main" id="{00000000-0008-0000-0400-00004A010000}"/>
                </a:ext>
              </a:extLst>
            </xdr:cNvPr>
            <xdr:cNvSpPr/>
          </xdr:nvSpPr>
          <xdr:spPr>
            <a:xfrm flipH="1">
              <a:off x="9684192" y="4822358"/>
              <a:ext cx="215773" cy="178862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332" name="Straight Connector 331">
              <a:extLst>
                <a:ext uri="{FF2B5EF4-FFF2-40B4-BE49-F238E27FC236}">
                  <a16:creationId xmlns:a16="http://schemas.microsoft.com/office/drawing/2014/main" id="{00000000-0008-0000-0400-00004C010000}"/>
                </a:ext>
              </a:extLst>
            </xdr:cNvPr>
            <xdr:cNvCxnSpPr/>
          </xdr:nvCxnSpPr>
          <xdr:spPr>
            <a:xfrm>
              <a:off x="9642667" y="4159515"/>
              <a:ext cx="0" cy="585802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400-00004D010000}"/>
                </a:ext>
              </a:extLst>
            </xdr:cNvPr>
            <xdr:cNvCxnSpPr/>
          </xdr:nvCxnSpPr>
          <xdr:spPr>
            <a:xfrm>
              <a:off x="9647492" y="5069129"/>
              <a:ext cx="0" cy="230456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12</xdr:col>
      <xdr:colOff>211903</xdr:colOff>
      <xdr:row>25</xdr:row>
      <xdr:rowOff>189729</xdr:rowOff>
    </xdr:from>
    <xdr:to>
      <xdr:col>13</xdr:col>
      <xdr:colOff>49160</xdr:colOff>
      <xdr:row>26</xdr:row>
      <xdr:rowOff>89157</xdr:rowOff>
    </xdr:to>
    <xdr:sp macro="" textlink="">
      <xdr:nvSpPr>
        <xdr:cNvPr id="335" name="Shape 27">
          <a:extLst>
            <a:ext uri="{FF2B5EF4-FFF2-40B4-BE49-F238E27FC236}">
              <a16:creationId xmlns:a16="http://schemas.microsoft.com/office/drawing/2014/main" id="{00000000-0008-0000-0400-00004F010000}"/>
            </a:ext>
          </a:extLst>
        </xdr:cNvPr>
        <xdr:cNvSpPr/>
      </xdr:nvSpPr>
      <xdr:spPr>
        <a:xfrm>
          <a:off x="3333349" y="5162621"/>
          <a:ext cx="97377" cy="98343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208077</xdr:colOff>
      <xdr:row>24</xdr:row>
      <xdr:rowOff>165886</xdr:rowOff>
    </xdr:from>
    <xdr:to>
      <xdr:col>13</xdr:col>
      <xdr:colOff>45334</xdr:colOff>
      <xdr:row>25</xdr:row>
      <xdr:rowOff>65312</xdr:rowOff>
    </xdr:to>
    <xdr:sp macro="" textlink="">
      <xdr:nvSpPr>
        <xdr:cNvPr id="336" name="Shape 27">
          <a:extLst>
            <a:ext uri="{FF2B5EF4-FFF2-40B4-BE49-F238E27FC236}">
              <a16:creationId xmlns:a16="http://schemas.microsoft.com/office/drawing/2014/main" id="{00000000-0008-0000-0400-000050010000}"/>
            </a:ext>
          </a:extLst>
        </xdr:cNvPr>
        <xdr:cNvSpPr/>
      </xdr:nvSpPr>
      <xdr:spPr>
        <a:xfrm>
          <a:off x="3329523" y="4939862"/>
          <a:ext cx="97377" cy="98342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44585</xdr:colOff>
      <xdr:row>25</xdr:row>
      <xdr:rowOff>51377</xdr:rowOff>
    </xdr:from>
    <xdr:to>
      <xdr:col>14</xdr:col>
      <xdr:colOff>5230</xdr:colOff>
      <xdr:row>26</xdr:row>
      <xdr:rowOff>27756</xdr:rowOff>
    </xdr:to>
    <xdr:sp macro="" textlink="">
      <xdr:nvSpPr>
        <xdr:cNvPr id="337" name="Shape 26">
          <a:extLst>
            <a:ext uri="{FF2B5EF4-FFF2-40B4-BE49-F238E27FC236}">
              <a16:creationId xmlns:a16="http://schemas.microsoft.com/office/drawing/2014/main" id="{00000000-0008-0000-0400-000051010000}"/>
            </a:ext>
          </a:extLst>
        </xdr:cNvPr>
        <xdr:cNvSpPr/>
      </xdr:nvSpPr>
      <xdr:spPr>
        <a:xfrm flipH="1">
          <a:off x="3426151" y="5024269"/>
          <a:ext cx="220766" cy="175294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139368</xdr:colOff>
      <xdr:row>22</xdr:row>
      <xdr:rowOff>50689</xdr:rowOff>
    </xdr:from>
    <xdr:to>
      <xdr:col>13</xdr:col>
      <xdr:colOff>111970</xdr:colOff>
      <xdr:row>24</xdr:row>
      <xdr:rowOff>18939</xdr:rowOff>
    </xdr:to>
    <xdr:grpSp>
      <xdr:nvGrpSpPr>
        <xdr:cNvPr id="64" name="3PCables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3187368" y="4521089"/>
          <a:ext cx="226602" cy="374650"/>
          <a:chOff x="3201903" y="4462268"/>
          <a:chExt cx="227837" cy="369303"/>
        </a:xfrm>
      </xdr:grpSpPr>
      <xdr:sp macro="" textlink="">
        <xdr:nvSpPr>
          <xdr:cNvPr id="324" name="Shape 26">
            <a:extLst>
              <a:ext uri="{FF2B5EF4-FFF2-40B4-BE49-F238E27FC236}">
                <a16:creationId xmlns:a16="http://schemas.microsoft.com/office/drawing/2014/main" id="{00000000-0008-0000-0400-000044010000}"/>
              </a:ext>
            </a:extLst>
          </xdr:cNvPr>
          <xdr:cNvSpPr/>
        </xdr:nvSpPr>
        <xdr:spPr>
          <a:xfrm flipH="1">
            <a:off x="3201903" y="4462268"/>
            <a:ext cx="219855" cy="212126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38" name="Shape 26">
            <a:extLst>
              <a:ext uri="{FF2B5EF4-FFF2-40B4-BE49-F238E27FC236}">
                <a16:creationId xmlns:a16="http://schemas.microsoft.com/office/drawing/2014/main" id="{00000000-0008-0000-0400-000052010000}"/>
              </a:ext>
            </a:extLst>
          </xdr:cNvPr>
          <xdr:cNvSpPr/>
        </xdr:nvSpPr>
        <xdr:spPr>
          <a:xfrm flipH="1">
            <a:off x="3209589" y="4619000"/>
            <a:ext cx="220151" cy="21257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13</xdr:col>
      <xdr:colOff>10762</xdr:colOff>
      <xdr:row>26</xdr:row>
      <xdr:rowOff>70156</xdr:rowOff>
    </xdr:from>
    <xdr:to>
      <xdr:col>13</xdr:col>
      <xdr:colOff>10762</xdr:colOff>
      <xdr:row>29</xdr:row>
      <xdr:rowOff>163005</xdr:rowOff>
    </xdr:to>
    <xdr:cxnSp macro="">
      <xdr:nvCxnSpPr>
        <xdr:cNvPr id="339" name="Straight Connector 338">
          <a:extLst>
            <a:ext uri="{FF2B5EF4-FFF2-40B4-BE49-F238E27FC236}">
              <a16:creationId xmlns:a16="http://schemas.microsoft.com/office/drawing/2014/main" id="{00000000-0008-0000-0400-000053010000}"/>
            </a:ext>
          </a:extLst>
        </xdr:cNvPr>
        <xdr:cNvCxnSpPr/>
      </xdr:nvCxnSpPr>
      <xdr:spPr>
        <a:xfrm>
          <a:off x="3392328" y="5241963"/>
          <a:ext cx="0" cy="6895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26975</xdr:colOff>
      <xdr:row>14</xdr:row>
      <xdr:rowOff>101600</xdr:rowOff>
    </xdr:from>
    <xdr:to>
      <xdr:col>65</xdr:col>
      <xdr:colOff>139200</xdr:colOff>
      <xdr:row>20</xdr:row>
      <xdr:rowOff>158327</xdr:rowOff>
    </xdr:to>
    <xdr:grpSp>
      <xdr:nvGrpSpPr>
        <xdr:cNvPr id="359" name="Group 358">
          <a:extLst>
            <a:ext uri="{FF2B5EF4-FFF2-40B4-BE49-F238E27FC236}">
              <a16:creationId xmlns:a16="http://schemas.microsoft.com/office/drawing/2014/main" id="{00000000-0008-0000-0400-000067010000}"/>
            </a:ext>
          </a:extLst>
        </xdr:cNvPr>
        <xdr:cNvGrpSpPr/>
      </xdr:nvGrpSpPr>
      <xdr:grpSpPr>
        <a:xfrm>
          <a:off x="16367642" y="2946400"/>
          <a:ext cx="366225" cy="1275927"/>
          <a:chOff x="9530059" y="3974365"/>
          <a:chExt cx="369906" cy="1275927"/>
        </a:xfrm>
      </xdr:grpSpPr>
      <xdr:sp macro="" textlink="">
        <xdr:nvSpPr>
          <xdr:cNvPr id="360" name="Shape 27">
            <a:extLst>
              <a:ext uri="{FF2B5EF4-FFF2-40B4-BE49-F238E27FC236}">
                <a16:creationId xmlns:a16="http://schemas.microsoft.com/office/drawing/2014/main" id="{00000000-0008-0000-0400-00006801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61" name="Shape 27">
            <a:extLst>
              <a:ext uri="{FF2B5EF4-FFF2-40B4-BE49-F238E27FC236}">
                <a16:creationId xmlns:a16="http://schemas.microsoft.com/office/drawing/2014/main" id="{00000000-0008-0000-0400-00006901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62" name="Shape 26">
            <a:extLst>
              <a:ext uri="{FF2B5EF4-FFF2-40B4-BE49-F238E27FC236}">
                <a16:creationId xmlns:a16="http://schemas.microsoft.com/office/drawing/2014/main" id="{00000000-0008-0000-0400-00006A01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63" name="Shape 26">
            <a:extLst>
              <a:ext uri="{FF2B5EF4-FFF2-40B4-BE49-F238E27FC236}">
                <a16:creationId xmlns:a16="http://schemas.microsoft.com/office/drawing/2014/main" id="{00000000-0008-0000-0400-00006B01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364" name="Straight Connector 363">
            <a:extLst>
              <a:ext uri="{FF2B5EF4-FFF2-40B4-BE49-F238E27FC236}">
                <a16:creationId xmlns:a16="http://schemas.microsoft.com/office/drawing/2014/main" id="{00000000-0008-0000-0400-00006C010000}"/>
              </a:ext>
            </a:extLst>
          </xdr:cNvPr>
          <xdr:cNvCxnSpPr/>
        </xdr:nvCxnSpPr>
        <xdr:spPr>
          <a:xfrm>
            <a:off x="9642667" y="3974365"/>
            <a:ext cx="0" cy="770952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5" name="Straight Connector 364">
            <a:extLst>
              <a:ext uri="{FF2B5EF4-FFF2-40B4-BE49-F238E27FC236}">
                <a16:creationId xmlns:a16="http://schemas.microsoft.com/office/drawing/2014/main" id="{00000000-0008-0000-0400-00006D010000}"/>
              </a:ext>
            </a:extLst>
          </xdr:cNvPr>
          <xdr:cNvCxnSpPr/>
        </xdr:nvCxnSpPr>
        <xdr:spPr>
          <a:xfrm>
            <a:off x="9651134" y="5033545"/>
            <a:ext cx="0" cy="216747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116021</xdr:colOff>
      <xdr:row>16</xdr:row>
      <xdr:rowOff>141587</xdr:rowOff>
    </xdr:from>
    <xdr:to>
      <xdr:col>26</xdr:col>
      <xdr:colOff>112614</xdr:colOff>
      <xdr:row>18</xdr:row>
      <xdr:rowOff>6571</xdr:rowOff>
    </xdr:to>
    <xdr:grpSp>
      <xdr:nvGrpSpPr>
        <xdr:cNvPr id="576" name="3PInv1">
          <a:extLst>
            <a:ext uri="{FF2B5EF4-FFF2-40B4-BE49-F238E27FC236}">
              <a16:creationId xmlns:a16="http://schemas.microsoft.com/office/drawing/2014/main" id="{00000000-0008-0000-0400-000040020000}"/>
            </a:ext>
          </a:extLst>
        </xdr:cNvPr>
        <xdr:cNvGrpSpPr/>
      </xdr:nvGrpSpPr>
      <xdr:grpSpPr>
        <a:xfrm>
          <a:off x="6466021" y="3392787"/>
          <a:ext cx="250593" cy="271384"/>
          <a:chOff x="3200401" y="7249224"/>
          <a:chExt cx="250595" cy="281901"/>
        </a:xfrm>
      </xdr:grpSpPr>
      <xdr:cxnSp macro="">
        <xdr:nvCxnSpPr>
          <xdr:cNvPr id="577" name="2P">
            <a:extLst>
              <a:ext uri="{FF2B5EF4-FFF2-40B4-BE49-F238E27FC236}">
                <a16:creationId xmlns:a16="http://schemas.microsoft.com/office/drawing/2014/main" id="{00000000-0008-0000-0400-000041020000}"/>
              </a:ext>
            </a:extLst>
          </xdr:cNvPr>
          <xdr:cNvCxnSpPr/>
        </xdr:nvCxnSpPr>
        <xdr:spPr>
          <a:xfrm flipH="1">
            <a:off x="3200401" y="7249224"/>
            <a:ext cx="250595" cy="18903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8" name="3P">
            <a:extLst>
              <a:ext uri="{FF2B5EF4-FFF2-40B4-BE49-F238E27FC236}">
                <a16:creationId xmlns:a16="http://schemas.microsoft.com/office/drawing/2014/main" id="{00000000-0008-0000-0400-000042020000}"/>
              </a:ext>
            </a:extLst>
          </xdr:cNvPr>
          <xdr:cNvCxnSpPr/>
        </xdr:nvCxnSpPr>
        <xdr:spPr>
          <a:xfrm flipH="1">
            <a:off x="3200401" y="7348250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53</xdr:col>
      <xdr:colOff>150982</xdr:colOff>
      <xdr:row>58</xdr:row>
      <xdr:rowOff>30063</xdr:rowOff>
    </xdr:from>
    <xdr:to>
      <xdr:col>55</xdr:col>
      <xdr:colOff>10160</xdr:colOff>
      <xdr:row>59</xdr:row>
      <xdr:rowOff>162560</xdr:rowOff>
    </xdr:to>
    <xdr:grpSp>
      <xdr:nvGrpSpPr>
        <xdr:cNvPr id="697" name="Ground1">
          <a:extLst>
            <a:ext uri="{FF2B5EF4-FFF2-40B4-BE49-F238E27FC236}">
              <a16:creationId xmlns:a16="http://schemas.microsoft.com/office/drawing/2014/main" id="{00000000-0008-0000-0400-0000B9020000}"/>
            </a:ext>
          </a:extLst>
        </xdr:cNvPr>
        <xdr:cNvGrpSpPr/>
      </xdr:nvGrpSpPr>
      <xdr:grpSpPr>
        <a:xfrm>
          <a:off x="13697649" y="11815663"/>
          <a:ext cx="367178" cy="335697"/>
          <a:chOff x="10160000" y="2820276"/>
          <a:chExt cx="508000" cy="401148"/>
        </a:xfrm>
      </xdr:grpSpPr>
      <xdr:grpSp>
        <xdr:nvGrpSpPr>
          <xdr:cNvPr id="698" name="Group 697">
            <a:extLst>
              <a:ext uri="{FF2B5EF4-FFF2-40B4-BE49-F238E27FC236}">
                <a16:creationId xmlns:a16="http://schemas.microsoft.com/office/drawing/2014/main" id="{00000000-0008-0000-0400-0000BA02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700" name="Straight Connector 699">
              <a:extLst>
                <a:ext uri="{FF2B5EF4-FFF2-40B4-BE49-F238E27FC236}">
                  <a16:creationId xmlns:a16="http://schemas.microsoft.com/office/drawing/2014/main" id="{00000000-0008-0000-0400-0000BC02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1" name="Straight Connector 700">
              <a:extLst>
                <a:ext uri="{FF2B5EF4-FFF2-40B4-BE49-F238E27FC236}">
                  <a16:creationId xmlns:a16="http://schemas.microsoft.com/office/drawing/2014/main" id="{00000000-0008-0000-0400-0000BD02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2" name="Straight Connector 701">
              <a:extLst>
                <a:ext uri="{FF2B5EF4-FFF2-40B4-BE49-F238E27FC236}">
                  <a16:creationId xmlns:a16="http://schemas.microsoft.com/office/drawing/2014/main" id="{00000000-0008-0000-0400-0000BE02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699" name="Straight Connector 698">
            <a:extLst>
              <a:ext uri="{FF2B5EF4-FFF2-40B4-BE49-F238E27FC236}">
                <a16:creationId xmlns:a16="http://schemas.microsoft.com/office/drawing/2014/main" id="{00000000-0008-0000-0400-0000BB02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35736</xdr:colOff>
      <xdr:row>39</xdr:row>
      <xdr:rowOff>94092</xdr:rowOff>
    </xdr:from>
    <xdr:to>
      <xdr:col>23</xdr:col>
      <xdr:colOff>169333</xdr:colOff>
      <xdr:row>39</xdr:row>
      <xdr:rowOff>94092</xdr:rowOff>
    </xdr:to>
    <xdr:cxnSp macro="">
      <xdr:nvCxnSpPr>
        <xdr:cNvPr id="380" name="Straight Connector 379">
          <a:extLst>
            <a:ext uri="{FF2B5EF4-FFF2-40B4-BE49-F238E27FC236}">
              <a16:creationId xmlns:a16="http://schemas.microsoft.com/office/drawing/2014/main" id="{00000000-0008-0000-0400-00007C010000}"/>
            </a:ext>
          </a:extLst>
        </xdr:cNvPr>
        <xdr:cNvCxnSpPr/>
      </xdr:nvCxnSpPr>
      <xdr:spPr>
        <a:xfrm>
          <a:off x="3337736" y="8018892"/>
          <a:ext cx="2673597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155340</xdr:colOff>
      <xdr:row>14</xdr:row>
      <xdr:rowOff>84667</xdr:rowOff>
    </xdr:from>
    <xdr:to>
      <xdr:col>23</xdr:col>
      <xdr:colOff>155340</xdr:colOff>
      <xdr:row>39</xdr:row>
      <xdr:rowOff>101600</xdr:rowOff>
    </xdr:to>
    <xdr:cxnSp macro="">
      <xdr:nvCxnSpPr>
        <xdr:cNvPr id="382" name="Straight Connector 381">
          <a:extLst>
            <a:ext uri="{FF2B5EF4-FFF2-40B4-BE49-F238E27FC236}">
              <a16:creationId xmlns:a16="http://schemas.microsoft.com/office/drawing/2014/main" id="{00000000-0008-0000-0400-00007E010000}"/>
            </a:ext>
          </a:extLst>
        </xdr:cNvPr>
        <xdr:cNvCxnSpPr/>
      </xdr:nvCxnSpPr>
      <xdr:spPr>
        <a:xfrm>
          <a:off x="5997340" y="2929467"/>
          <a:ext cx="0" cy="50969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</xdr:colOff>
      <xdr:row>14</xdr:row>
      <xdr:rowOff>104072</xdr:rowOff>
    </xdr:from>
    <xdr:to>
      <xdr:col>34</xdr:col>
      <xdr:colOff>127000</xdr:colOff>
      <xdr:row>14</xdr:row>
      <xdr:rowOff>104072</xdr:rowOff>
    </xdr:to>
    <xdr:cxnSp macro="">
      <xdr:nvCxnSpPr>
        <xdr:cNvPr id="383" name="Straight Connector 382">
          <a:extLst>
            <a:ext uri="{FF2B5EF4-FFF2-40B4-BE49-F238E27FC236}">
              <a16:creationId xmlns:a16="http://schemas.microsoft.com/office/drawing/2014/main" id="{00000000-0008-0000-0400-00007F010000}"/>
            </a:ext>
          </a:extLst>
        </xdr:cNvPr>
        <xdr:cNvCxnSpPr/>
      </xdr:nvCxnSpPr>
      <xdr:spPr>
        <a:xfrm>
          <a:off x="5842001" y="3067405"/>
          <a:ext cx="2920999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5681</xdr:colOff>
      <xdr:row>62</xdr:row>
      <xdr:rowOff>63499</xdr:rowOff>
    </xdr:from>
    <xdr:to>
      <xdr:col>23</xdr:col>
      <xdr:colOff>165100</xdr:colOff>
      <xdr:row>63</xdr:row>
      <xdr:rowOff>44061</xdr:rowOff>
    </xdr:to>
    <xdr:cxnSp macro="">
      <xdr:nvCxnSpPr>
        <xdr:cNvPr id="369" name="2P">
          <a:extLst>
            <a:ext uri="{FF2B5EF4-FFF2-40B4-BE49-F238E27FC236}">
              <a16:creationId xmlns:a16="http://schemas.microsoft.com/office/drawing/2014/main" id="{00000000-0008-0000-0400-000071010000}"/>
            </a:ext>
          </a:extLst>
        </xdr:cNvPr>
        <xdr:cNvCxnSpPr/>
      </xdr:nvCxnSpPr>
      <xdr:spPr>
        <a:xfrm flipH="1">
          <a:off x="5988452" y="12396270"/>
          <a:ext cx="159419" cy="179478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219430</xdr:colOff>
      <xdr:row>38</xdr:row>
      <xdr:rowOff>199809</xdr:rowOff>
    </xdr:from>
    <xdr:to>
      <xdr:col>21</xdr:col>
      <xdr:colOff>122073</xdr:colOff>
      <xdr:row>39</xdr:row>
      <xdr:rowOff>180372</xdr:rowOff>
    </xdr:to>
    <xdr:cxnSp macro="">
      <xdr:nvCxnSpPr>
        <xdr:cNvPr id="375" name="2P">
          <a:extLst>
            <a:ext uri="{FF2B5EF4-FFF2-40B4-BE49-F238E27FC236}">
              <a16:creationId xmlns:a16="http://schemas.microsoft.com/office/drawing/2014/main" id="{00000000-0008-0000-0400-000077010000}"/>
            </a:ext>
          </a:extLst>
        </xdr:cNvPr>
        <xdr:cNvCxnSpPr/>
      </xdr:nvCxnSpPr>
      <xdr:spPr>
        <a:xfrm flipH="1">
          <a:off x="5354949" y="7847569"/>
          <a:ext cx="159419" cy="18181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38855</xdr:colOff>
      <xdr:row>38</xdr:row>
      <xdr:rowOff>199809</xdr:rowOff>
    </xdr:from>
    <xdr:to>
      <xdr:col>21</xdr:col>
      <xdr:colOff>213749</xdr:colOff>
      <xdr:row>39</xdr:row>
      <xdr:rowOff>193072</xdr:rowOff>
    </xdr:to>
    <xdr:cxnSp macro="">
      <xdr:nvCxnSpPr>
        <xdr:cNvPr id="376" name="2P">
          <a:extLst>
            <a:ext uri="{FF2B5EF4-FFF2-40B4-BE49-F238E27FC236}">
              <a16:creationId xmlns:a16="http://schemas.microsoft.com/office/drawing/2014/main" id="{00000000-0008-0000-0400-000078010000}"/>
            </a:ext>
          </a:extLst>
        </xdr:cNvPr>
        <xdr:cNvCxnSpPr/>
      </xdr:nvCxnSpPr>
      <xdr:spPr>
        <a:xfrm flipH="1">
          <a:off x="5431150" y="7847569"/>
          <a:ext cx="174894" cy="19451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129775</xdr:colOff>
      <xdr:row>39</xdr:row>
      <xdr:rowOff>8367</xdr:rowOff>
    </xdr:from>
    <xdr:to>
      <xdr:col>22</xdr:col>
      <xdr:colOff>47893</xdr:colOff>
      <xdr:row>40</xdr:row>
      <xdr:rowOff>1629</xdr:rowOff>
    </xdr:to>
    <xdr:cxnSp macro="">
      <xdr:nvCxnSpPr>
        <xdr:cNvPr id="377" name="2P">
          <a:extLst>
            <a:ext uri="{FF2B5EF4-FFF2-40B4-BE49-F238E27FC236}">
              <a16:creationId xmlns:a16="http://schemas.microsoft.com/office/drawing/2014/main" id="{00000000-0008-0000-0400-000079010000}"/>
            </a:ext>
          </a:extLst>
        </xdr:cNvPr>
        <xdr:cNvCxnSpPr/>
      </xdr:nvCxnSpPr>
      <xdr:spPr>
        <a:xfrm flipH="1">
          <a:off x="5522070" y="7857383"/>
          <a:ext cx="174894" cy="19451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236388</xdr:colOff>
      <xdr:row>36</xdr:row>
      <xdr:rowOff>21783</xdr:rowOff>
    </xdr:from>
    <xdr:to>
      <xdr:col>25</xdr:col>
      <xdr:colOff>63500</xdr:colOff>
      <xdr:row>36</xdr:row>
      <xdr:rowOff>21783</xdr:rowOff>
    </xdr:to>
    <xdr:cxnSp macro="">
      <xdr:nvCxnSpPr>
        <xdr:cNvPr id="378" name="Straight Connector 377">
          <a:extLst>
            <a:ext uri="{FF2B5EF4-FFF2-40B4-BE49-F238E27FC236}">
              <a16:creationId xmlns:a16="http://schemas.microsoft.com/office/drawing/2014/main" id="{00000000-0008-0000-0400-00007A010000}"/>
            </a:ext>
          </a:extLst>
        </xdr:cNvPr>
        <xdr:cNvCxnSpPr/>
      </xdr:nvCxnSpPr>
      <xdr:spPr>
        <a:xfrm flipH="1">
          <a:off x="4554388" y="7336983"/>
          <a:ext cx="1859112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68275</xdr:colOff>
      <xdr:row>35</xdr:row>
      <xdr:rowOff>60713</xdr:rowOff>
    </xdr:from>
    <xdr:to>
      <xdr:col>26</xdr:col>
      <xdr:colOff>145041</xdr:colOff>
      <xdr:row>36</xdr:row>
      <xdr:rowOff>27288</xdr:rowOff>
    </xdr:to>
    <xdr:grpSp>
      <xdr:nvGrpSpPr>
        <xdr:cNvPr id="467" name="Group 466">
          <a:extLst>
            <a:ext uri="{FF2B5EF4-FFF2-40B4-BE49-F238E27FC236}">
              <a16:creationId xmlns:a16="http://schemas.microsoft.com/office/drawing/2014/main" id="{00000000-0008-0000-0400-0000D3010000}"/>
            </a:ext>
          </a:extLst>
        </xdr:cNvPr>
        <xdr:cNvGrpSpPr/>
      </xdr:nvGrpSpPr>
      <xdr:grpSpPr>
        <a:xfrm>
          <a:off x="6418275" y="7172713"/>
          <a:ext cx="330766" cy="169775"/>
          <a:chOff x="10817680" y="7023878"/>
          <a:chExt cx="333698" cy="170683"/>
        </a:xfrm>
      </xdr:grpSpPr>
      <xdr:cxnSp macro="">
        <xdr:nvCxnSpPr>
          <xdr:cNvPr id="385" name="Straight Connector 384">
            <a:extLst>
              <a:ext uri="{FF2B5EF4-FFF2-40B4-BE49-F238E27FC236}">
                <a16:creationId xmlns:a16="http://schemas.microsoft.com/office/drawing/2014/main" id="{00000000-0008-0000-0400-000081010000}"/>
              </a:ext>
            </a:extLst>
          </xdr:cNvPr>
          <xdr:cNvCxnSpPr/>
        </xdr:nvCxnSpPr>
        <xdr:spPr>
          <a:xfrm flipH="1">
            <a:off x="10820918" y="7187925"/>
            <a:ext cx="330460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86" name="Straight Connector 385">
            <a:extLst>
              <a:ext uri="{FF2B5EF4-FFF2-40B4-BE49-F238E27FC236}">
                <a16:creationId xmlns:a16="http://schemas.microsoft.com/office/drawing/2014/main" id="{00000000-0008-0000-0400-000082010000}"/>
              </a:ext>
            </a:extLst>
          </xdr:cNvPr>
          <xdr:cNvCxnSpPr/>
        </xdr:nvCxnSpPr>
        <xdr:spPr>
          <a:xfrm flipV="1">
            <a:off x="11149906" y="7027117"/>
            <a:ext cx="0" cy="158605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88" name="Straight Connector 387">
            <a:extLst>
              <a:ext uri="{FF2B5EF4-FFF2-40B4-BE49-F238E27FC236}">
                <a16:creationId xmlns:a16="http://schemas.microsoft.com/office/drawing/2014/main" id="{00000000-0008-0000-0400-000084010000}"/>
              </a:ext>
            </a:extLst>
          </xdr:cNvPr>
          <xdr:cNvCxnSpPr/>
        </xdr:nvCxnSpPr>
        <xdr:spPr>
          <a:xfrm flipV="1">
            <a:off x="10818999" y="7023878"/>
            <a:ext cx="0" cy="170683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89" name="Straight Connector 388">
            <a:extLst>
              <a:ext uri="{FF2B5EF4-FFF2-40B4-BE49-F238E27FC236}">
                <a16:creationId xmlns:a16="http://schemas.microsoft.com/office/drawing/2014/main" id="{00000000-0008-0000-0400-000085010000}"/>
              </a:ext>
            </a:extLst>
          </xdr:cNvPr>
          <xdr:cNvCxnSpPr/>
        </xdr:nvCxnSpPr>
        <xdr:spPr>
          <a:xfrm flipH="1">
            <a:off x="10817680" y="7025788"/>
            <a:ext cx="327218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21009</xdr:colOff>
      <xdr:row>34</xdr:row>
      <xdr:rowOff>168082</xdr:rowOff>
    </xdr:from>
    <xdr:to>
      <xdr:col>26</xdr:col>
      <xdr:colOff>22777</xdr:colOff>
      <xdr:row>36</xdr:row>
      <xdr:rowOff>134029</xdr:rowOff>
    </xdr:to>
    <xdr:sp macro="" textlink="">
      <xdr:nvSpPr>
        <xdr:cNvPr id="401" name="TboxL2">
          <a:extLst>
            <a:ext uri="{FF2B5EF4-FFF2-40B4-BE49-F238E27FC236}">
              <a16:creationId xmlns:a16="http://schemas.microsoft.com/office/drawing/2014/main" id="{00000000-0008-0000-0400-000091010000}"/>
            </a:ext>
          </a:extLst>
        </xdr:cNvPr>
        <xdr:cNvSpPr txBox="1"/>
      </xdr:nvSpPr>
      <xdr:spPr>
        <a:xfrm>
          <a:off x="5863009" y="7076882"/>
          <a:ext cx="763768" cy="3723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PV</a:t>
          </a:r>
          <a:r>
            <a:rPr lang="en-GB" sz="800" baseline="0"/>
            <a:t> CT</a:t>
          </a:r>
          <a:endParaRPr lang="en-GB" sz="800"/>
        </a:p>
      </xdr:txBody>
    </xdr:sp>
    <xdr:clientData/>
  </xdr:twoCellAnchor>
  <xdr:twoCellAnchor>
    <xdr:from>
      <xdr:col>30</xdr:col>
      <xdr:colOff>253671</xdr:colOff>
      <xdr:row>14</xdr:row>
      <xdr:rowOff>118534</xdr:rowOff>
    </xdr:from>
    <xdr:to>
      <xdr:col>43</xdr:col>
      <xdr:colOff>35884</xdr:colOff>
      <xdr:row>34</xdr:row>
      <xdr:rowOff>200849</xdr:rowOff>
    </xdr:to>
    <xdr:grpSp>
      <xdr:nvGrpSpPr>
        <xdr:cNvPr id="372" name="ExtraArray">
          <a:extLst>
            <a:ext uri="{FF2B5EF4-FFF2-40B4-BE49-F238E27FC236}">
              <a16:creationId xmlns:a16="http://schemas.microsoft.com/office/drawing/2014/main" id="{00000000-0008-0000-0400-000074010000}"/>
            </a:ext>
          </a:extLst>
        </xdr:cNvPr>
        <xdr:cNvGrpSpPr/>
      </xdr:nvGrpSpPr>
      <xdr:grpSpPr>
        <a:xfrm>
          <a:off x="7873671" y="2963334"/>
          <a:ext cx="3168880" cy="4146315"/>
          <a:chOff x="2828940" y="8100298"/>
          <a:chExt cx="3087854" cy="4317755"/>
        </a:xfrm>
      </xdr:grpSpPr>
      <xdr:grpSp>
        <xdr:nvGrpSpPr>
          <xdr:cNvPr id="373" name="Group 372">
            <a:extLst>
              <a:ext uri="{FF2B5EF4-FFF2-40B4-BE49-F238E27FC236}">
                <a16:creationId xmlns:a16="http://schemas.microsoft.com/office/drawing/2014/main" id="{00000000-0008-0000-0400-000075010000}"/>
              </a:ext>
            </a:extLst>
          </xdr:cNvPr>
          <xdr:cNvGrpSpPr/>
        </xdr:nvGrpSpPr>
        <xdr:grpSpPr>
          <a:xfrm>
            <a:off x="2870479" y="10960100"/>
            <a:ext cx="2816009" cy="1269276"/>
            <a:chOff x="4867607" y="4975411"/>
            <a:chExt cx="2753654" cy="1316399"/>
          </a:xfrm>
        </xdr:grpSpPr>
        <xdr:grpSp>
          <xdr:nvGrpSpPr>
            <xdr:cNvPr id="394" name="Group 393">
              <a:extLst>
                <a:ext uri="{FF2B5EF4-FFF2-40B4-BE49-F238E27FC236}">
                  <a16:creationId xmlns:a16="http://schemas.microsoft.com/office/drawing/2014/main" id="{00000000-0008-0000-0400-00008A01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403" name="Group 402">
                <a:extLst>
                  <a:ext uri="{FF2B5EF4-FFF2-40B4-BE49-F238E27FC236}">
                    <a16:creationId xmlns:a16="http://schemas.microsoft.com/office/drawing/2014/main" id="{00000000-0008-0000-0400-00009301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405" name="Shape 5">
                  <a:extLst>
                    <a:ext uri="{FF2B5EF4-FFF2-40B4-BE49-F238E27FC236}">
                      <a16:creationId xmlns:a16="http://schemas.microsoft.com/office/drawing/2014/main" id="{00000000-0008-0000-0400-00009501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06" name="Shape 6">
                  <a:extLst>
                    <a:ext uri="{FF2B5EF4-FFF2-40B4-BE49-F238E27FC236}">
                      <a16:creationId xmlns:a16="http://schemas.microsoft.com/office/drawing/2014/main" id="{00000000-0008-0000-0400-00009601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07" name="Shape 7">
                  <a:extLst>
                    <a:ext uri="{FF2B5EF4-FFF2-40B4-BE49-F238E27FC236}">
                      <a16:creationId xmlns:a16="http://schemas.microsoft.com/office/drawing/2014/main" id="{00000000-0008-0000-0400-00009701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08" name="Shape 8">
                  <a:extLst>
                    <a:ext uri="{FF2B5EF4-FFF2-40B4-BE49-F238E27FC236}">
                      <a16:creationId xmlns:a16="http://schemas.microsoft.com/office/drawing/2014/main" id="{00000000-0008-0000-0400-00009801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404" name="Rectangle 403">
                <a:extLst>
                  <a:ext uri="{FF2B5EF4-FFF2-40B4-BE49-F238E27FC236}">
                    <a16:creationId xmlns:a16="http://schemas.microsoft.com/office/drawing/2014/main" id="{00000000-0008-0000-0400-00009401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395" name="Group 394">
              <a:extLst>
                <a:ext uri="{FF2B5EF4-FFF2-40B4-BE49-F238E27FC236}">
                  <a16:creationId xmlns:a16="http://schemas.microsoft.com/office/drawing/2014/main" id="{00000000-0008-0000-0400-00008B010000}"/>
                </a:ext>
              </a:extLst>
            </xdr:cNvPr>
            <xdr:cNvGrpSpPr/>
          </xdr:nvGrpSpPr>
          <xdr:grpSpPr>
            <a:xfrm>
              <a:off x="4867607" y="5492101"/>
              <a:ext cx="1990393" cy="564535"/>
              <a:chOff x="6401079" y="6917765"/>
              <a:chExt cx="1984619" cy="545353"/>
            </a:xfrm>
          </xdr:grpSpPr>
          <xdr:sp macro="" textlink="">
            <xdr:nvSpPr>
              <xdr:cNvPr id="396" name="Shape 27">
                <a:extLst>
                  <a:ext uri="{FF2B5EF4-FFF2-40B4-BE49-F238E27FC236}">
                    <a16:creationId xmlns:a16="http://schemas.microsoft.com/office/drawing/2014/main" id="{00000000-0008-0000-0400-00008C01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97" name="Shape 27">
                <a:extLst>
                  <a:ext uri="{FF2B5EF4-FFF2-40B4-BE49-F238E27FC236}">
                    <a16:creationId xmlns:a16="http://schemas.microsoft.com/office/drawing/2014/main" id="{00000000-0008-0000-0400-00008D01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98" name="Shape 26">
                <a:extLst>
                  <a:ext uri="{FF2B5EF4-FFF2-40B4-BE49-F238E27FC236}">
                    <a16:creationId xmlns:a16="http://schemas.microsoft.com/office/drawing/2014/main" id="{00000000-0008-0000-0400-00008E01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399" name="Straight Connector 398">
                <a:extLst>
                  <a:ext uri="{FF2B5EF4-FFF2-40B4-BE49-F238E27FC236}">
                    <a16:creationId xmlns:a16="http://schemas.microsoft.com/office/drawing/2014/main" id="{00000000-0008-0000-0400-00008F010000}"/>
                  </a:ext>
                </a:extLst>
              </xdr:cNvPr>
              <xdr:cNvCxnSpPr/>
            </xdr:nvCxnSpPr>
            <xdr:spPr>
              <a:xfrm flipH="1">
                <a:off x="6401079" y="7270910"/>
                <a:ext cx="7183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0" name="Straight Connector 399">
                <a:extLst>
                  <a:ext uri="{FF2B5EF4-FFF2-40B4-BE49-F238E27FC236}">
                    <a16:creationId xmlns:a16="http://schemas.microsoft.com/office/drawing/2014/main" id="{00000000-0008-0000-0400-000090010000}"/>
                  </a:ext>
                </a:extLst>
              </xdr:cNvPr>
              <xdr:cNvCxnSpPr/>
            </xdr:nvCxnSpPr>
            <xdr:spPr>
              <a:xfrm flipH="1">
                <a:off x="7625907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02" name="Rectangle 401">
                <a:extLst>
                  <a:ext uri="{FF2B5EF4-FFF2-40B4-BE49-F238E27FC236}">
                    <a16:creationId xmlns:a16="http://schemas.microsoft.com/office/drawing/2014/main" id="{00000000-0008-0000-0400-00009201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379" name="Group 378">
            <a:extLst>
              <a:ext uri="{FF2B5EF4-FFF2-40B4-BE49-F238E27FC236}">
                <a16:creationId xmlns:a16="http://schemas.microsoft.com/office/drawing/2014/main" id="{00000000-0008-0000-0400-00007B010000}"/>
              </a:ext>
            </a:extLst>
          </xdr:cNvPr>
          <xdr:cNvGrpSpPr/>
        </xdr:nvGrpSpPr>
        <xdr:grpSpPr>
          <a:xfrm>
            <a:off x="2828940" y="8711961"/>
            <a:ext cx="269224" cy="3096381"/>
            <a:chOff x="4209075" y="8189559"/>
            <a:chExt cx="275787" cy="3076616"/>
          </a:xfrm>
        </xdr:grpSpPr>
        <xdr:grpSp>
          <xdr:nvGrpSpPr>
            <xdr:cNvPr id="387" name="Group 386">
              <a:extLst>
                <a:ext uri="{FF2B5EF4-FFF2-40B4-BE49-F238E27FC236}">
                  <a16:creationId xmlns:a16="http://schemas.microsoft.com/office/drawing/2014/main" id="{00000000-0008-0000-0400-000083010000}"/>
                </a:ext>
              </a:extLst>
            </xdr:cNvPr>
            <xdr:cNvGrpSpPr/>
          </xdr:nvGrpSpPr>
          <xdr:grpSpPr>
            <a:xfrm>
              <a:off x="4209075" y="8189559"/>
              <a:ext cx="275787" cy="318559"/>
              <a:chOff x="4209075" y="8189559"/>
              <a:chExt cx="275787" cy="318559"/>
            </a:xfrm>
          </xdr:grpSpPr>
          <xdr:sp macro="" textlink="">
            <xdr:nvSpPr>
              <xdr:cNvPr id="391" name="Shape 27">
                <a:extLst>
                  <a:ext uri="{FF2B5EF4-FFF2-40B4-BE49-F238E27FC236}">
                    <a16:creationId xmlns:a16="http://schemas.microsoft.com/office/drawing/2014/main" id="{00000000-0008-0000-0400-000087010000}"/>
                  </a:ext>
                </a:extLst>
              </xdr:cNvPr>
              <xdr:cNvSpPr/>
            </xdr:nvSpPr>
            <xdr:spPr>
              <a:xfrm>
                <a:off x="4209075" y="818955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92" name="Shape 27">
                <a:extLst>
                  <a:ext uri="{FF2B5EF4-FFF2-40B4-BE49-F238E27FC236}">
                    <a16:creationId xmlns:a16="http://schemas.microsoft.com/office/drawing/2014/main" id="{00000000-0008-0000-0400-000088010000}"/>
                  </a:ext>
                </a:extLst>
              </xdr:cNvPr>
              <xdr:cNvSpPr/>
            </xdr:nvSpPr>
            <xdr:spPr>
              <a:xfrm>
                <a:off x="4209920" y="8408431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93" name="Shape 26">
                <a:extLst>
                  <a:ext uri="{FF2B5EF4-FFF2-40B4-BE49-F238E27FC236}">
                    <a16:creationId xmlns:a16="http://schemas.microsoft.com/office/drawing/2014/main" id="{00000000-0008-0000-0400-000089010000}"/>
                  </a:ext>
                </a:extLst>
              </xdr:cNvPr>
              <xdr:cNvSpPr/>
            </xdr:nvSpPr>
            <xdr:spPr>
              <a:xfrm flipH="1">
                <a:off x="4272163" y="8222080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390" name="Straight Connector 389">
              <a:extLst>
                <a:ext uri="{FF2B5EF4-FFF2-40B4-BE49-F238E27FC236}">
                  <a16:creationId xmlns:a16="http://schemas.microsoft.com/office/drawing/2014/main" id="{00000000-0008-0000-0400-000086010000}"/>
                </a:ext>
              </a:extLst>
            </xdr:cNvPr>
            <xdr:cNvCxnSpPr/>
          </xdr:nvCxnSpPr>
          <xdr:spPr>
            <a:xfrm>
              <a:off x="4257709" y="8521439"/>
              <a:ext cx="0" cy="2744736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81" name="Straight Connector 380">
            <a:extLst>
              <a:ext uri="{FF2B5EF4-FFF2-40B4-BE49-F238E27FC236}">
                <a16:creationId xmlns:a16="http://schemas.microsoft.com/office/drawing/2014/main" id="{00000000-0008-0000-0400-00007D010000}"/>
              </a:ext>
            </a:extLst>
          </xdr:cNvPr>
          <xdr:cNvCxnSpPr/>
        </xdr:nvCxnSpPr>
        <xdr:spPr>
          <a:xfrm>
            <a:off x="2870513" y="8100298"/>
            <a:ext cx="0" cy="60947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84" name="hehe">
            <a:extLst>
              <a:ext uri="{FF2B5EF4-FFF2-40B4-BE49-F238E27FC236}">
                <a16:creationId xmlns:a16="http://schemas.microsoft.com/office/drawing/2014/main" id="{00000000-0008-0000-0400-000080010000}"/>
              </a:ext>
            </a:extLst>
          </xdr:cNvPr>
          <xdr:cNvSpPr/>
        </xdr:nvSpPr>
        <xdr:spPr>
          <a:xfrm>
            <a:off x="3066644" y="10875109"/>
            <a:ext cx="2850150" cy="154294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25</xdr:col>
      <xdr:colOff>184623</xdr:colOff>
      <xdr:row>14</xdr:row>
      <xdr:rowOff>122410</xdr:rowOff>
    </xdr:from>
    <xdr:to>
      <xdr:col>33</xdr:col>
      <xdr:colOff>113115</xdr:colOff>
      <xdr:row>52</xdr:row>
      <xdr:rowOff>68314</xdr:rowOff>
    </xdr:to>
    <xdr:grpSp>
      <xdr:nvGrpSpPr>
        <xdr:cNvPr id="409" name="ExtraArray">
          <a:extLst>
            <a:ext uri="{FF2B5EF4-FFF2-40B4-BE49-F238E27FC236}">
              <a16:creationId xmlns:a16="http://schemas.microsoft.com/office/drawing/2014/main" id="{00000000-0008-0000-0400-000099010000}"/>
            </a:ext>
          </a:extLst>
        </xdr:cNvPr>
        <xdr:cNvGrpSpPr/>
      </xdr:nvGrpSpPr>
      <xdr:grpSpPr>
        <a:xfrm>
          <a:off x="6534623" y="2967210"/>
          <a:ext cx="1960492" cy="7667504"/>
          <a:chOff x="2371806" y="3516835"/>
          <a:chExt cx="1956811" cy="7978355"/>
        </a:xfrm>
      </xdr:grpSpPr>
      <xdr:grpSp>
        <xdr:nvGrpSpPr>
          <xdr:cNvPr id="420" name="Group 419">
            <a:extLst>
              <a:ext uri="{FF2B5EF4-FFF2-40B4-BE49-F238E27FC236}">
                <a16:creationId xmlns:a16="http://schemas.microsoft.com/office/drawing/2014/main" id="{00000000-0008-0000-0400-0000A4010000}"/>
              </a:ext>
            </a:extLst>
          </xdr:cNvPr>
          <xdr:cNvGrpSpPr/>
        </xdr:nvGrpSpPr>
        <xdr:grpSpPr>
          <a:xfrm>
            <a:off x="2415698" y="11010818"/>
            <a:ext cx="1912919" cy="484372"/>
            <a:chOff x="5957660" y="6469460"/>
            <a:chExt cx="1865135" cy="485287"/>
          </a:xfrm>
        </xdr:grpSpPr>
        <xdr:sp macro="" textlink="">
          <xdr:nvSpPr>
            <xdr:cNvPr id="421" name="Shape 27">
              <a:extLst>
                <a:ext uri="{FF2B5EF4-FFF2-40B4-BE49-F238E27FC236}">
                  <a16:creationId xmlns:a16="http://schemas.microsoft.com/office/drawing/2014/main" id="{00000000-0008-0000-0400-0000A5010000}"/>
                </a:ext>
              </a:extLst>
            </xdr:cNvPr>
            <xdr:cNvSpPr/>
          </xdr:nvSpPr>
          <xdr:spPr>
            <a:xfrm>
              <a:off x="6975466" y="6716542"/>
              <a:ext cx="81180" cy="8463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22" name="Shape 27">
              <a:extLst>
                <a:ext uri="{FF2B5EF4-FFF2-40B4-BE49-F238E27FC236}">
                  <a16:creationId xmlns:a16="http://schemas.microsoft.com/office/drawing/2014/main" id="{00000000-0008-0000-0400-0000A6010000}"/>
                </a:ext>
              </a:extLst>
            </xdr:cNvPr>
            <xdr:cNvSpPr/>
          </xdr:nvSpPr>
          <xdr:spPr>
            <a:xfrm>
              <a:off x="7385664" y="6714697"/>
              <a:ext cx="80343" cy="8376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23" name="Shape 26">
              <a:extLst>
                <a:ext uri="{FF2B5EF4-FFF2-40B4-BE49-F238E27FC236}">
                  <a16:creationId xmlns:a16="http://schemas.microsoft.com/office/drawing/2014/main" id="{00000000-0008-0000-0400-0000A7010000}"/>
                </a:ext>
              </a:extLst>
            </xdr:cNvPr>
            <xdr:cNvSpPr/>
          </xdr:nvSpPr>
          <xdr:spPr>
            <a:xfrm flipH="1" flipV="1">
              <a:off x="7101962" y="6571814"/>
              <a:ext cx="295425" cy="18045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424" name="Straight Connector 423">
              <a:extLst>
                <a:ext uri="{FF2B5EF4-FFF2-40B4-BE49-F238E27FC236}">
                  <a16:creationId xmlns:a16="http://schemas.microsoft.com/office/drawing/2014/main" id="{00000000-0008-0000-0400-0000A8010000}"/>
                </a:ext>
              </a:extLst>
            </xdr:cNvPr>
            <xdr:cNvCxnSpPr/>
          </xdr:nvCxnSpPr>
          <xdr:spPr>
            <a:xfrm flipH="1">
              <a:off x="5957660" y="6762540"/>
              <a:ext cx="1018044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25" name="Straight Connector 424">
              <a:extLst>
                <a:ext uri="{FF2B5EF4-FFF2-40B4-BE49-F238E27FC236}">
                  <a16:creationId xmlns:a16="http://schemas.microsoft.com/office/drawing/2014/main" id="{00000000-0008-0000-0400-0000A9010000}"/>
                </a:ext>
              </a:extLst>
            </xdr:cNvPr>
            <xdr:cNvCxnSpPr/>
          </xdr:nvCxnSpPr>
          <xdr:spPr>
            <a:xfrm flipH="1">
              <a:off x="7471920" y="6756545"/>
              <a:ext cx="350875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6" name="Rectangle 425">
              <a:extLst>
                <a:ext uri="{FF2B5EF4-FFF2-40B4-BE49-F238E27FC236}">
                  <a16:creationId xmlns:a16="http://schemas.microsoft.com/office/drawing/2014/main" id="{00000000-0008-0000-0400-0000AA010000}"/>
                </a:ext>
              </a:extLst>
            </xdr:cNvPr>
            <xdr:cNvSpPr/>
          </xdr:nvSpPr>
          <xdr:spPr>
            <a:xfrm>
              <a:off x="6866438" y="6469460"/>
              <a:ext cx="668597" cy="485287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411" name="Group 410">
            <a:extLst>
              <a:ext uri="{FF2B5EF4-FFF2-40B4-BE49-F238E27FC236}">
                <a16:creationId xmlns:a16="http://schemas.microsoft.com/office/drawing/2014/main" id="{00000000-0008-0000-0400-00009B010000}"/>
              </a:ext>
            </a:extLst>
          </xdr:cNvPr>
          <xdr:cNvGrpSpPr/>
        </xdr:nvGrpSpPr>
        <xdr:grpSpPr>
          <a:xfrm>
            <a:off x="2371806" y="5135238"/>
            <a:ext cx="269229" cy="6168161"/>
            <a:chOff x="3740790" y="4635668"/>
            <a:chExt cx="275792" cy="6128789"/>
          </a:xfrm>
        </xdr:grpSpPr>
        <xdr:grpSp>
          <xdr:nvGrpSpPr>
            <xdr:cNvPr id="414" name="Group 413">
              <a:extLst>
                <a:ext uri="{FF2B5EF4-FFF2-40B4-BE49-F238E27FC236}">
                  <a16:creationId xmlns:a16="http://schemas.microsoft.com/office/drawing/2014/main" id="{00000000-0008-0000-0400-00009E010000}"/>
                </a:ext>
              </a:extLst>
            </xdr:cNvPr>
            <xdr:cNvGrpSpPr/>
          </xdr:nvGrpSpPr>
          <xdr:grpSpPr>
            <a:xfrm>
              <a:off x="3740790" y="4635668"/>
              <a:ext cx="275792" cy="318558"/>
              <a:chOff x="3740790" y="4635668"/>
              <a:chExt cx="275792" cy="318558"/>
            </a:xfrm>
          </xdr:grpSpPr>
          <xdr:sp macro="" textlink="">
            <xdr:nvSpPr>
              <xdr:cNvPr id="416" name="Shape 27">
                <a:extLst>
                  <a:ext uri="{FF2B5EF4-FFF2-40B4-BE49-F238E27FC236}">
                    <a16:creationId xmlns:a16="http://schemas.microsoft.com/office/drawing/2014/main" id="{00000000-0008-0000-0400-0000A0010000}"/>
                  </a:ext>
                </a:extLst>
              </xdr:cNvPr>
              <xdr:cNvSpPr/>
            </xdr:nvSpPr>
            <xdr:spPr>
              <a:xfrm>
                <a:off x="3740790" y="463566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17" name="Shape 27">
                <a:extLst>
                  <a:ext uri="{FF2B5EF4-FFF2-40B4-BE49-F238E27FC236}">
                    <a16:creationId xmlns:a16="http://schemas.microsoft.com/office/drawing/2014/main" id="{00000000-0008-0000-0400-0000A1010000}"/>
                  </a:ext>
                </a:extLst>
              </xdr:cNvPr>
              <xdr:cNvSpPr/>
            </xdr:nvSpPr>
            <xdr:spPr>
              <a:xfrm>
                <a:off x="3741633" y="485453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18" name="Shape 26">
                <a:extLst>
                  <a:ext uri="{FF2B5EF4-FFF2-40B4-BE49-F238E27FC236}">
                    <a16:creationId xmlns:a16="http://schemas.microsoft.com/office/drawing/2014/main" id="{00000000-0008-0000-0400-0000A2010000}"/>
                  </a:ext>
                </a:extLst>
              </xdr:cNvPr>
              <xdr:cNvSpPr/>
            </xdr:nvSpPr>
            <xdr:spPr>
              <a:xfrm flipH="1">
                <a:off x="3803883" y="4668189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415" name="Straight Connector 414">
              <a:extLst>
                <a:ext uri="{FF2B5EF4-FFF2-40B4-BE49-F238E27FC236}">
                  <a16:creationId xmlns:a16="http://schemas.microsoft.com/office/drawing/2014/main" id="{00000000-0008-0000-0400-00009F010000}"/>
                </a:ext>
              </a:extLst>
            </xdr:cNvPr>
            <xdr:cNvCxnSpPr/>
          </xdr:nvCxnSpPr>
          <xdr:spPr>
            <a:xfrm>
              <a:off x="3776449" y="4967549"/>
              <a:ext cx="0" cy="5796908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12" name="Straight Connector 411">
            <a:extLst>
              <a:ext uri="{FF2B5EF4-FFF2-40B4-BE49-F238E27FC236}">
                <a16:creationId xmlns:a16="http://schemas.microsoft.com/office/drawing/2014/main" id="{00000000-0008-0000-0400-00009C010000}"/>
              </a:ext>
            </a:extLst>
          </xdr:cNvPr>
          <xdr:cNvCxnSpPr/>
        </xdr:nvCxnSpPr>
        <xdr:spPr>
          <a:xfrm>
            <a:off x="2400708" y="3516835"/>
            <a:ext cx="0" cy="161621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103978</xdr:colOff>
      <xdr:row>16</xdr:row>
      <xdr:rowOff>34436</xdr:rowOff>
    </xdr:from>
    <xdr:to>
      <xdr:col>26</xdr:col>
      <xdr:colOff>104472</xdr:colOff>
      <xdr:row>17</xdr:row>
      <xdr:rowOff>15803</xdr:rowOff>
    </xdr:to>
    <xdr:cxnSp macro="">
      <xdr:nvCxnSpPr>
        <xdr:cNvPr id="434" name="Straight Connector 433">
          <a:extLst>
            <a:ext uri="{FF2B5EF4-FFF2-40B4-BE49-F238E27FC236}">
              <a16:creationId xmlns:a16="http://schemas.microsoft.com/office/drawing/2014/main" id="{00000000-0008-0000-0400-0000B2010000}"/>
            </a:ext>
          </a:extLst>
        </xdr:cNvPr>
        <xdr:cNvCxnSpPr/>
      </xdr:nvCxnSpPr>
      <xdr:spPr>
        <a:xfrm flipH="1">
          <a:off x="6453978" y="3285636"/>
          <a:ext cx="254494" cy="184567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249780</xdr:colOff>
      <xdr:row>39</xdr:row>
      <xdr:rowOff>167316</xdr:rowOff>
    </xdr:from>
    <xdr:to>
      <xdr:col>54</xdr:col>
      <xdr:colOff>77626</xdr:colOff>
      <xdr:row>58</xdr:row>
      <xdr:rowOff>55556</xdr:rowOff>
    </xdr:to>
    <xdr:sp macro="" textlink="">
      <xdr:nvSpPr>
        <xdr:cNvPr id="289" name="Dash">
          <a:extLst>
            <a:ext uri="{FF2B5EF4-FFF2-40B4-BE49-F238E27FC236}">
              <a16:creationId xmlns:a16="http://schemas.microsoft.com/office/drawing/2014/main" id="{00000000-0008-0000-0400-000021010000}"/>
            </a:ext>
          </a:extLst>
        </xdr:cNvPr>
        <xdr:cNvSpPr/>
      </xdr:nvSpPr>
      <xdr:spPr>
        <a:xfrm>
          <a:off x="8377780" y="8092116"/>
          <a:ext cx="5446326" cy="3749040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33</xdr:col>
      <xdr:colOff>120202</xdr:colOff>
      <xdr:row>46</xdr:row>
      <xdr:rowOff>132080</xdr:rowOff>
    </xdr:from>
    <xdr:to>
      <xdr:col>41</xdr:col>
      <xdr:colOff>196518</xdr:colOff>
      <xdr:row>55</xdr:row>
      <xdr:rowOff>82548</xdr:rowOff>
    </xdr:to>
    <xdr:grpSp>
      <xdr:nvGrpSpPr>
        <xdr:cNvPr id="290" name="Group 289">
          <a:extLst>
            <a:ext uri="{FF2B5EF4-FFF2-40B4-BE49-F238E27FC236}">
              <a16:creationId xmlns:a16="http://schemas.microsoft.com/office/drawing/2014/main" id="{00000000-0008-0000-0400-000022010000}"/>
            </a:ext>
          </a:extLst>
        </xdr:cNvPr>
        <xdr:cNvGrpSpPr/>
      </xdr:nvGrpSpPr>
      <xdr:grpSpPr>
        <a:xfrm>
          <a:off x="8502202" y="9479280"/>
          <a:ext cx="2159116" cy="1779268"/>
          <a:chOff x="8419329" y="6896468"/>
          <a:chExt cx="2600452" cy="2754628"/>
        </a:xfrm>
      </xdr:grpSpPr>
      <xdr:grpSp>
        <xdr:nvGrpSpPr>
          <xdr:cNvPr id="293" name="Group 292">
            <a:extLst>
              <a:ext uri="{FF2B5EF4-FFF2-40B4-BE49-F238E27FC236}">
                <a16:creationId xmlns:a16="http://schemas.microsoft.com/office/drawing/2014/main" id="{00000000-0008-0000-0400-000025010000}"/>
              </a:ext>
            </a:extLst>
          </xdr:cNvPr>
          <xdr:cNvGrpSpPr/>
        </xdr:nvGrpSpPr>
        <xdr:grpSpPr>
          <a:xfrm>
            <a:off x="8419329" y="6896468"/>
            <a:ext cx="996893" cy="2754628"/>
            <a:chOff x="5588000" y="4800600"/>
            <a:chExt cx="762000" cy="1270001"/>
          </a:xfrm>
        </xdr:grpSpPr>
        <xdr:grpSp>
          <xdr:nvGrpSpPr>
            <xdr:cNvPr id="410" name="Group 409">
              <a:extLst>
                <a:ext uri="{FF2B5EF4-FFF2-40B4-BE49-F238E27FC236}">
                  <a16:creationId xmlns:a16="http://schemas.microsoft.com/office/drawing/2014/main" id="{00000000-0008-0000-0400-00009A010000}"/>
                </a:ext>
              </a:extLst>
            </xdr:cNvPr>
            <xdr:cNvGrpSpPr/>
          </xdr:nvGrpSpPr>
          <xdr:grpSpPr>
            <a:xfrm>
              <a:off x="5600699" y="4813301"/>
              <a:ext cx="736601" cy="1257300"/>
              <a:chOff x="5600699" y="4813301"/>
              <a:chExt cx="736601" cy="1257300"/>
            </a:xfrm>
          </xdr:grpSpPr>
          <xdr:sp macro="" textlink="">
            <xdr:nvSpPr>
              <xdr:cNvPr id="419" name="Shape 5">
                <a:extLst>
                  <a:ext uri="{FF2B5EF4-FFF2-40B4-BE49-F238E27FC236}">
                    <a16:creationId xmlns:a16="http://schemas.microsoft.com/office/drawing/2014/main" id="{00000000-0008-0000-0400-0000A3010000}"/>
                  </a:ext>
                </a:extLst>
              </xdr:cNvPr>
              <xdr:cNvSpPr/>
            </xdr:nvSpPr>
            <xdr:spPr>
              <a:xfrm>
                <a:off x="5600699" y="4813301"/>
                <a:ext cx="736601" cy="12573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27" name="Shape 6">
                <a:extLst>
                  <a:ext uri="{FF2B5EF4-FFF2-40B4-BE49-F238E27FC236}">
                    <a16:creationId xmlns:a16="http://schemas.microsoft.com/office/drawing/2014/main" id="{00000000-0008-0000-0400-0000AB010000}"/>
                  </a:ext>
                </a:extLst>
              </xdr:cNvPr>
              <xdr:cNvSpPr/>
            </xdr:nvSpPr>
            <xdr:spPr>
              <a:xfrm>
                <a:off x="6027997" y="4938868"/>
                <a:ext cx="212482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28" name="Shape 7">
                <a:extLst>
                  <a:ext uri="{FF2B5EF4-FFF2-40B4-BE49-F238E27FC236}">
                    <a16:creationId xmlns:a16="http://schemas.microsoft.com/office/drawing/2014/main" id="{00000000-0008-0000-0400-0000AC010000}"/>
                  </a:ext>
                </a:extLst>
              </xdr:cNvPr>
              <xdr:cNvSpPr/>
            </xdr:nvSpPr>
            <xdr:spPr>
              <a:xfrm>
                <a:off x="6018472" y="5050734"/>
                <a:ext cx="222007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29" name="Shape 8">
                <a:extLst>
                  <a:ext uri="{FF2B5EF4-FFF2-40B4-BE49-F238E27FC236}">
                    <a16:creationId xmlns:a16="http://schemas.microsoft.com/office/drawing/2014/main" id="{00000000-0008-0000-0400-0000AD010000}"/>
                  </a:ext>
                </a:extLst>
              </xdr:cNvPr>
              <xdr:cNvSpPr/>
            </xdr:nvSpPr>
            <xdr:spPr>
              <a:xfrm>
                <a:off x="5716328" y="5742770"/>
                <a:ext cx="202957" cy="171450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400-00009D010000}"/>
                </a:ext>
              </a:extLst>
            </xdr:cNvPr>
            <xdr:cNvSpPr/>
          </xdr:nvSpPr>
          <xdr:spPr>
            <a:xfrm>
              <a:off x="5588000" y="4800600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323" name="Group 322">
            <a:extLst>
              <a:ext uri="{FF2B5EF4-FFF2-40B4-BE49-F238E27FC236}">
                <a16:creationId xmlns:a16="http://schemas.microsoft.com/office/drawing/2014/main" id="{00000000-0008-0000-0400-000043010000}"/>
              </a:ext>
            </a:extLst>
          </xdr:cNvPr>
          <xdr:cNvGrpSpPr/>
        </xdr:nvGrpSpPr>
        <xdr:grpSpPr>
          <a:xfrm>
            <a:off x="9884485" y="6912966"/>
            <a:ext cx="521438" cy="839837"/>
            <a:chOff x="8312729" y="2242252"/>
            <a:chExt cx="516507" cy="808182"/>
          </a:xfrm>
        </xdr:grpSpPr>
        <xdr:grpSp>
          <xdr:nvGrpSpPr>
            <xdr:cNvPr id="355" name="Group 354">
              <a:extLst>
                <a:ext uri="{FF2B5EF4-FFF2-40B4-BE49-F238E27FC236}">
                  <a16:creationId xmlns:a16="http://schemas.microsoft.com/office/drawing/2014/main" id="{00000000-0008-0000-0400-00006301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357" name="Shape 9">
                <a:extLst>
                  <a:ext uri="{FF2B5EF4-FFF2-40B4-BE49-F238E27FC236}">
                    <a16:creationId xmlns:a16="http://schemas.microsoft.com/office/drawing/2014/main" id="{00000000-0008-0000-0400-00006501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8" name="Shape 38">
                <a:extLst>
                  <a:ext uri="{FF2B5EF4-FFF2-40B4-BE49-F238E27FC236}">
                    <a16:creationId xmlns:a16="http://schemas.microsoft.com/office/drawing/2014/main" id="{00000000-0008-0000-0400-00006601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66" name="Shape 39">
                <a:extLst>
                  <a:ext uri="{FF2B5EF4-FFF2-40B4-BE49-F238E27FC236}">
                    <a16:creationId xmlns:a16="http://schemas.microsoft.com/office/drawing/2014/main" id="{00000000-0008-0000-0400-00006E01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67" name="Shape 13">
                <a:extLst>
                  <a:ext uri="{FF2B5EF4-FFF2-40B4-BE49-F238E27FC236}">
                    <a16:creationId xmlns:a16="http://schemas.microsoft.com/office/drawing/2014/main" id="{00000000-0008-0000-0400-00006F01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68" name="Shape 37">
                <a:extLst>
                  <a:ext uri="{FF2B5EF4-FFF2-40B4-BE49-F238E27FC236}">
                    <a16:creationId xmlns:a16="http://schemas.microsoft.com/office/drawing/2014/main" id="{00000000-0008-0000-0400-00007001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70" name="Shape 9">
                <a:extLst>
                  <a:ext uri="{FF2B5EF4-FFF2-40B4-BE49-F238E27FC236}">
                    <a16:creationId xmlns:a16="http://schemas.microsoft.com/office/drawing/2014/main" id="{00000000-0008-0000-0400-00007201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71" name="Shape 9">
                <a:extLst>
                  <a:ext uri="{FF2B5EF4-FFF2-40B4-BE49-F238E27FC236}">
                    <a16:creationId xmlns:a16="http://schemas.microsoft.com/office/drawing/2014/main" id="{00000000-0008-0000-0400-00007301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74" name="Shape 9">
                <a:extLst>
                  <a:ext uri="{FF2B5EF4-FFF2-40B4-BE49-F238E27FC236}">
                    <a16:creationId xmlns:a16="http://schemas.microsoft.com/office/drawing/2014/main" id="{00000000-0008-0000-0400-00007601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356" name="Rectangle 355">
              <a:extLst>
                <a:ext uri="{FF2B5EF4-FFF2-40B4-BE49-F238E27FC236}">
                  <a16:creationId xmlns:a16="http://schemas.microsoft.com/office/drawing/2014/main" id="{00000000-0008-0000-0400-00006401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cxnSp macro="">
        <xdr:nvCxnSpPr>
          <xdr:cNvPr id="325" name="Straight Connector 324">
            <a:extLst>
              <a:ext uri="{FF2B5EF4-FFF2-40B4-BE49-F238E27FC236}">
                <a16:creationId xmlns:a16="http://schemas.microsoft.com/office/drawing/2014/main" id="{00000000-0008-0000-0400-000045010000}"/>
              </a:ext>
            </a:extLst>
          </xdr:cNvPr>
          <xdr:cNvCxnSpPr/>
        </xdr:nvCxnSpPr>
        <xdr:spPr>
          <a:xfrm flipH="1">
            <a:off x="10318691" y="7289385"/>
            <a:ext cx="646093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6" name="Straight Connector 325">
            <a:extLst>
              <a:ext uri="{FF2B5EF4-FFF2-40B4-BE49-F238E27FC236}">
                <a16:creationId xmlns:a16="http://schemas.microsoft.com/office/drawing/2014/main" id="{00000000-0008-0000-0400-000046010000}"/>
              </a:ext>
            </a:extLst>
          </xdr:cNvPr>
          <xdr:cNvCxnSpPr/>
        </xdr:nvCxnSpPr>
        <xdr:spPr>
          <a:xfrm flipH="1">
            <a:off x="10319049" y="7510096"/>
            <a:ext cx="658461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1" name="Straight Connector 330">
            <a:extLst>
              <a:ext uri="{FF2B5EF4-FFF2-40B4-BE49-F238E27FC236}">
                <a16:creationId xmlns:a16="http://schemas.microsoft.com/office/drawing/2014/main" id="{00000000-0008-0000-0400-00004B010000}"/>
              </a:ext>
            </a:extLst>
          </xdr:cNvPr>
          <xdr:cNvCxnSpPr/>
        </xdr:nvCxnSpPr>
        <xdr:spPr>
          <a:xfrm flipH="1">
            <a:off x="9413893" y="7492565"/>
            <a:ext cx="58369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4" name="Straight Connector 333">
            <a:extLst>
              <a:ext uri="{FF2B5EF4-FFF2-40B4-BE49-F238E27FC236}">
                <a16:creationId xmlns:a16="http://schemas.microsoft.com/office/drawing/2014/main" id="{00000000-0008-0000-0400-00004E010000}"/>
              </a:ext>
            </a:extLst>
          </xdr:cNvPr>
          <xdr:cNvCxnSpPr/>
        </xdr:nvCxnSpPr>
        <xdr:spPr>
          <a:xfrm flipH="1">
            <a:off x="9405307" y="7290460"/>
            <a:ext cx="58369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340" name="Group 339">
            <a:extLst>
              <a:ext uri="{FF2B5EF4-FFF2-40B4-BE49-F238E27FC236}">
                <a16:creationId xmlns:a16="http://schemas.microsoft.com/office/drawing/2014/main" id="{00000000-0008-0000-0400-000054010000}"/>
              </a:ext>
            </a:extLst>
          </xdr:cNvPr>
          <xdr:cNvGrpSpPr/>
        </xdr:nvGrpSpPr>
        <xdr:grpSpPr>
          <a:xfrm>
            <a:off x="9902730" y="8722441"/>
            <a:ext cx="521438" cy="837332"/>
            <a:chOff x="8312729" y="2242252"/>
            <a:chExt cx="516507" cy="808182"/>
          </a:xfrm>
        </xdr:grpSpPr>
        <xdr:grpSp>
          <xdr:nvGrpSpPr>
            <xdr:cNvPr id="345" name="Group 344">
              <a:extLst>
                <a:ext uri="{FF2B5EF4-FFF2-40B4-BE49-F238E27FC236}">
                  <a16:creationId xmlns:a16="http://schemas.microsoft.com/office/drawing/2014/main" id="{00000000-0008-0000-0400-00005901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347" name="Shape 9">
                <a:extLst>
                  <a:ext uri="{FF2B5EF4-FFF2-40B4-BE49-F238E27FC236}">
                    <a16:creationId xmlns:a16="http://schemas.microsoft.com/office/drawing/2014/main" id="{00000000-0008-0000-0400-00005B01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48" name="Shape 38">
                <a:extLst>
                  <a:ext uri="{FF2B5EF4-FFF2-40B4-BE49-F238E27FC236}">
                    <a16:creationId xmlns:a16="http://schemas.microsoft.com/office/drawing/2014/main" id="{00000000-0008-0000-0400-00005C01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49" name="Shape 39">
                <a:extLst>
                  <a:ext uri="{FF2B5EF4-FFF2-40B4-BE49-F238E27FC236}">
                    <a16:creationId xmlns:a16="http://schemas.microsoft.com/office/drawing/2014/main" id="{00000000-0008-0000-0400-00005D01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0" name="Shape 13">
                <a:extLst>
                  <a:ext uri="{FF2B5EF4-FFF2-40B4-BE49-F238E27FC236}">
                    <a16:creationId xmlns:a16="http://schemas.microsoft.com/office/drawing/2014/main" id="{00000000-0008-0000-0400-00005E01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1" name="Shape 37">
                <a:extLst>
                  <a:ext uri="{FF2B5EF4-FFF2-40B4-BE49-F238E27FC236}">
                    <a16:creationId xmlns:a16="http://schemas.microsoft.com/office/drawing/2014/main" id="{00000000-0008-0000-0400-00005F01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2" name="Shape 9">
                <a:extLst>
                  <a:ext uri="{FF2B5EF4-FFF2-40B4-BE49-F238E27FC236}">
                    <a16:creationId xmlns:a16="http://schemas.microsoft.com/office/drawing/2014/main" id="{00000000-0008-0000-0400-00006001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3" name="Shape 9">
                <a:extLst>
                  <a:ext uri="{FF2B5EF4-FFF2-40B4-BE49-F238E27FC236}">
                    <a16:creationId xmlns:a16="http://schemas.microsoft.com/office/drawing/2014/main" id="{00000000-0008-0000-0400-00006101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4" name="Shape 9">
                <a:extLst>
                  <a:ext uri="{FF2B5EF4-FFF2-40B4-BE49-F238E27FC236}">
                    <a16:creationId xmlns:a16="http://schemas.microsoft.com/office/drawing/2014/main" id="{00000000-0008-0000-0400-00006201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346" name="Rectangle 345">
              <a:extLst>
                <a:ext uri="{FF2B5EF4-FFF2-40B4-BE49-F238E27FC236}">
                  <a16:creationId xmlns:a16="http://schemas.microsoft.com/office/drawing/2014/main" id="{00000000-0008-0000-0400-00005A01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cxnSp macro="">
        <xdr:nvCxnSpPr>
          <xdr:cNvPr id="341" name="Straight Connector 340">
            <a:extLst>
              <a:ext uri="{FF2B5EF4-FFF2-40B4-BE49-F238E27FC236}">
                <a16:creationId xmlns:a16="http://schemas.microsoft.com/office/drawing/2014/main" id="{00000000-0008-0000-0400-000055010000}"/>
              </a:ext>
            </a:extLst>
          </xdr:cNvPr>
          <xdr:cNvCxnSpPr/>
        </xdr:nvCxnSpPr>
        <xdr:spPr>
          <a:xfrm flipH="1">
            <a:off x="9417197" y="9316981"/>
            <a:ext cx="58369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2" name="Straight Connector 341">
            <a:extLst>
              <a:ext uri="{FF2B5EF4-FFF2-40B4-BE49-F238E27FC236}">
                <a16:creationId xmlns:a16="http://schemas.microsoft.com/office/drawing/2014/main" id="{00000000-0008-0000-0400-000056010000}"/>
              </a:ext>
            </a:extLst>
          </xdr:cNvPr>
          <xdr:cNvCxnSpPr/>
        </xdr:nvCxnSpPr>
        <xdr:spPr>
          <a:xfrm flipH="1">
            <a:off x="9423552" y="9100669"/>
            <a:ext cx="58369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3" name="Straight Connector 342">
            <a:extLst>
              <a:ext uri="{FF2B5EF4-FFF2-40B4-BE49-F238E27FC236}">
                <a16:creationId xmlns:a16="http://schemas.microsoft.com/office/drawing/2014/main" id="{00000000-0008-0000-0400-000057010000}"/>
              </a:ext>
            </a:extLst>
          </xdr:cNvPr>
          <xdr:cNvCxnSpPr/>
        </xdr:nvCxnSpPr>
        <xdr:spPr>
          <a:xfrm flipH="1">
            <a:off x="10334080" y="9303134"/>
            <a:ext cx="685701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4" name="Straight Connector 343">
            <a:extLst>
              <a:ext uri="{FF2B5EF4-FFF2-40B4-BE49-F238E27FC236}">
                <a16:creationId xmlns:a16="http://schemas.microsoft.com/office/drawing/2014/main" id="{00000000-0008-0000-0400-000058010000}"/>
              </a:ext>
            </a:extLst>
          </xdr:cNvPr>
          <xdr:cNvCxnSpPr/>
        </xdr:nvCxnSpPr>
        <xdr:spPr>
          <a:xfrm flipH="1">
            <a:off x="10343024" y="9101029"/>
            <a:ext cx="65994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41</xdr:col>
      <xdr:colOff>113304</xdr:colOff>
      <xdr:row>52</xdr:row>
      <xdr:rowOff>85255</xdr:rowOff>
    </xdr:from>
    <xdr:to>
      <xdr:col>42</xdr:col>
      <xdr:colOff>198986</xdr:colOff>
      <xdr:row>55</xdr:row>
      <xdr:rowOff>45261</xdr:rowOff>
    </xdr:to>
    <xdr:grpSp>
      <xdr:nvGrpSpPr>
        <xdr:cNvPr id="430" name="Group 429">
          <a:extLst>
            <a:ext uri="{FF2B5EF4-FFF2-40B4-BE49-F238E27FC236}">
              <a16:creationId xmlns:a16="http://schemas.microsoft.com/office/drawing/2014/main" id="{00000000-0008-0000-0400-0000AE010000}"/>
            </a:ext>
          </a:extLst>
        </xdr:cNvPr>
        <xdr:cNvGrpSpPr/>
      </xdr:nvGrpSpPr>
      <xdr:grpSpPr>
        <a:xfrm>
          <a:off x="10578104" y="10651655"/>
          <a:ext cx="373549" cy="569606"/>
          <a:chOff x="8312729" y="2242252"/>
          <a:chExt cx="516507" cy="808182"/>
        </a:xfrm>
      </xdr:grpSpPr>
      <xdr:grpSp>
        <xdr:nvGrpSpPr>
          <xdr:cNvPr id="431" name="Group 430">
            <a:extLst>
              <a:ext uri="{FF2B5EF4-FFF2-40B4-BE49-F238E27FC236}">
                <a16:creationId xmlns:a16="http://schemas.microsoft.com/office/drawing/2014/main" id="{00000000-0008-0000-0400-0000AF01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433" name="Shape 9">
              <a:extLst>
                <a:ext uri="{FF2B5EF4-FFF2-40B4-BE49-F238E27FC236}">
                  <a16:creationId xmlns:a16="http://schemas.microsoft.com/office/drawing/2014/main" id="{00000000-0008-0000-0400-0000B101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35" name="Shape 38">
              <a:extLst>
                <a:ext uri="{FF2B5EF4-FFF2-40B4-BE49-F238E27FC236}">
                  <a16:creationId xmlns:a16="http://schemas.microsoft.com/office/drawing/2014/main" id="{00000000-0008-0000-0400-0000B301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36" name="Shape 39">
              <a:extLst>
                <a:ext uri="{FF2B5EF4-FFF2-40B4-BE49-F238E27FC236}">
                  <a16:creationId xmlns:a16="http://schemas.microsoft.com/office/drawing/2014/main" id="{00000000-0008-0000-0400-0000B401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37" name="Shape 13">
              <a:extLst>
                <a:ext uri="{FF2B5EF4-FFF2-40B4-BE49-F238E27FC236}">
                  <a16:creationId xmlns:a16="http://schemas.microsoft.com/office/drawing/2014/main" id="{00000000-0008-0000-0400-0000B501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38" name="Shape 37">
              <a:extLst>
                <a:ext uri="{FF2B5EF4-FFF2-40B4-BE49-F238E27FC236}">
                  <a16:creationId xmlns:a16="http://schemas.microsoft.com/office/drawing/2014/main" id="{00000000-0008-0000-0400-0000B601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39" name="Shape 9">
              <a:extLst>
                <a:ext uri="{FF2B5EF4-FFF2-40B4-BE49-F238E27FC236}">
                  <a16:creationId xmlns:a16="http://schemas.microsoft.com/office/drawing/2014/main" id="{00000000-0008-0000-0400-0000B701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40" name="Shape 9">
              <a:extLst>
                <a:ext uri="{FF2B5EF4-FFF2-40B4-BE49-F238E27FC236}">
                  <a16:creationId xmlns:a16="http://schemas.microsoft.com/office/drawing/2014/main" id="{00000000-0008-0000-0400-0000B801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41" name="Shape 9">
              <a:extLst>
                <a:ext uri="{FF2B5EF4-FFF2-40B4-BE49-F238E27FC236}">
                  <a16:creationId xmlns:a16="http://schemas.microsoft.com/office/drawing/2014/main" id="{00000000-0008-0000-0400-0000B901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432" name="Rectangle 431">
            <a:extLst>
              <a:ext uri="{FF2B5EF4-FFF2-40B4-BE49-F238E27FC236}">
                <a16:creationId xmlns:a16="http://schemas.microsoft.com/office/drawing/2014/main" id="{00000000-0008-0000-0400-0000B001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42</xdr:col>
      <xdr:colOff>111837</xdr:colOff>
      <xdr:row>52</xdr:row>
      <xdr:rowOff>60961</xdr:rowOff>
    </xdr:from>
    <xdr:to>
      <xdr:col>52</xdr:col>
      <xdr:colOff>30788</xdr:colOff>
      <xdr:row>57</xdr:row>
      <xdr:rowOff>24829</xdr:rowOff>
    </xdr:to>
    <xdr:grpSp>
      <xdr:nvGrpSpPr>
        <xdr:cNvPr id="442" name="Group 441">
          <a:extLst>
            <a:ext uri="{FF2B5EF4-FFF2-40B4-BE49-F238E27FC236}">
              <a16:creationId xmlns:a16="http://schemas.microsoft.com/office/drawing/2014/main" id="{00000000-0008-0000-0400-0000BA010000}"/>
            </a:ext>
          </a:extLst>
        </xdr:cNvPr>
        <xdr:cNvGrpSpPr/>
      </xdr:nvGrpSpPr>
      <xdr:grpSpPr>
        <a:xfrm>
          <a:off x="10864504" y="10627361"/>
          <a:ext cx="2458951" cy="979868"/>
          <a:chOff x="6865001" y="3624645"/>
          <a:chExt cx="3603023" cy="1387858"/>
        </a:xfrm>
      </xdr:grpSpPr>
      <xdr:grpSp>
        <xdr:nvGrpSpPr>
          <xdr:cNvPr id="443" name="Group 442">
            <a:extLst>
              <a:ext uri="{FF2B5EF4-FFF2-40B4-BE49-F238E27FC236}">
                <a16:creationId xmlns:a16="http://schemas.microsoft.com/office/drawing/2014/main" id="{00000000-0008-0000-0400-0000BB010000}"/>
              </a:ext>
            </a:extLst>
          </xdr:cNvPr>
          <xdr:cNvGrpSpPr/>
        </xdr:nvGrpSpPr>
        <xdr:grpSpPr>
          <a:xfrm>
            <a:off x="8637589" y="3624645"/>
            <a:ext cx="1830435" cy="1387858"/>
            <a:chOff x="8637589" y="3624645"/>
            <a:chExt cx="1830435" cy="1387858"/>
          </a:xfrm>
        </xdr:grpSpPr>
        <xdr:grpSp>
          <xdr:nvGrpSpPr>
            <xdr:cNvPr id="446" name="Group 445">
              <a:extLst>
                <a:ext uri="{FF2B5EF4-FFF2-40B4-BE49-F238E27FC236}">
                  <a16:creationId xmlns:a16="http://schemas.microsoft.com/office/drawing/2014/main" id="{00000000-0008-0000-0400-0000BE010000}"/>
                </a:ext>
              </a:extLst>
            </xdr:cNvPr>
            <xdr:cNvGrpSpPr/>
          </xdr:nvGrpSpPr>
          <xdr:grpSpPr>
            <a:xfrm>
              <a:off x="8637589" y="3624645"/>
              <a:ext cx="1536437" cy="808476"/>
              <a:chOff x="8637589" y="3654424"/>
              <a:chExt cx="1536437" cy="817235"/>
            </a:xfrm>
          </xdr:grpSpPr>
          <xdr:grpSp>
            <xdr:nvGrpSpPr>
              <xdr:cNvPr id="453" name="Group 452">
                <a:extLst>
                  <a:ext uri="{FF2B5EF4-FFF2-40B4-BE49-F238E27FC236}">
                    <a16:creationId xmlns:a16="http://schemas.microsoft.com/office/drawing/2014/main" id="{00000000-0008-0000-0400-0000C5010000}"/>
                  </a:ext>
                </a:extLst>
              </xdr:cNvPr>
              <xdr:cNvGrpSpPr/>
            </xdr:nvGrpSpPr>
            <xdr:grpSpPr>
              <a:xfrm>
                <a:off x="8637589" y="3654424"/>
                <a:ext cx="521025" cy="811443"/>
                <a:chOff x="10048174" y="1594350"/>
                <a:chExt cx="525820" cy="800858"/>
              </a:xfrm>
            </xdr:grpSpPr>
            <xdr:sp macro="" textlink="">
              <xdr:nvSpPr>
                <xdr:cNvPr id="463" name="Shape 46">
                  <a:extLst>
                    <a:ext uri="{FF2B5EF4-FFF2-40B4-BE49-F238E27FC236}">
                      <a16:creationId xmlns:a16="http://schemas.microsoft.com/office/drawing/2014/main" id="{00000000-0008-0000-0400-0000CF010000}"/>
                    </a:ext>
                  </a:extLst>
                </xdr:cNvPr>
                <xdr:cNvSpPr/>
              </xdr:nvSpPr>
              <xdr:spPr>
                <a:xfrm flipH="1" flipV="1">
                  <a:off x="10048175" y="1594350"/>
                  <a:ext cx="254725" cy="294558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64" name="Rectangle 463">
                  <a:extLst>
                    <a:ext uri="{FF2B5EF4-FFF2-40B4-BE49-F238E27FC236}">
                      <a16:creationId xmlns:a16="http://schemas.microsoft.com/office/drawing/2014/main" id="{00000000-0008-0000-0400-0000D0010000}"/>
                    </a:ext>
                  </a:extLst>
                </xdr:cNvPr>
                <xdr:cNvSpPr/>
              </xdr:nvSpPr>
              <xdr:spPr>
                <a:xfrm>
                  <a:off x="10048174" y="1597484"/>
                  <a:ext cx="511195" cy="797724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465" name="Shape 46">
                  <a:extLst>
                    <a:ext uri="{FF2B5EF4-FFF2-40B4-BE49-F238E27FC236}">
                      <a16:creationId xmlns:a16="http://schemas.microsoft.com/office/drawing/2014/main" id="{00000000-0008-0000-0400-0000D1010000}"/>
                    </a:ext>
                  </a:extLst>
                </xdr:cNvPr>
                <xdr:cNvSpPr/>
              </xdr:nvSpPr>
              <xdr:spPr>
                <a:xfrm rot="5040000" flipH="1" flipV="1">
                  <a:off x="10298614" y="1602768"/>
                  <a:ext cx="264734" cy="286026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grpSp>
            <xdr:nvGrpSpPr>
              <xdr:cNvPr id="454" name="Group 453">
                <a:extLst>
                  <a:ext uri="{FF2B5EF4-FFF2-40B4-BE49-F238E27FC236}">
                    <a16:creationId xmlns:a16="http://schemas.microsoft.com/office/drawing/2014/main" id="{00000000-0008-0000-0400-0000C6010000}"/>
                  </a:ext>
                </a:extLst>
              </xdr:cNvPr>
              <xdr:cNvGrpSpPr/>
            </xdr:nvGrpSpPr>
            <xdr:grpSpPr>
              <a:xfrm>
                <a:off x="9654262" y="3659876"/>
                <a:ext cx="519764" cy="811783"/>
                <a:chOff x="10041786" y="1591243"/>
                <a:chExt cx="522944" cy="797725"/>
              </a:xfrm>
            </xdr:grpSpPr>
            <xdr:sp macro="" textlink="">
              <xdr:nvSpPr>
                <xdr:cNvPr id="460" name="Shape 46">
                  <a:extLst>
                    <a:ext uri="{FF2B5EF4-FFF2-40B4-BE49-F238E27FC236}">
                      <a16:creationId xmlns:a16="http://schemas.microsoft.com/office/drawing/2014/main" id="{00000000-0008-0000-0400-0000CC010000}"/>
                    </a:ext>
                  </a:extLst>
                </xdr:cNvPr>
                <xdr:cNvSpPr/>
              </xdr:nvSpPr>
              <xdr:spPr>
                <a:xfrm flipH="1" flipV="1">
                  <a:off x="10048175" y="1591243"/>
                  <a:ext cx="246889" cy="300404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61" name="Rectangle 460">
                  <a:extLst>
                    <a:ext uri="{FF2B5EF4-FFF2-40B4-BE49-F238E27FC236}">
                      <a16:creationId xmlns:a16="http://schemas.microsoft.com/office/drawing/2014/main" id="{00000000-0008-0000-0400-0000CD010000}"/>
                    </a:ext>
                  </a:extLst>
                </xdr:cNvPr>
                <xdr:cNvSpPr/>
              </xdr:nvSpPr>
              <xdr:spPr>
                <a:xfrm>
                  <a:off x="10041786" y="1591244"/>
                  <a:ext cx="511195" cy="797724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462" name="Shape 46">
                  <a:extLst>
                    <a:ext uri="{FF2B5EF4-FFF2-40B4-BE49-F238E27FC236}">
                      <a16:creationId xmlns:a16="http://schemas.microsoft.com/office/drawing/2014/main" id="{00000000-0008-0000-0400-0000CE010000}"/>
                    </a:ext>
                  </a:extLst>
                </xdr:cNvPr>
                <xdr:cNvSpPr/>
              </xdr:nvSpPr>
              <xdr:spPr>
                <a:xfrm rot="5040000" flipH="1" flipV="1">
                  <a:off x="10286902" y="1603135"/>
                  <a:ext cx="270716" cy="28494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455" name="Shape 27">
                <a:extLst>
                  <a:ext uri="{FF2B5EF4-FFF2-40B4-BE49-F238E27FC236}">
                    <a16:creationId xmlns:a16="http://schemas.microsoft.com/office/drawing/2014/main" id="{00000000-0008-0000-0400-0000C7010000}"/>
                  </a:ext>
                </a:extLst>
              </xdr:cNvPr>
              <xdr:cNvSpPr/>
            </xdr:nvSpPr>
            <xdr:spPr>
              <a:xfrm>
                <a:off x="9170863" y="4024347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56" name="Shape 27">
                <a:extLst>
                  <a:ext uri="{FF2B5EF4-FFF2-40B4-BE49-F238E27FC236}">
                    <a16:creationId xmlns:a16="http://schemas.microsoft.com/office/drawing/2014/main" id="{00000000-0008-0000-0400-0000C8010000}"/>
                  </a:ext>
                </a:extLst>
              </xdr:cNvPr>
              <xdr:cNvSpPr/>
            </xdr:nvSpPr>
            <xdr:spPr>
              <a:xfrm>
                <a:off x="9283328" y="4024989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58" name="Shape 27">
                <a:extLst>
                  <a:ext uri="{FF2B5EF4-FFF2-40B4-BE49-F238E27FC236}">
                    <a16:creationId xmlns:a16="http://schemas.microsoft.com/office/drawing/2014/main" id="{00000000-0008-0000-0400-0000CA010000}"/>
                  </a:ext>
                </a:extLst>
              </xdr:cNvPr>
              <xdr:cNvSpPr/>
            </xdr:nvSpPr>
            <xdr:spPr>
              <a:xfrm>
                <a:off x="9390981" y="4025631"/>
                <a:ext cx="74425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59" name="Shape 27">
                <a:extLst>
                  <a:ext uri="{FF2B5EF4-FFF2-40B4-BE49-F238E27FC236}">
                    <a16:creationId xmlns:a16="http://schemas.microsoft.com/office/drawing/2014/main" id="{00000000-0008-0000-0400-0000CB010000}"/>
                  </a:ext>
                </a:extLst>
              </xdr:cNvPr>
              <xdr:cNvSpPr/>
            </xdr:nvSpPr>
            <xdr:spPr>
              <a:xfrm>
                <a:off x="9497036" y="4024636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447" name="Elbow Connector 446">
              <a:extLst>
                <a:ext uri="{FF2B5EF4-FFF2-40B4-BE49-F238E27FC236}">
                  <a16:creationId xmlns:a16="http://schemas.microsoft.com/office/drawing/2014/main" id="{00000000-0008-0000-0400-0000BF010000}"/>
                </a:ext>
              </a:extLst>
            </xdr:cNvPr>
            <xdr:cNvCxnSpPr>
              <a:stCxn id="461" idx="3"/>
            </xdr:cNvCxnSpPr>
          </xdr:nvCxnSpPr>
          <xdr:spPr>
            <a:xfrm>
              <a:off x="10162347" y="4031581"/>
              <a:ext cx="305677" cy="980922"/>
            </a:xfrm>
            <a:prstGeom prst="bentConnector2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44" name="Elbow Connector 443">
            <a:extLst>
              <a:ext uri="{FF2B5EF4-FFF2-40B4-BE49-F238E27FC236}">
                <a16:creationId xmlns:a16="http://schemas.microsoft.com/office/drawing/2014/main" id="{00000000-0008-0000-0400-0000BC010000}"/>
              </a:ext>
            </a:extLst>
          </xdr:cNvPr>
          <xdr:cNvCxnSpPr>
            <a:stCxn id="441" idx="0"/>
          </xdr:cNvCxnSpPr>
        </xdr:nvCxnSpPr>
        <xdr:spPr>
          <a:xfrm>
            <a:off x="6865001" y="4226960"/>
            <a:ext cx="3553380" cy="756162"/>
          </a:xfrm>
          <a:prstGeom prst="bentConnector3">
            <a:avLst>
              <a:gd name="adj1" fmla="val 42383"/>
            </a:avLst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5" name="Straight Connector 444">
            <a:extLst>
              <a:ext uri="{FF2B5EF4-FFF2-40B4-BE49-F238E27FC236}">
                <a16:creationId xmlns:a16="http://schemas.microsoft.com/office/drawing/2014/main" id="{00000000-0008-0000-0400-0000BD010000}"/>
              </a:ext>
            </a:extLst>
          </xdr:cNvPr>
          <xdr:cNvCxnSpPr>
            <a:cxnSpLocks/>
            <a:stCxn id="464" idx="1"/>
          </xdr:cNvCxnSpPr>
        </xdr:nvCxnSpPr>
        <xdr:spPr>
          <a:xfrm flipH="1">
            <a:off x="6900368" y="4027588"/>
            <a:ext cx="1737221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41</xdr:col>
      <xdr:colOff>64720</xdr:colOff>
      <xdr:row>46</xdr:row>
      <xdr:rowOff>91439</xdr:rowOff>
    </xdr:from>
    <xdr:to>
      <xdr:col>51</xdr:col>
      <xdr:colOff>250913</xdr:colOff>
      <xdr:row>50</xdr:row>
      <xdr:rowOff>191452</xdr:rowOff>
    </xdr:to>
    <xdr:grpSp>
      <xdr:nvGrpSpPr>
        <xdr:cNvPr id="466" name="Group 465">
          <a:extLst>
            <a:ext uri="{FF2B5EF4-FFF2-40B4-BE49-F238E27FC236}">
              <a16:creationId xmlns:a16="http://schemas.microsoft.com/office/drawing/2014/main" id="{00000000-0008-0000-0400-0000D2010000}"/>
            </a:ext>
          </a:extLst>
        </xdr:cNvPr>
        <xdr:cNvGrpSpPr/>
      </xdr:nvGrpSpPr>
      <xdr:grpSpPr>
        <a:xfrm>
          <a:off x="10529520" y="9438639"/>
          <a:ext cx="2760060" cy="912813"/>
          <a:chOff x="6463027" y="3629024"/>
          <a:chExt cx="3950973" cy="1216296"/>
        </a:xfrm>
      </xdr:grpSpPr>
      <xdr:grpSp>
        <xdr:nvGrpSpPr>
          <xdr:cNvPr id="468" name="Group 467">
            <a:extLst>
              <a:ext uri="{FF2B5EF4-FFF2-40B4-BE49-F238E27FC236}">
                <a16:creationId xmlns:a16="http://schemas.microsoft.com/office/drawing/2014/main" id="{00000000-0008-0000-0400-0000D401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480" name="Group 479">
              <a:extLst>
                <a:ext uri="{FF2B5EF4-FFF2-40B4-BE49-F238E27FC236}">
                  <a16:creationId xmlns:a16="http://schemas.microsoft.com/office/drawing/2014/main" id="{00000000-0008-0000-0400-0000E001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483" name="Group 482">
                <a:extLst>
                  <a:ext uri="{FF2B5EF4-FFF2-40B4-BE49-F238E27FC236}">
                    <a16:creationId xmlns:a16="http://schemas.microsoft.com/office/drawing/2014/main" id="{00000000-0008-0000-0400-0000E301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485" name="Group 484">
                  <a:extLst>
                    <a:ext uri="{FF2B5EF4-FFF2-40B4-BE49-F238E27FC236}">
                      <a16:creationId xmlns:a16="http://schemas.microsoft.com/office/drawing/2014/main" id="{00000000-0008-0000-0400-0000E501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494" name="Shape 46">
                    <a:extLst>
                      <a:ext uri="{FF2B5EF4-FFF2-40B4-BE49-F238E27FC236}">
                        <a16:creationId xmlns:a16="http://schemas.microsoft.com/office/drawing/2014/main" id="{00000000-0008-0000-0400-0000EE01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495" name="Rectangle 494">
                    <a:extLst>
                      <a:ext uri="{FF2B5EF4-FFF2-40B4-BE49-F238E27FC236}">
                        <a16:creationId xmlns:a16="http://schemas.microsoft.com/office/drawing/2014/main" id="{00000000-0008-0000-0400-0000EF01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496" name="Shape 46">
                    <a:extLst>
                      <a:ext uri="{FF2B5EF4-FFF2-40B4-BE49-F238E27FC236}">
                        <a16:creationId xmlns:a16="http://schemas.microsoft.com/office/drawing/2014/main" id="{00000000-0008-0000-0400-0000F001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486" name="Group 485">
                  <a:extLst>
                    <a:ext uri="{FF2B5EF4-FFF2-40B4-BE49-F238E27FC236}">
                      <a16:creationId xmlns:a16="http://schemas.microsoft.com/office/drawing/2014/main" id="{00000000-0008-0000-0400-0000E601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491" name="Shape 46">
                    <a:extLst>
                      <a:ext uri="{FF2B5EF4-FFF2-40B4-BE49-F238E27FC236}">
                        <a16:creationId xmlns:a16="http://schemas.microsoft.com/office/drawing/2014/main" id="{00000000-0008-0000-0400-0000EB01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492" name="Rectangle 491">
                    <a:extLst>
                      <a:ext uri="{FF2B5EF4-FFF2-40B4-BE49-F238E27FC236}">
                        <a16:creationId xmlns:a16="http://schemas.microsoft.com/office/drawing/2014/main" id="{00000000-0008-0000-0400-0000EC01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493" name="Shape 46">
                    <a:extLst>
                      <a:ext uri="{FF2B5EF4-FFF2-40B4-BE49-F238E27FC236}">
                        <a16:creationId xmlns:a16="http://schemas.microsoft.com/office/drawing/2014/main" id="{00000000-0008-0000-0400-0000ED01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487" name="Shape 27">
                  <a:extLst>
                    <a:ext uri="{FF2B5EF4-FFF2-40B4-BE49-F238E27FC236}">
                      <a16:creationId xmlns:a16="http://schemas.microsoft.com/office/drawing/2014/main" id="{00000000-0008-0000-0400-0000E701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88" name="Shape 27">
                  <a:extLst>
                    <a:ext uri="{FF2B5EF4-FFF2-40B4-BE49-F238E27FC236}">
                      <a16:creationId xmlns:a16="http://schemas.microsoft.com/office/drawing/2014/main" id="{00000000-0008-0000-0400-0000E801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89" name="Shape 27">
                  <a:extLst>
                    <a:ext uri="{FF2B5EF4-FFF2-40B4-BE49-F238E27FC236}">
                      <a16:creationId xmlns:a16="http://schemas.microsoft.com/office/drawing/2014/main" id="{00000000-0008-0000-0400-0000E901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90" name="Shape 27">
                  <a:extLst>
                    <a:ext uri="{FF2B5EF4-FFF2-40B4-BE49-F238E27FC236}">
                      <a16:creationId xmlns:a16="http://schemas.microsoft.com/office/drawing/2014/main" id="{00000000-0008-0000-0400-0000EA01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484" name="Elbow Connector 483">
                <a:extLst>
                  <a:ext uri="{FF2B5EF4-FFF2-40B4-BE49-F238E27FC236}">
                    <a16:creationId xmlns:a16="http://schemas.microsoft.com/office/drawing/2014/main" id="{00000000-0008-0000-0400-0000E4010000}"/>
                  </a:ext>
                </a:extLst>
              </xdr:cNvPr>
              <xdr:cNvCxnSpPr>
                <a:stCxn id="492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481" name="Elbow Connector 480">
              <a:extLst>
                <a:ext uri="{FF2B5EF4-FFF2-40B4-BE49-F238E27FC236}">
                  <a16:creationId xmlns:a16="http://schemas.microsoft.com/office/drawing/2014/main" id="{00000000-0008-0000-0400-0000E101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2" name="Straight Connector 481">
              <a:extLst>
                <a:ext uri="{FF2B5EF4-FFF2-40B4-BE49-F238E27FC236}">
                  <a16:creationId xmlns:a16="http://schemas.microsoft.com/office/drawing/2014/main" id="{00000000-0008-0000-0400-0000E2010000}"/>
                </a:ext>
              </a:extLst>
            </xdr:cNvPr>
            <xdr:cNvCxnSpPr>
              <a:stCxn id="495" idx="1"/>
              <a:endCxn id="477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469" name="Group 468">
            <a:extLst>
              <a:ext uri="{FF2B5EF4-FFF2-40B4-BE49-F238E27FC236}">
                <a16:creationId xmlns:a16="http://schemas.microsoft.com/office/drawing/2014/main" id="{00000000-0008-0000-0400-0000D5010000}"/>
              </a:ext>
            </a:extLst>
          </xdr:cNvPr>
          <xdr:cNvGrpSpPr/>
        </xdr:nvGrpSpPr>
        <xdr:grpSpPr>
          <a:xfrm>
            <a:off x="6463027" y="3663974"/>
            <a:ext cx="514076" cy="812899"/>
            <a:chOff x="8312729" y="2242252"/>
            <a:chExt cx="516507" cy="808182"/>
          </a:xfrm>
        </xdr:grpSpPr>
        <xdr:grpSp>
          <xdr:nvGrpSpPr>
            <xdr:cNvPr id="470" name="Group 469">
              <a:extLst>
                <a:ext uri="{FF2B5EF4-FFF2-40B4-BE49-F238E27FC236}">
                  <a16:creationId xmlns:a16="http://schemas.microsoft.com/office/drawing/2014/main" id="{00000000-0008-0000-0400-0000D601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472" name="Shape 9">
                <a:extLst>
                  <a:ext uri="{FF2B5EF4-FFF2-40B4-BE49-F238E27FC236}">
                    <a16:creationId xmlns:a16="http://schemas.microsoft.com/office/drawing/2014/main" id="{00000000-0008-0000-0400-0000D801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3" name="Shape 38">
                <a:extLst>
                  <a:ext uri="{FF2B5EF4-FFF2-40B4-BE49-F238E27FC236}">
                    <a16:creationId xmlns:a16="http://schemas.microsoft.com/office/drawing/2014/main" id="{00000000-0008-0000-0400-0000D901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4" name="Shape 39">
                <a:extLst>
                  <a:ext uri="{FF2B5EF4-FFF2-40B4-BE49-F238E27FC236}">
                    <a16:creationId xmlns:a16="http://schemas.microsoft.com/office/drawing/2014/main" id="{00000000-0008-0000-0400-0000DA01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5" name="Shape 13">
                <a:extLst>
                  <a:ext uri="{FF2B5EF4-FFF2-40B4-BE49-F238E27FC236}">
                    <a16:creationId xmlns:a16="http://schemas.microsoft.com/office/drawing/2014/main" id="{00000000-0008-0000-0400-0000DB01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6" name="Shape 37">
                <a:extLst>
                  <a:ext uri="{FF2B5EF4-FFF2-40B4-BE49-F238E27FC236}">
                    <a16:creationId xmlns:a16="http://schemas.microsoft.com/office/drawing/2014/main" id="{00000000-0008-0000-0400-0000DC01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7" name="Shape 9">
                <a:extLst>
                  <a:ext uri="{FF2B5EF4-FFF2-40B4-BE49-F238E27FC236}">
                    <a16:creationId xmlns:a16="http://schemas.microsoft.com/office/drawing/2014/main" id="{00000000-0008-0000-0400-0000DD01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8" name="Shape 9">
                <a:extLst>
                  <a:ext uri="{FF2B5EF4-FFF2-40B4-BE49-F238E27FC236}">
                    <a16:creationId xmlns:a16="http://schemas.microsoft.com/office/drawing/2014/main" id="{00000000-0008-0000-0400-0000DE01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9" name="Shape 9">
                <a:extLst>
                  <a:ext uri="{FF2B5EF4-FFF2-40B4-BE49-F238E27FC236}">
                    <a16:creationId xmlns:a16="http://schemas.microsoft.com/office/drawing/2014/main" id="{00000000-0008-0000-0400-0000DF01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471" name="Rectangle 470">
              <a:extLst>
                <a:ext uri="{FF2B5EF4-FFF2-40B4-BE49-F238E27FC236}">
                  <a16:creationId xmlns:a16="http://schemas.microsoft.com/office/drawing/2014/main" id="{00000000-0008-0000-0400-0000D701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44</xdr:col>
      <xdr:colOff>216255</xdr:colOff>
      <xdr:row>40</xdr:row>
      <xdr:rowOff>91440</xdr:rowOff>
    </xdr:from>
    <xdr:to>
      <xdr:col>52</xdr:col>
      <xdr:colOff>46146</xdr:colOff>
      <xdr:row>48</xdr:row>
      <xdr:rowOff>166857</xdr:rowOff>
    </xdr:to>
    <xdr:grpSp>
      <xdr:nvGrpSpPr>
        <xdr:cNvPr id="497" name="Parra.A">
          <a:extLst>
            <a:ext uri="{FF2B5EF4-FFF2-40B4-BE49-F238E27FC236}">
              <a16:creationId xmlns:a16="http://schemas.microsoft.com/office/drawing/2014/main" id="{00000000-0008-0000-0400-0000F1010000}"/>
            </a:ext>
          </a:extLst>
        </xdr:cNvPr>
        <xdr:cNvGrpSpPr/>
      </xdr:nvGrpSpPr>
      <xdr:grpSpPr>
        <a:xfrm>
          <a:off x="11476922" y="8219440"/>
          <a:ext cx="1861891" cy="1701017"/>
          <a:chOff x="12083808" y="1681201"/>
          <a:chExt cx="2800369" cy="2508138"/>
        </a:xfrm>
      </xdr:grpSpPr>
      <xdr:grpSp>
        <xdr:nvGrpSpPr>
          <xdr:cNvPr id="498" name="Group 497">
            <a:extLst>
              <a:ext uri="{FF2B5EF4-FFF2-40B4-BE49-F238E27FC236}">
                <a16:creationId xmlns:a16="http://schemas.microsoft.com/office/drawing/2014/main" id="{00000000-0008-0000-0400-0000F2010000}"/>
              </a:ext>
            </a:extLst>
          </xdr:cNvPr>
          <xdr:cNvGrpSpPr/>
        </xdr:nvGrpSpPr>
        <xdr:grpSpPr>
          <a:xfrm>
            <a:off x="12083808" y="1681201"/>
            <a:ext cx="2800369" cy="2508138"/>
            <a:chOff x="8135888" y="6041149"/>
            <a:chExt cx="2800382" cy="2340562"/>
          </a:xfrm>
        </xdr:grpSpPr>
        <xdr:grpSp>
          <xdr:nvGrpSpPr>
            <xdr:cNvPr id="500" name="Group 499">
              <a:extLst>
                <a:ext uri="{FF2B5EF4-FFF2-40B4-BE49-F238E27FC236}">
                  <a16:creationId xmlns:a16="http://schemas.microsoft.com/office/drawing/2014/main" id="{00000000-0008-0000-0400-0000F4010000}"/>
                </a:ext>
              </a:extLst>
            </xdr:cNvPr>
            <xdr:cNvGrpSpPr/>
          </xdr:nvGrpSpPr>
          <xdr:grpSpPr>
            <a:xfrm>
              <a:off x="8162425" y="6041149"/>
              <a:ext cx="2773845" cy="1263099"/>
              <a:chOff x="7655301" y="3624645"/>
              <a:chExt cx="2773845" cy="1263099"/>
            </a:xfrm>
          </xdr:grpSpPr>
          <xdr:grpSp>
            <xdr:nvGrpSpPr>
              <xdr:cNvPr id="505" name="Group 504">
                <a:extLst>
                  <a:ext uri="{FF2B5EF4-FFF2-40B4-BE49-F238E27FC236}">
                    <a16:creationId xmlns:a16="http://schemas.microsoft.com/office/drawing/2014/main" id="{00000000-0008-0000-0400-0000F9010000}"/>
                  </a:ext>
                </a:extLst>
              </xdr:cNvPr>
              <xdr:cNvGrpSpPr/>
            </xdr:nvGrpSpPr>
            <xdr:grpSpPr>
              <a:xfrm>
                <a:off x="8637589" y="3624645"/>
                <a:ext cx="1791557" cy="1263099"/>
                <a:chOff x="8637589" y="3624645"/>
                <a:chExt cx="1791557" cy="1263099"/>
              </a:xfrm>
            </xdr:grpSpPr>
            <xdr:grpSp>
              <xdr:nvGrpSpPr>
                <xdr:cNvPr id="507" name="Group 506">
                  <a:extLst>
                    <a:ext uri="{FF2B5EF4-FFF2-40B4-BE49-F238E27FC236}">
                      <a16:creationId xmlns:a16="http://schemas.microsoft.com/office/drawing/2014/main" id="{00000000-0008-0000-0400-0000FB01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509" name="Group 508">
                    <a:extLst>
                      <a:ext uri="{FF2B5EF4-FFF2-40B4-BE49-F238E27FC236}">
                        <a16:creationId xmlns:a16="http://schemas.microsoft.com/office/drawing/2014/main" id="{00000000-0008-0000-0400-0000FD01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518" name="Shape 46">
                      <a:extLst>
                        <a:ext uri="{FF2B5EF4-FFF2-40B4-BE49-F238E27FC236}">
                          <a16:creationId xmlns:a16="http://schemas.microsoft.com/office/drawing/2014/main" id="{00000000-0008-0000-0400-00000602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519" name="Rectangle 518">
                      <a:extLst>
                        <a:ext uri="{FF2B5EF4-FFF2-40B4-BE49-F238E27FC236}">
                          <a16:creationId xmlns:a16="http://schemas.microsoft.com/office/drawing/2014/main" id="{00000000-0008-0000-0400-00000702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520" name="Shape 46">
                      <a:extLst>
                        <a:ext uri="{FF2B5EF4-FFF2-40B4-BE49-F238E27FC236}">
                          <a16:creationId xmlns:a16="http://schemas.microsoft.com/office/drawing/2014/main" id="{00000000-0008-0000-0400-00000802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510" name="Group 509">
                    <a:extLst>
                      <a:ext uri="{FF2B5EF4-FFF2-40B4-BE49-F238E27FC236}">
                        <a16:creationId xmlns:a16="http://schemas.microsoft.com/office/drawing/2014/main" id="{00000000-0008-0000-0400-0000FE01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515" name="Shape 46">
                      <a:extLst>
                        <a:ext uri="{FF2B5EF4-FFF2-40B4-BE49-F238E27FC236}">
                          <a16:creationId xmlns:a16="http://schemas.microsoft.com/office/drawing/2014/main" id="{00000000-0008-0000-0400-00000302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516" name="Rectangle 515">
                      <a:extLst>
                        <a:ext uri="{FF2B5EF4-FFF2-40B4-BE49-F238E27FC236}">
                          <a16:creationId xmlns:a16="http://schemas.microsoft.com/office/drawing/2014/main" id="{00000000-0008-0000-0400-00000402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517" name="Shape 46">
                      <a:extLst>
                        <a:ext uri="{FF2B5EF4-FFF2-40B4-BE49-F238E27FC236}">
                          <a16:creationId xmlns:a16="http://schemas.microsoft.com/office/drawing/2014/main" id="{00000000-0008-0000-0400-00000502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511" name="Shape 27">
                    <a:extLst>
                      <a:ext uri="{FF2B5EF4-FFF2-40B4-BE49-F238E27FC236}">
                        <a16:creationId xmlns:a16="http://schemas.microsoft.com/office/drawing/2014/main" id="{00000000-0008-0000-0400-0000FF01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512" name="Shape 27">
                    <a:extLst>
                      <a:ext uri="{FF2B5EF4-FFF2-40B4-BE49-F238E27FC236}">
                        <a16:creationId xmlns:a16="http://schemas.microsoft.com/office/drawing/2014/main" id="{00000000-0008-0000-0400-00000002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513" name="Shape 27">
                    <a:extLst>
                      <a:ext uri="{FF2B5EF4-FFF2-40B4-BE49-F238E27FC236}">
                        <a16:creationId xmlns:a16="http://schemas.microsoft.com/office/drawing/2014/main" id="{00000000-0008-0000-0400-00000102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514" name="Shape 27">
                    <a:extLst>
                      <a:ext uri="{FF2B5EF4-FFF2-40B4-BE49-F238E27FC236}">
                        <a16:creationId xmlns:a16="http://schemas.microsoft.com/office/drawing/2014/main" id="{00000000-0008-0000-0400-00000202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508" name="Elbow Connector 507">
                  <a:extLst>
                    <a:ext uri="{FF2B5EF4-FFF2-40B4-BE49-F238E27FC236}">
                      <a16:creationId xmlns:a16="http://schemas.microsoft.com/office/drawing/2014/main" id="{00000000-0008-0000-0400-0000FC010000}"/>
                    </a:ext>
                  </a:extLst>
                </xdr:cNvPr>
                <xdr:cNvCxnSpPr>
                  <a:stCxn id="516" idx="3"/>
                </xdr:cNvCxnSpPr>
              </xdr:nvCxnSpPr>
              <xdr:spPr>
                <a:xfrm>
                  <a:off x="10162349" y="4031581"/>
                  <a:ext cx="266797" cy="856163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506" name="Straight Connector 505">
                <a:extLst>
                  <a:ext uri="{FF2B5EF4-FFF2-40B4-BE49-F238E27FC236}">
                    <a16:creationId xmlns:a16="http://schemas.microsoft.com/office/drawing/2014/main" id="{00000000-0008-0000-0400-0000FA010000}"/>
                  </a:ext>
                </a:extLst>
              </xdr:cNvPr>
              <xdr:cNvCxnSpPr>
                <a:stCxn id="519" idx="1"/>
              </xdr:cNvCxnSpPr>
            </xdr:nvCxnSpPr>
            <xdr:spPr>
              <a:xfrm flipH="1">
                <a:off x="7655301" y="4027589"/>
                <a:ext cx="982288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501" name="Straight Connector 500">
              <a:extLst>
                <a:ext uri="{FF2B5EF4-FFF2-40B4-BE49-F238E27FC236}">
                  <a16:creationId xmlns:a16="http://schemas.microsoft.com/office/drawing/2014/main" id="{00000000-0008-0000-0400-0000F5010000}"/>
                </a:ext>
              </a:extLst>
            </xdr:cNvPr>
            <xdr:cNvCxnSpPr/>
          </xdr:nvCxnSpPr>
          <xdr:spPr>
            <a:xfrm>
              <a:off x="8386972" y="7282731"/>
              <a:ext cx="0" cy="1063937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02" name="Straight Connector 501">
              <a:extLst>
                <a:ext uri="{FF2B5EF4-FFF2-40B4-BE49-F238E27FC236}">
                  <a16:creationId xmlns:a16="http://schemas.microsoft.com/office/drawing/2014/main" id="{00000000-0008-0000-0400-0000F6010000}"/>
                </a:ext>
              </a:extLst>
            </xdr:cNvPr>
            <xdr:cNvCxnSpPr/>
          </xdr:nvCxnSpPr>
          <xdr:spPr>
            <a:xfrm>
              <a:off x="8166544" y="6445150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503" name="Shape 27">
              <a:extLst>
                <a:ext uri="{FF2B5EF4-FFF2-40B4-BE49-F238E27FC236}">
                  <a16:creationId xmlns:a16="http://schemas.microsoft.com/office/drawing/2014/main" id="{00000000-0008-0000-0400-0000F7010000}"/>
                </a:ext>
              </a:extLst>
            </xdr:cNvPr>
            <xdr:cNvSpPr/>
          </xdr:nvSpPr>
          <xdr:spPr>
            <a:xfrm>
              <a:off x="8135888" y="8114456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04" name="Shape 27">
              <a:extLst>
                <a:ext uri="{FF2B5EF4-FFF2-40B4-BE49-F238E27FC236}">
                  <a16:creationId xmlns:a16="http://schemas.microsoft.com/office/drawing/2014/main" id="{00000000-0008-0000-0400-0000F8010000}"/>
                </a:ext>
              </a:extLst>
            </xdr:cNvPr>
            <xdr:cNvSpPr/>
          </xdr:nvSpPr>
          <xdr:spPr>
            <a:xfrm>
              <a:off x="8361038" y="8315979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499" name="Straight Connector 498">
            <a:extLst>
              <a:ext uri="{FF2B5EF4-FFF2-40B4-BE49-F238E27FC236}">
                <a16:creationId xmlns:a16="http://schemas.microsoft.com/office/drawing/2014/main" id="{00000000-0008-0000-0400-0000F3010000}"/>
              </a:ext>
            </a:extLst>
          </xdr:cNvPr>
          <xdr:cNvCxnSpPr/>
        </xdr:nvCxnSpPr>
        <xdr:spPr>
          <a:xfrm flipH="1">
            <a:off x="12333861" y="3015818"/>
            <a:ext cx="253730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58</xdr:col>
      <xdr:colOff>25400</xdr:colOff>
      <xdr:row>19</xdr:row>
      <xdr:rowOff>12700</xdr:rowOff>
    </xdr:from>
    <xdr:to>
      <xdr:col>59</xdr:col>
      <xdr:colOff>241300</xdr:colOff>
      <xdr:row>24</xdr:row>
      <xdr:rowOff>50800</xdr:rowOff>
    </xdr:to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 rot="16200000">
          <a:off x="14541500" y="4165600"/>
          <a:ext cx="1054100" cy="46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6mm</a:t>
          </a:r>
          <a:r>
            <a:rPr lang="en-GB" sz="1100" baseline="0"/>
            <a:t> 2C+E</a:t>
          </a:r>
          <a:endParaRPr lang="en-GB" sz="1100"/>
        </a:p>
      </xdr:txBody>
    </xdr:sp>
    <xdr:clientData/>
  </xdr:twoCellAnchor>
  <xdr:twoCellAnchor>
    <xdr:from>
      <xdr:col>33</xdr:col>
      <xdr:colOff>99000</xdr:colOff>
      <xdr:row>14</xdr:row>
      <xdr:rowOff>180410</xdr:rowOff>
    </xdr:from>
    <xdr:to>
      <xdr:col>34</xdr:col>
      <xdr:colOff>71602</xdr:colOff>
      <xdr:row>16</xdr:row>
      <xdr:rowOff>148660</xdr:rowOff>
    </xdr:to>
    <xdr:grpSp>
      <xdr:nvGrpSpPr>
        <xdr:cNvPr id="449" name="3PLoads">
          <a:extLst>
            <a:ext uri="{FF2B5EF4-FFF2-40B4-BE49-F238E27FC236}">
              <a16:creationId xmlns:a16="http://schemas.microsoft.com/office/drawing/2014/main" id="{00000000-0008-0000-0400-0000C1010000}"/>
            </a:ext>
          </a:extLst>
        </xdr:cNvPr>
        <xdr:cNvGrpSpPr/>
      </xdr:nvGrpSpPr>
      <xdr:grpSpPr>
        <a:xfrm>
          <a:off x="8481000" y="3025210"/>
          <a:ext cx="226602" cy="374650"/>
          <a:chOff x="3201903" y="4462268"/>
          <a:chExt cx="227837" cy="369303"/>
        </a:xfrm>
      </xdr:grpSpPr>
      <xdr:sp macro="" textlink="">
        <xdr:nvSpPr>
          <xdr:cNvPr id="450" name="Shape 26">
            <a:extLst>
              <a:ext uri="{FF2B5EF4-FFF2-40B4-BE49-F238E27FC236}">
                <a16:creationId xmlns:a16="http://schemas.microsoft.com/office/drawing/2014/main" id="{00000000-0008-0000-0400-0000C2010000}"/>
              </a:ext>
            </a:extLst>
          </xdr:cNvPr>
          <xdr:cNvSpPr/>
        </xdr:nvSpPr>
        <xdr:spPr>
          <a:xfrm flipH="1">
            <a:off x="3201903" y="4462268"/>
            <a:ext cx="219855" cy="212126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451" name="Shape 26">
            <a:extLst>
              <a:ext uri="{FF2B5EF4-FFF2-40B4-BE49-F238E27FC236}">
                <a16:creationId xmlns:a16="http://schemas.microsoft.com/office/drawing/2014/main" id="{00000000-0008-0000-0400-0000C3010000}"/>
              </a:ext>
            </a:extLst>
          </xdr:cNvPr>
          <xdr:cNvSpPr/>
        </xdr:nvSpPr>
        <xdr:spPr>
          <a:xfrm flipH="1">
            <a:off x="3209589" y="4619000"/>
            <a:ext cx="220151" cy="21257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33</xdr:col>
      <xdr:colOff>116690</xdr:colOff>
      <xdr:row>15</xdr:row>
      <xdr:rowOff>39350</xdr:rowOff>
    </xdr:from>
    <xdr:to>
      <xdr:col>34</xdr:col>
      <xdr:colOff>81801</xdr:colOff>
      <xdr:row>16</xdr:row>
      <xdr:rowOff>51936</xdr:rowOff>
    </xdr:to>
    <xdr:sp macro="" textlink="">
      <xdr:nvSpPr>
        <xdr:cNvPr id="452" name="Shape 26">
          <a:extLst>
            <a:ext uri="{FF2B5EF4-FFF2-40B4-BE49-F238E27FC236}">
              <a16:creationId xmlns:a16="http://schemas.microsoft.com/office/drawing/2014/main" id="{00000000-0008-0000-0400-0000C4010000}"/>
            </a:ext>
          </a:extLst>
        </xdr:cNvPr>
        <xdr:cNvSpPr/>
      </xdr:nvSpPr>
      <xdr:spPr>
        <a:xfrm flipH="1">
          <a:off x="8349011" y="3100957"/>
          <a:ext cx="214576" cy="216693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22</xdr:col>
      <xdr:colOff>135208</xdr:colOff>
      <xdr:row>3</xdr:row>
      <xdr:rowOff>161313</xdr:rowOff>
    </xdr:from>
    <xdr:to>
      <xdr:col>67</xdr:col>
      <xdr:colOff>152400</xdr:colOff>
      <xdr:row>24</xdr:row>
      <xdr:rowOff>25400</xdr:rowOff>
    </xdr:to>
    <xdr:sp macro="" textlink="">
      <xdr:nvSpPr>
        <xdr:cNvPr id="521" name="Rectangle 520">
          <a:extLst>
            <a:ext uri="{FF2B5EF4-FFF2-40B4-BE49-F238E27FC236}">
              <a16:creationId xmlns:a16="http://schemas.microsoft.com/office/drawing/2014/main" id="{00000000-0008-0000-0400-000009020000}"/>
            </a:ext>
          </a:extLst>
        </xdr:cNvPr>
        <xdr:cNvSpPr/>
      </xdr:nvSpPr>
      <xdr:spPr>
        <a:xfrm>
          <a:off x="5723208" y="770913"/>
          <a:ext cx="11523392" cy="4131287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103403</xdr:colOff>
      <xdr:row>62</xdr:row>
      <xdr:rowOff>51117</xdr:rowOff>
    </xdr:from>
    <xdr:to>
      <xdr:col>24</xdr:col>
      <xdr:colOff>21521</xdr:colOff>
      <xdr:row>63</xdr:row>
      <xdr:rowOff>44379</xdr:rowOff>
    </xdr:to>
    <xdr:cxnSp macro="">
      <xdr:nvCxnSpPr>
        <xdr:cNvPr id="522" name="2P">
          <a:extLst>
            <a:ext uri="{FF2B5EF4-FFF2-40B4-BE49-F238E27FC236}">
              <a16:creationId xmlns:a16="http://schemas.microsoft.com/office/drawing/2014/main" id="{00000000-0008-0000-0400-00000A020000}"/>
            </a:ext>
          </a:extLst>
        </xdr:cNvPr>
        <xdr:cNvCxnSpPr/>
      </xdr:nvCxnSpPr>
      <xdr:spPr>
        <a:xfrm flipH="1">
          <a:off x="5945403" y="12649517"/>
          <a:ext cx="172118" cy="1964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154200</xdr:colOff>
      <xdr:row>62</xdr:row>
      <xdr:rowOff>51111</xdr:rowOff>
    </xdr:from>
    <xdr:to>
      <xdr:col>23</xdr:col>
      <xdr:colOff>72318</xdr:colOff>
      <xdr:row>63</xdr:row>
      <xdr:rowOff>44373</xdr:rowOff>
    </xdr:to>
    <xdr:cxnSp macro="">
      <xdr:nvCxnSpPr>
        <xdr:cNvPr id="523" name="2P">
          <a:extLst>
            <a:ext uri="{FF2B5EF4-FFF2-40B4-BE49-F238E27FC236}">
              <a16:creationId xmlns:a16="http://schemas.microsoft.com/office/drawing/2014/main" id="{00000000-0008-0000-0400-00000B020000}"/>
            </a:ext>
          </a:extLst>
        </xdr:cNvPr>
        <xdr:cNvCxnSpPr/>
      </xdr:nvCxnSpPr>
      <xdr:spPr>
        <a:xfrm flipH="1">
          <a:off x="5742200" y="12649511"/>
          <a:ext cx="172118" cy="1964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cbsolar-operations/jobs/templates/Design%20For%20Three%20Phase%20Supp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age"/>
      <sheetName val="Rules"/>
      <sheetName val="Defined Names"/>
      <sheetName val="Reference - Panel"/>
      <sheetName val="Reference - Inverter"/>
      <sheetName val="Reference - Cable"/>
      <sheetName val="Design VRC"/>
      <sheetName val="1x1"/>
      <sheetName val="1x1 (C)"/>
      <sheetName val="1x2"/>
      <sheetName val="1x2 (C)"/>
      <sheetName val="SLD Components"/>
    </sheetNames>
    <sheetDataSet>
      <sheetData sheetId="0">
        <row r="28">
          <cell r="I28">
            <v>9</v>
          </cell>
        </row>
        <row r="29">
          <cell r="I29">
            <v>9</v>
          </cell>
        </row>
      </sheetData>
      <sheetData sheetId="1">
        <row r="5">
          <cell r="C5" t="b">
            <v>0</v>
          </cell>
        </row>
        <row r="6">
          <cell r="C6" t="b">
            <v>0</v>
          </cell>
        </row>
        <row r="10">
          <cell r="C10" t="b">
            <v>0</v>
          </cell>
        </row>
        <row r="11">
          <cell r="C11" t="b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C849B-E273-F44B-9CC5-2C53F577DEC6}">
  <sheetPr codeName="Feuil12"/>
  <dimension ref="A1:H38"/>
  <sheetViews>
    <sheetView topLeftCell="A8" zoomScale="99" workbookViewId="0">
      <selection activeCell="E20" sqref="E20"/>
    </sheetView>
  </sheetViews>
  <sheetFormatPr baseColWidth="10" defaultRowHeight="16" x14ac:dyDescent="0.2"/>
  <cols>
    <col min="1" max="1" width="22.1640625" style="87" customWidth="1"/>
    <col min="2" max="2" width="37.1640625" style="30" customWidth="1"/>
    <col min="3" max="3" width="19.1640625" style="30" customWidth="1"/>
    <col min="4" max="4" width="19.83203125" style="30" customWidth="1"/>
    <col min="5" max="5" width="16.6640625" style="64" customWidth="1"/>
    <col min="6" max="6" width="18" style="69" customWidth="1"/>
    <col min="7" max="7" width="21.1640625" style="69" customWidth="1"/>
    <col min="8" max="8" width="15.5" style="87" customWidth="1"/>
  </cols>
  <sheetData>
    <row r="1" spans="1:8" x14ac:dyDescent="0.2">
      <c r="A1" s="153" t="s">
        <v>64</v>
      </c>
      <c r="B1" s="153"/>
      <c r="C1" s="93"/>
    </row>
    <row r="2" spans="1:8" x14ac:dyDescent="0.2">
      <c r="A2" s="65" t="s">
        <v>65</v>
      </c>
      <c r="B2" s="65">
        <v>26181</v>
      </c>
      <c r="C2" s="90"/>
    </row>
    <row r="3" spans="1:8" ht="17" x14ac:dyDescent="0.2">
      <c r="A3" s="66" t="s">
        <v>67</v>
      </c>
      <c r="B3" s="65" t="s">
        <v>63</v>
      </c>
      <c r="C3" s="90"/>
    </row>
    <row r="4" spans="1:8" ht="24" customHeight="1" x14ac:dyDescent="0.2">
      <c r="A4" s="65" t="s">
        <v>66</v>
      </c>
      <c r="B4" s="65" t="s">
        <v>77</v>
      </c>
      <c r="C4" s="90"/>
    </row>
    <row r="5" spans="1:8" x14ac:dyDescent="0.2">
      <c r="A5" s="65" t="s">
        <v>49</v>
      </c>
      <c r="B5" s="65">
        <v>1</v>
      </c>
      <c r="C5" s="90"/>
    </row>
    <row r="6" spans="1:8" x14ac:dyDescent="0.2">
      <c r="A6" s="93"/>
      <c r="B6" s="93"/>
      <c r="C6" s="86"/>
    </row>
    <row r="7" spans="1:8" x14ac:dyDescent="0.2">
      <c r="A7" s="93"/>
      <c r="B7" s="93"/>
    </row>
    <row r="8" spans="1:8" x14ac:dyDescent="0.2">
      <c r="A8" s="93"/>
      <c r="B8" s="93"/>
    </row>
    <row r="10" spans="1:8" x14ac:dyDescent="0.2">
      <c r="A10" s="154" t="s">
        <v>73</v>
      </c>
      <c r="B10" s="155"/>
      <c r="C10" s="86"/>
      <c r="D10" s="86"/>
      <c r="E10" s="88"/>
      <c r="F10" s="90"/>
    </row>
    <row r="11" spans="1:8" x14ac:dyDescent="0.2">
      <c r="A11" s="89" t="s">
        <v>68</v>
      </c>
      <c r="B11" s="68" t="s">
        <v>58</v>
      </c>
      <c r="C11" s="86"/>
      <c r="D11" s="86"/>
      <c r="E11" s="88"/>
      <c r="F11" s="90"/>
      <c r="G11" s="90"/>
      <c r="H11" s="90"/>
    </row>
    <row r="12" spans="1:8" x14ac:dyDescent="0.2">
      <c r="A12" s="89" t="s">
        <v>69</v>
      </c>
      <c r="B12" s="68" t="s">
        <v>62</v>
      </c>
      <c r="C12" s="86"/>
      <c r="D12" s="86"/>
      <c r="E12" s="88"/>
      <c r="F12" s="90"/>
      <c r="G12" s="90"/>
      <c r="H12" s="90"/>
    </row>
    <row r="13" spans="1:8" x14ac:dyDescent="0.2">
      <c r="A13" s="89" t="s">
        <v>70</v>
      </c>
      <c r="B13" s="68">
        <v>18</v>
      </c>
      <c r="C13" s="91"/>
      <c r="D13" s="91"/>
      <c r="E13" s="91"/>
      <c r="F13" s="85"/>
      <c r="G13" s="85"/>
      <c r="H13" s="86"/>
    </row>
    <row r="14" spans="1:8" x14ac:dyDescent="0.2">
      <c r="A14" s="65" t="s">
        <v>74</v>
      </c>
      <c r="B14" s="68">
        <v>365</v>
      </c>
    </row>
    <row r="15" spans="1:8" x14ac:dyDescent="0.2">
      <c r="A15" s="65" t="s">
        <v>75</v>
      </c>
      <c r="B15" s="67">
        <v>41.7</v>
      </c>
      <c r="D15" s="153" t="s">
        <v>78</v>
      </c>
      <c r="E15" s="153"/>
    </row>
    <row r="16" spans="1:8" x14ac:dyDescent="0.2">
      <c r="A16" s="65" t="s">
        <v>76</v>
      </c>
      <c r="B16" s="67">
        <v>10.88</v>
      </c>
      <c r="C16" s="92"/>
      <c r="D16" s="65" t="s">
        <v>71</v>
      </c>
      <c r="E16" s="65" t="s">
        <v>79</v>
      </c>
      <c r="F16" s="92"/>
    </row>
    <row r="17" spans="1:6" x14ac:dyDescent="0.2">
      <c r="B17" s="92"/>
      <c r="C17" s="92"/>
      <c r="D17" s="65" t="s">
        <v>72</v>
      </c>
      <c r="E17" s="65" t="s">
        <v>80</v>
      </c>
      <c r="F17" s="92"/>
    </row>
    <row r="18" spans="1:6" x14ac:dyDescent="0.2">
      <c r="A18" s="153" t="s">
        <v>78</v>
      </c>
      <c r="B18" s="153"/>
      <c r="C18" s="92"/>
      <c r="D18" s="65" t="s">
        <v>144</v>
      </c>
      <c r="E18" s="65">
        <v>1</v>
      </c>
      <c r="F18" s="92"/>
    </row>
    <row r="19" spans="1:6" x14ac:dyDescent="0.2">
      <c r="A19" s="65" t="s">
        <v>71</v>
      </c>
      <c r="B19" s="65" t="s">
        <v>79</v>
      </c>
      <c r="C19" s="92"/>
      <c r="D19" s="65" t="s">
        <v>145</v>
      </c>
      <c r="E19" s="65">
        <v>22</v>
      </c>
      <c r="F19" s="92"/>
    </row>
    <row r="20" spans="1:6" ht="16" customHeight="1" x14ac:dyDescent="0.2">
      <c r="A20" s="65" t="s">
        <v>72</v>
      </c>
      <c r="B20" s="65" t="s">
        <v>80</v>
      </c>
      <c r="C20" s="92"/>
      <c r="D20" s="65" t="s">
        <v>37</v>
      </c>
      <c r="E20" s="65">
        <v>4</v>
      </c>
      <c r="F20" s="92"/>
    </row>
    <row r="21" spans="1:6" ht="16" customHeight="1" x14ac:dyDescent="0.2">
      <c r="A21" s="65" t="s">
        <v>37</v>
      </c>
      <c r="B21" s="65">
        <v>4</v>
      </c>
      <c r="C21" s="92"/>
      <c r="D21" s="65" t="s">
        <v>146</v>
      </c>
      <c r="E21" s="65">
        <v>12</v>
      </c>
      <c r="F21" s="92"/>
    </row>
    <row r="22" spans="1:6" x14ac:dyDescent="0.2">
      <c r="A22" s="65" t="s">
        <v>94</v>
      </c>
      <c r="B22" s="65">
        <v>12</v>
      </c>
      <c r="C22" s="92"/>
      <c r="D22" s="65" t="s">
        <v>147</v>
      </c>
      <c r="E22" s="65"/>
      <c r="F22" s="92"/>
    </row>
    <row r="23" spans="1:6" x14ac:dyDescent="0.2">
      <c r="A23" s="65" t="s">
        <v>95</v>
      </c>
      <c r="B23" s="65"/>
      <c r="C23" s="92"/>
      <c r="D23" s="65" t="s">
        <v>148</v>
      </c>
      <c r="E23" s="65">
        <v>12</v>
      </c>
      <c r="F23" s="92"/>
    </row>
    <row r="24" spans="1:6" x14ac:dyDescent="0.2">
      <c r="A24" s="65" t="s">
        <v>96</v>
      </c>
      <c r="B24" s="65">
        <v>12</v>
      </c>
      <c r="C24" s="92"/>
      <c r="D24" s="143" t="s">
        <v>149</v>
      </c>
      <c r="E24" s="143"/>
      <c r="F24" s="92"/>
    </row>
    <row r="25" spans="1:6" x14ac:dyDescent="0.2">
      <c r="A25" s="112" t="s">
        <v>86</v>
      </c>
      <c r="B25" s="112"/>
      <c r="C25" s="92"/>
      <c r="D25" s="142"/>
      <c r="E25" s="142"/>
      <c r="F25" s="92"/>
    </row>
    <row r="26" spans="1:6" x14ac:dyDescent="0.2">
      <c r="A26" s="93"/>
      <c r="B26" s="93"/>
    </row>
    <row r="27" spans="1:6" x14ac:dyDescent="0.2">
      <c r="A27" s="156" t="s">
        <v>81</v>
      </c>
      <c r="B27" s="157"/>
    </row>
    <row r="28" spans="1:6" x14ac:dyDescent="0.2">
      <c r="A28" s="65" t="s">
        <v>82</v>
      </c>
      <c r="B28" s="65"/>
    </row>
    <row r="29" spans="1:6" x14ac:dyDescent="0.2">
      <c r="A29" s="65" t="s">
        <v>83</v>
      </c>
      <c r="B29" s="65"/>
    </row>
    <row r="30" spans="1:6" x14ac:dyDescent="0.2">
      <c r="A30" s="65" t="s">
        <v>84</v>
      </c>
      <c r="B30" s="65"/>
    </row>
    <row r="31" spans="1:6" x14ac:dyDescent="0.2">
      <c r="A31" s="65" t="s">
        <v>85</v>
      </c>
      <c r="B31" s="65">
        <v>4</v>
      </c>
    </row>
    <row r="32" spans="1:6" x14ac:dyDescent="0.2">
      <c r="A32" s="65" t="s">
        <v>93</v>
      </c>
      <c r="B32" s="65"/>
    </row>
    <row r="33" spans="1:2" x14ac:dyDescent="0.2">
      <c r="A33" s="65" t="s">
        <v>100</v>
      </c>
      <c r="B33" s="65"/>
    </row>
    <row r="34" spans="1:2" x14ac:dyDescent="0.2">
      <c r="A34" s="65" t="s">
        <v>163</v>
      </c>
      <c r="B34" s="65"/>
    </row>
    <row r="35" spans="1:2" x14ac:dyDescent="0.2">
      <c r="A35" s="153" t="s">
        <v>97</v>
      </c>
      <c r="B35" s="153"/>
    </row>
    <row r="36" spans="1:2" x14ac:dyDescent="0.2">
      <c r="A36" s="65" t="s">
        <v>98</v>
      </c>
      <c r="B36" s="65"/>
    </row>
    <row r="37" spans="1:2" x14ac:dyDescent="0.2">
      <c r="A37" s="65" t="s">
        <v>99</v>
      </c>
      <c r="B37" s="65"/>
    </row>
    <row r="38" spans="1:2" x14ac:dyDescent="0.2">
      <c r="A38" s="65" t="s">
        <v>162</v>
      </c>
      <c r="B38" s="65"/>
    </row>
  </sheetData>
  <mergeCells count="6">
    <mergeCell ref="D15:E15"/>
    <mergeCell ref="A1:B1"/>
    <mergeCell ref="A10:B10"/>
    <mergeCell ref="A18:B18"/>
    <mergeCell ref="A35:B35"/>
    <mergeCell ref="A27:B27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7F70-F295-3042-ADEC-DA24459744A4}">
  <sheetPr codeName="Sheet1">
    <pageSetUpPr fitToPage="1"/>
  </sheetPr>
  <dimension ref="B6:G41"/>
  <sheetViews>
    <sheetView topLeftCell="A11" workbookViewId="0">
      <selection activeCell="C41" sqref="C41"/>
    </sheetView>
  </sheetViews>
  <sheetFormatPr baseColWidth="10" defaultRowHeight="16" x14ac:dyDescent="0.2"/>
  <cols>
    <col min="2" max="2" width="25" customWidth="1"/>
    <col min="3" max="3" width="25.6640625" customWidth="1"/>
    <col min="4" max="4" width="24.83203125" customWidth="1"/>
    <col min="5" max="5" width="23.83203125" customWidth="1"/>
    <col min="6" max="6" width="20" customWidth="1"/>
    <col min="7" max="7" width="21" customWidth="1"/>
  </cols>
  <sheetData>
    <row r="6" s="2" customFormat="1" x14ac:dyDescent="0.2"/>
    <row r="29" spans="2:7" ht="17" thickBot="1" x14ac:dyDescent="0.25">
      <c r="B29" s="63"/>
      <c r="C29" s="63"/>
      <c r="D29" s="63"/>
      <c r="E29" s="63"/>
      <c r="F29" s="63"/>
      <c r="G29" s="63"/>
    </row>
    <row r="30" spans="2:7" ht="17" thickBot="1" x14ac:dyDescent="0.25">
      <c r="B30" s="31" t="s">
        <v>45</v>
      </c>
      <c r="C30" s="32" t="str">
        <f>Param!B3</f>
        <v xml:space="preserve">Miller, Ian </v>
      </c>
      <c r="D30" s="31" t="s">
        <v>46</v>
      </c>
      <c r="E30" s="158" t="str">
        <f>Param!B4</f>
        <v>154 Princeton Ave  Adamstown Heights</v>
      </c>
      <c r="F30" s="159"/>
      <c r="G30" s="160"/>
    </row>
    <row r="31" spans="2:7" ht="17" thickBot="1" x14ac:dyDescent="0.25">
      <c r="B31" s="161" t="str">
        <f>IF(Param!B12&lt;&gt;0,"Service Main","Service+Consumer Main")</f>
        <v>Service Main</v>
      </c>
      <c r="C31" s="162"/>
      <c r="D31" s="161" t="s">
        <v>47</v>
      </c>
      <c r="E31" s="162"/>
      <c r="F31" s="163" t="s">
        <v>48</v>
      </c>
      <c r="G31" s="164"/>
    </row>
    <row r="32" spans="2:7" x14ac:dyDescent="0.2">
      <c r="B32" s="33" t="s">
        <v>49</v>
      </c>
      <c r="C32" s="34">
        <f>Param!B33</f>
        <v>0</v>
      </c>
      <c r="D32" s="33" t="s">
        <v>49</v>
      </c>
      <c r="E32" s="34">
        <f>Param!B33</f>
        <v>0</v>
      </c>
      <c r="F32" s="35" t="s">
        <v>49</v>
      </c>
      <c r="G32" s="36">
        <f>Param!B33</f>
        <v>0</v>
      </c>
    </row>
    <row r="33" spans="2:7" x14ac:dyDescent="0.2">
      <c r="B33" s="33" t="s">
        <v>50</v>
      </c>
      <c r="C33" s="37" t="s">
        <v>51</v>
      </c>
      <c r="D33" s="33" t="s">
        <v>50</v>
      </c>
      <c r="E33" s="38" t="s">
        <v>51</v>
      </c>
      <c r="F33" s="39" t="s">
        <v>50</v>
      </c>
      <c r="G33" s="40" t="s">
        <v>51</v>
      </c>
    </row>
    <row r="34" spans="2:7" x14ac:dyDescent="0.2">
      <c r="B34" s="41" t="s">
        <v>52</v>
      </c>
      <c r="C34" s="42">
        <v>16</v>
      </c>
      <c r="D34" s="41" t="s">
        <v>52</v>
      </c>
      <c r="E34" s="42">
        <v>16</v>
      </c>
      <c r="F34" s="41" t="s">
        <v>52</v>
      </c>
      <c r="G34" s="43">
        <f>Param!B31</f>
        <v>4</v>
      </c>
    </row>
    <row r="35" spans="2:7" x14ac:dyDescent="0.2">
      <c r="B35" s="44" t="s">
        <v>53</v>
      </c>
      <c r="C35" s="45">
        <f>Param!B28</f>
        <v>0</v>
      </c>
      <c r="D35" s="44" t="s">
        <v>53</v>
      </c>
      <c r="E35" s="46">
        <f>Param!B29</f>
        <v>0</v>
      </c>
      <c r="F35" s="44" t="s">
        <v>53</v>
      </c>
      <c r="G35" s="46">
        <f>Param!B30</f>
        <v>0</v>
      </c>
    </row>
    <row r="36" spans="2:7" x14ac:dyDescent="0.2">
      <c r="B36" s="44" t="s">
        <v>54</v>
      </c>
      <c r="C36" s="47">
        <f>Param!B32</f>
        <v>0</v>
      </c>
      <c r="D36" s="44" t="s">
        <v>54</v>
      </c>
      <c r="E36" s="48">
        <f>Param!B32</f>
        <v>0</v>
      </c>
      <c r="F36" s="44" t="s">
        <v>54</v>
      </c>
      <c r="G36" s="48">
        <f>Param!B32</f>
        <v>0</v>
      </c>
    </row>
    <row r="37" spans="2:7" ht="17" thickBot="1" x14ac:dyDescent="0.25">
      <c r="B37" s="49" t="s">
        <v>55</v>
      </c>
      <c r="C37" s="50" cm="1">
        <f t="array" ref="C37">AmPerPcntVd(C34,C32)</f>
        <v>1643</v>
      </c>
      <c r="D37" s="51" t="s">
        <v>55</v>
      </c>
      <c r="E37" s="50" cm="1">
        <f t="array" ref="E37">AmPerPcntVd(E34,E32)</f>
        <v>1643</v>
      </c>
      <c r="F37" s="51" t="s">
        <v>55</v>
      </c>
      <c r="G37" s="52" cm="1">
        <f t="array" ref="G37">AmPerPcntVd(G34,G32)</f>
        <v>412</v>
      </c>
    </row>
    <row r="38" spans="2:7" ht="17" thickBot="1" x14ac:dyDescent="0.25">
      <c r="B38" s="53" t="s">
        <v>56</v>
      </c>
      <c r="C38" s="54" cm="1">
        <f t="array" ref="C38">VoltageDrop(C36,C34,C35,C32)/100</f>
        <v>0</v>
      </c>
      <c r="D38" s="55" t="s">
        <v>56</v>
      </c>
      <c r="E38" s="54" cm="1">
        <f t="array" ref="E38">VoltageDrop(E36,E34,E35,E32)/100</f>
        <v>0</v>
      </c>
      <c r="F38" s="55" t="s">
        <v>56</v>
      </c>
      <c r="G38" s="62" cm="1">
        <f t="array" ref="G38">VoltageDrop(G36,G34,G35,G32)/100</f>
        <v>0</v>
      </c>
    </row>
    <row r="39" spans="2:7" ht="17" thickBot="1" x14ac:dyDescent="0.25">
      <c r="B39" s="53" t="s">
        <v>57</v>
      </c>
      <c r="C39" s="56">
        <f>C38*IF(C32=1,230,400)</f>
        <v>0</v>
      </c>
      <c r="D39" s="53" t="s">
        <v>57</v>
      </c>
      <c r="E39" s="56">
        <f>E38*IF(E32=1,230,400)</f>
        <v>0</v>
      </c>
      <c r="F39" s="53" t="s">
        <v>57</v>
      </c>
      <c r="G39" s="61">
        <f>G38*IF(G32=1,230,400)</f>
        <v>0</v>
      </c>
    </row>
    <row r="40" spans="2:7" x14ac:dyDescent="0.2">
      <c r="B40" s="165" t="s">
        <v>29</v>
      </c>
      <c r="C40" s="57" t="str">
        <f>_xlfn.CONCAT(Param!B34)</f>
        <v/>
      </c>
      <c r="D40" s="58"/>
      <c r="E40" s="58"/>
      <c r="F40" s="167">
        <f>C38+G38+E38</f>
        <v>0</v>
      </c>
      <c r="G40" s="169">
        <f>G39+E39+C39</f>
        <v>0</v>
      </c>
    </row>
    <row r="41" spans="2:7" ht="17" thickBot="1" x14ac:dyDescent="0.25">
      <c r="B41" s="166"/>
      <c r="C41" s="59"/>
      <c r="D41" s="60"/>
      <c r="E41" s="60"/>
      <c r="F41" s="168"/>
      <c r="G41" s="170"/>
    </row>
  </sheetData>
  <mergeCells count="7">
    <mergeCell ref="E30:G30"/>
    <mergeCell ref="B31:C31"/>
    <mergeCell ref="D31:E31"/>
    <mergeCell ref="F31:G31"/>
    <mergeCell ref="B40:B41"/>
    <mergeCell ref="F40:F41"/>
    <mergeCell ref="G40:G41"/>
  </mergeCells>
  <conditionalFormatting sqref="C38 E38 G38">
    <cfRule type="cellIs" dxfId="20" priority="7" operator="greaterThan">
      <formula>0.01</formula>
    </cfRule>
    <cfRule type="cellIs" dxfId="19" priority="8" operator="lessThanOrEqual">
      <formula>0.01</formula>
    </cfRule>
  </conditionalFormatting>
  <conditionalFormatting sqref="C30 E30 C32:C33 C35:C36 E35:E36 G35:G36 E32:E33 G32:G33">
    <cfRule type="containsBlanks" dxfId="18" priority="9">
      <formula>LEN(TRIM(C30))=0</formula>
    </cfRule>
  </conditionalFormatting>
  <conditionalFormatting sqref="C39">
    <cfRule type="cellIs" dxfId="17" priority="5" operator="greaterThan">
      <formula>0.01</formula>
    </cfRule>
    <cfRule type="cellIs" dxfId="16" priority="6" operator="lessThanOrEqual">
      <formula>0.01</formula>
    </cfRule>
  </conditionalFormatting>
  <conditionalFormatting sqref="E39 K39">
    <cfRule type="cellIs" dxfId="15" priority="3" operator="greaterThan">
      <formula>0.01</formula>
    </cfRule>
    <cfRule type="cellIs" dxfId="14" priority="4" operator="lessThanOrEqual">
      <formula>0.01</formula>
    </cfRule>
  </conditionalFormatting>
  <conditionalFormatting sqref="G39 M39">
    <cfRule type="cellIs" dxfId="13" priority="1" operator="greaterThan">
      <formula>0.01</formula>
    </cfRule>
    <cfRule type="cellIs" dxfId="12" priority="2" operator="lessThanOrEqual">
      <formula>0.01</formula>
    </cfRule>
  </conditionalFormatting>
  <dataValidations count="4">
    <dataValidation type="list" allowBlank="1" showInputMessage="1" showErrorMessage="1" sqref="C34 E34 G34" xr:uid="{F878F764-7AC0-B540-B33B-54EB7F071147}">
      <formula1>conductor_size</formula1>
    </dataValidation>
    <dataValidation type="list" errorStyle="warning" allowBlank="1" showInputMessage="1" showErrorMessage="1" sqref="E32" xr:uid="{5CE42D14-9641-D249-875A-11CC6B32B0B2}">
      <formula1>select_phases</formula1>
    </dataValidation>
    <dataValidation type="list" allowBlank="1" showInputMessage="1" showErrorMessage="1" sqref="C33 E33 G33" xr:uid="{E12E9D8C-A363-F84B-896A-2DE5EBCA9D36}">
      <formula1>select_conductor_type</formula1>
    </dataValidation>
    <dataValidation type="list" allowBlank="1" showInputMessage="1" showErrorMessage="1" sqref="C32 G32" xr:uid="{5475BD4C-086E-0F46-81AC-E14853108651}">
      <formula1>select_phases</formula1>
    </dataValidation>
  </dataValidations>
  <pageMargins left="0.7" right="0.7" top="0.75" bottom="0.75" header="0.3" footer="0.3"/>
  <pageSetup paperSize="9" scale="7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int_Vrise">
                <anchor moveWithCells="1" sizeWithCells="1">
                  <from>
                    <xdr:col>6</xdr:col>
                    <xdr:colOff>1409700</xdr:colOff>
                    <xdr:row>16</xdr:row>
                    <xdr:rowOff>152400</xdr:rowOff>
                  </from>
                  <to>
                    <xdr:col>8</xdr:col>
                    <xdr:colOff>508000</xdr:colOff>
                    <xdr:row>18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0C343-0955-4247-B5B5-B37103C65BA5}">
  <sheetPr codeName="Feuil5">
    <pageSetUpPr fitToPage="1"/>
  </sheetPr>
  <dimension ref="B5:CD74"/>
  <sheetViews>
    <sheetView showGridLines="0" tabSelected="1" topLeftCell="AW1" zoomScale="111" zoomScaleNormal="227" workbookViewId="0">
      <selection activeCell="BV7" sqref="BV7:BZ7"/>
    </sheetView>
  </sheetViews>
  <sheetFormatPr baseColWidth="10" defaultRowHeight="16" x14ac:dyDescent="0.2"/>
  <cols>
    <col min="1" max="73" width="3.33203125" style="119" customWidth="1"/>
    <col min="74" max="74" width="4.1640625" style="119" bestFit="1" customWidth="1"/>
    <col min="75" max="83" width="3.33203125" style="119" customWidth="1"/>
    <col min="84" max="16384" width="10.83203125" style="119"/>
  </cols>
  <sheetData>
    <row r="5" spans="4:81" x14ac:dyDescent="0.2">
      <c r="D5" s="100" t="s">
        <v>60</v>
      </c>
      <c r="BR5" s="27" t="s">
        <v>44</v>
      </c>
      <c r="BS5" s="26"/>
      <c r="BT5" s="26"/>
      <c r="BU5" s="26"/>
      <c r="BV5" s="26"/>
      <c r="BW5" s="26"/>
      <c r="BX5" s="26"/>
      <c r="BY5" s="26"/>
      <c r="BZ5" s="25"/>
    </row>
    <row r="6" spans="4:81" x14ac:dyDescent="0.2">
      <c r="BR6" s="24" t="s">
        <v>39</v>
      </c>
      <c r="BS6" s="18"/>
      <c r="BT6" s="18"/>
      <c r="BU6" s="18"/>
      <c r="BV6" s="175" t="str">
        <f>Param!B11</f>
        <v>LG Electronics</v>
      </c>
      <c r="BW6" s="175"/>
      <c r="BX6" s="175"/>
      <c r="BY6" s="175"/>
      <c r="BZ6" s="176"/>
    </row>
    <row r="7" spans="4:81" x14ac:dyDescent="0.2">
      <c r="BR7" s="24" t="s">
        <v>38</v>
      </c>
      <c r="BS7" s="18"/>
      <c r="BT7" s="18"/>
      <c r="BU7" s="18"/>
      <c r="BV7" s="216" t="str">
        <f>Param!B12</f>
        <v>LG NeON 2</v>
      </c>
      <c r="BW7" s="216"/>
      <c r="BX7" s="216"/>
      <c r="BY7" s="216"/>
      <c r="BZ7" s="187"/>
    </row>
    <row r="8" spans="4:81" x14ac:dyDescent="0.2">
      <c r="BR8" s="24" t="s">
        <v>158</v>
      </c>
      <c r="BS8" s="145"/>
      <c r="BT8" s="145"/>
      <c r="BU8" s="145"/>
      <c r="BV8" s="145"/>
      <c r="BW8" s="177">
        <f>Param!B13</f>
        <v>18</v>
      </c>
      <c r="BX8" s="177"/>
      <c r="BY8" s="177"/>
      <c r="BZ8" s="178"/>
    </row>
    <row r="9" spans="4:81" x14ac:dyDescent="0.2">
      <c r="BR9" s="24" t="s">
        <v>43</v>
      </c>
      <c r="BS9" s="18"/>
      <c r="BT9" s="18"/>
      <c r="BU9" s="18"/>
      <c r="BV9" s="18"/>
      <c r="BW9" s="18"/>
      <c r="BX9" s="212">
        <f>Param!B14</f>
        <v>365</v>
      </c>
      <c r="BY9" s="212"/>
      <c r="BZ9" s="214"/>
    </row>
    <row r="10" spans="4:81" x14ac:dyDescent="0.2">
      <c r="BR10" s="24" t="s">
        <v>42</v>
      </c>
      <c r="BS10" s="18"/>
      <c r="BT10" s="18"/>
      <c r="BU10" s="18"/>
      <c r="BV10" s="18"/>
      <c r="BW10" s="18"/>
      <c r="BX10" s="213">
        <f>Param!B15</f>
        <v>41.7</v>
      </c>
      <c r="BY10" s="213"/>
      <c r="BZ10" s="215"/>
    </row>
    <row r="11" spans="4:81" x14ac:dyDescent="0.2">
      <c r="BR11" s="24" t="s">
        <v>41</v>
      </c>
      <c r="BS11" s="18"/>
      <c r="BT11" s="18"/>
      <c r="BU11" s="18"/>
      <c r="BV11" s="18"/>
      <c r="BW11" s="18"/>
      <c r="BX11" s="179">
        <f>Param!B16</f>
        <v>10.88</v>
      </c>
      <c r="BY11" s="179"/>
      <c r="BZ11" s="180"/>
      <c r="CA11" s="211"/>
      <c r="CB11" s="211"/>
      <c r="CC11" s="211"/>
    </row>
    <row r="12" spans="4:81" x14ac:dyDescent="0.2">
      <c r="BR12" s="28" t="s">
        <v>159</v>
      </c>
      <c r="BS12" s="19"/>
      <c r="BT12" s="19"/>
      <c r="BU12" s="19"/>
      <c r="BV12" s="181" t="str">
        <f>_xlfn.CONCAT(Param!B14*BW8/1000, " kWdc")</f>
        <v>6.57 kWdc</v>
      </c>
      <c r="BW12" s="181"/>
      <c r="BX12" s="181"/>
      <c r="BY12" s="181"/>
      <c r="BZ12" s="182"/>
      <c r="CC12" s="78"/>
    </row>
    <row r="13" spans="4:81" x14ac:dyDescent="0.2">
      <c r="Y13" s="100" t="s">
        <v>133</v>
      </c>
      <c r="AQ13" s="100" t="s">
        <v>132</v>
      </c>
      <c r="CC13" s="78"/>
    </row>
    <row r="14" spans="4:81" x14ac:dyDescent="0.2">
      <c r="BE14" s="101"/>
      <c r="BF14" s="101"/>
      <c r="BR14" s="27" t="s">
        <v>101</v>
      </c>
      <c r="BS14" s="26"/>
      <c r="BT14" s="26"/>
      <c r="BU14" s="26"/>
      <c r="BV14" s="26"/>
      <c r="BW14" s="26"/>
      <c r="BX14" s="26"/>
      <c r="BY14" s="26"/>
      <c r="BZ14" s="25"/>
      <c r="CC14" s="78"/>
    </row>
    <row r="15" spans="4:81" x14ac:dyDescent="0.2">
      <c r="BE15" s="101"/>
      <c r="BK15" s="78"/>
      <c r="BL15" s="78"/>
      <c r="BM15" s="78"/>
      <c r="BR15" s="75" t="s">
        <v>102</v>
      </c>
      <c r="BV15" s="177">
        <v>1</v>
      </c>
      <c r="BW15" s="177"/>
      <c r="BX15" s="177"/>
      <c r="BY15" s="177"/>
      <c r="BZ15" s="178"/>
      <c r="CC15" s="78"/>
    </row>
    <row r="16" spans="4:81" x14ac:dyDescent="0.2">
      <c r="BR16" s="24" t="s">
        <v>39</v>
      </c>
      <c r="BS16" s="18"/>
      <c r="BT16" s="18"/>
      <c r="BU16" s="18"/>
      <c r="BV16" s="183" t="s">
        <v>103</v>
      </c>
      <c r="BW16" s="183"/>
      <c r="BX16" s="183"/>
      <c r="BY16" s="183"/>
      <c r="BZ16" s="184"/>
      <c r="CC16" s="78"/>
    </row>
    <row r="17" spans="10:81" x14ac:dyDescent="0.2"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R17" s="24" t="s">
        <v>38</v>
      </c>
      <c r="BS17" s="18"/>
      <c r="BT17" s="18"/>
      <c r="BU17" s="18"/>
      <c r="BV17" s="216" t="s">
        <v>104</v>
      </c>
      <c r="BW17" s="216"/>
      <c r="BX17" s="216"/>
      <c r="BY17" s="216"/>
      <c r="BZ17" s="187"/>
      <c r="CA17" s="78"/>
      <c r="CB17" s="78"/>
      <c r="CC17" s="78"/>
    </row>
    <row r="18" spans="10:81" ht="16" customHeight="1" x14ac:dyDescent="0.2">
      <c r="AE18" s="119" t="str">
        <f>IF(Param!B25="","","Q Relay")</f>
        <v/>
      </c>
      <c r="AU18" s="119" t="s">
        <v>59</v>
      </c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R18" s="24" t="s">
        <v>105</v>
      </c>
      <c r="BS18" s="18"/>
      <c r="BT18" s="18"/>
      <c r="BU18" s="18"/>
      <c r="BV18" s="18"/>
      <c r="BW18" s="217">
        <f>5</f>
        <v>5</v>
      </c>
      <c r="BX18" s="217"/>
      <c r="BY18" s="213" t="s">
        <v>106</v>
      </c>
      <c r="BZ18" s="215"/>
      <c r="CA18" s="18"/>
      <c r="CB18" s="18"/>
      <c r="CC18" s="18"/>
    </row>
    <row r="19" spans="10:81" ht="16" customHeight="1" x14ac:dyDescent="0.2">
      <c r="AA19" s="119" t="str">
        <f>IF(Param!B36&lt;&gt;"","Main","")</f>
        <v/>
      </c>
      <c r="AU19" s="119" t="s">
        <v>110</v>
      </c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R19" s="24" t="s">
        <v>107</v>
      </c>
      <c r="BS19" s="18"/>
      <c r="BT19" s="18"/>
      <c r="BU19" s="18"/>
      <c r="BV19" s="18"/>
      <c r="BW19" s="218">
        <v>13.5</v>
      </c>
      <c r="BX19" s="218"/>
      <c r="BY19" s="179" t="s">
        <v>108</v>
      </c>
      <c r="BZ19" s="180"/>
      <c r="CA19" s="18"/>
      <c r="CB19" s="18"/>
      <c r="CC19" s="18"/>
    </row>
    <row r="20" spans="10:81" x14ac:dyDescent="0.2">
      <c r="Y20" s="79"/>
      <c r="AA20" s="119" t="str">
        <f>IF(Param!B36&lt;&gt;"","Switch","")</f>
        <v/>
      </c>
      <c r="AE20" s="119" t="str">
        <f>IF(Param!B25="","","Envoy  Supply ")</f>
        <v/>
      </c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R20" s="102" t="s">
        <v>136</v>
      </c>
      <c r="BS20" s="10"/>
      <c r="BT20" s="144"/>
      <c r="BU20" s="18"/>
      <c r="BV20" s="18"/>
      <c r="BW20" s="118"/>
      <c r="BX20" s="146">
        <v>32</v>
      </c>
      <c r="BY20" s="186" t="s">
        <v>109</v>
      </c>
      <c r="BZ20" s="187"/>
      <c r="CA20" s="18"/>
      <c r="CB20" s="18"/>
      <c r="CC20" s="18"/>
    </row>
    <row r="21" spans="10:81" x14ac:dyDescent="0.2">
      <c r="AE21" s="119" t="str">
        <f>IF(Param!B25="","","Switch")</f>
        <v/>
      </c>
      <c r="BE21" s="100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R21" s="103" t="s">
        <v>111</v>
      </c>
      <c r="BS21" s="104"/>
      <c r="BT21" s="105"/>
      <c r="BU21" s="19"/>
      <c r="BV21" s="19"/>
      <c r="BW21" s="116"/>
      <c r="BX21" s="147">
        <v>50</v>
      </c>
      <c r="BY21" s="188" t="s">
        <v>112</v>
      </c>
      <c r="BZ21" s="189"/>
      <c r="CA21" s="212"/>
      <c r="CB21" s="212"/>
      <c r="CC21" s="212"/>
    </row>
    <row r="22" spans="10:81" x14ac:dyDescent="0.2">
      <c r="BR22" s="145"/>
      <c r="BS22" s="145"/>
      <c r="BT22" s="145"/>
      <c r="BU22" s="145"/>
      <c r="BV22" s="145"/>
      <c r="BW22" s="145"/>
      <c r="BX22" s="145"/>
      <c r="BY22" s="145"/>
      <c r="BZ22" s="145"/>
      <c r="CA22" s="213"/>
      <c r="CB22" s="213"/>
      <c r="CC22" s="213"/>
    </row>
    <row r="23" spans="10:81" x14ac:dyDescent="0.2">
      <c r="AJ23" s="7"/>
      <c r="AN23" s="119" t="s">
        <v>113</v>
      </c>
      <c r="BR23" s="27" t="s">
        <v>40</v>
      </c>
      <c r="BS23" s="26"/>
      <c r="BT23" s="26"/>
      <c r="BU23" s="26"/>
      <c r="BV23" s="26"/>
      <c r="BW23" s="26"/>
      <c r="BX23" s="26"/>
      <c r="BY23" s="26"/>
      <c r="BZ23" s="25"/>
      <c r="CA23" s="179"/>
      <c r="CB23" s="179"/>
      <c r="CC23" s="179"/>
    </row>
    <row r="24" spans="10:81" x14ac:dyDescent="0.2">
      <c r="AN24" s="119" t="s">
        <v>114</v>
      </c>
      <c r="BR24" s="24" t="s">
        <v>115</v>
      </c>
      <c r="BS24" s="18"/>
      <c r="BT24" s="18"/>
      <c r="BU24" s="18"/>
      <c r="BW24" s="118"/>
      <c r="BX24" s="183">
        <f>Param!B13</f>
        <v>18</v>
      </c>
      <c r="BY24" s="183"/>
      <c r="BZ24" s="184"/>
      <c r="CB24" s="17"/>
      <c r="CC24" s="17"/>
    </row>
    <row r="25" spans="10:81" x14ac:dyDescent="0.2">
      <c r="BR25" s="24" t="s">
        <v>39</v>
      </c>
      <c r="BS25" s="18"/>
      <c r="BT25" s="18"/>
      <c r="BU25" s="18"/>
      <c r="BW25" s="118"/>
      <c r="BX25" s="183" t="str">
        <f>Param!B19</f>
        <v>SMA</v>
      </c>
      <c r="BY25" s="183"/>
      <c r="BZ25" s="184"/>
      <c r="CC25" s="17"/>
    </row>
    <row r="26" spans="10:81" x14ac:dyDescent="0.2">
      <c r="J26" s="119" t="s">
        <v>113</v>
      </c>
      <c r="BR26" s="22" t="s">
        <v>38</v>
      </c>
      <c r="BS26" s="21"/>
      <c r="BT26" s="18"/>
      <c r="BU26" s="18"/>
      <c r="BW26" s="118"/>
      <c r="BX26" s="185" t="str">
        <f>Param!B20</f>
        <v>SB4.0-1AV-40</v>
      </c>
      <c r="BY26" s="185"/>
      <c r="BZ26" s="184"/>
      <c r="CC26" s="17"/>
    </row>
    <row r="27" spans="10:81" x14ac:dyDescent="0.2">
      <c r="BR27" s="22" t="s">
        <v>160</v>
      </c>
      <c r="BS27" s="150"/>
      <c r="BT27" s="150"/>
      <c r="BU27" s="150"/>
      <c r="BV27" s="150"/>
      <c r="BW27" s="150"/>
      <c r="BX27" s="173" t="str">
        <f>_xlfn.CONCAT(Param!B21," kWac")</f>
        <v>4 kWac</v>
      </c>
      <c r="BY27" s="173"/>
      <c r="BZ27" s="174"/>
      <c r="CC27" s="123"/>
    </row>
    <row r="28" spans="10:81" x14ac:dyDescent="0.2"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20" t="s">
        <v>116</v>
      </c>
      <c r="BS28" s="19"/>
      <c r="BT28" s="19"/>
      <c r="BU28" s="19"/>
      <c r="BV28" s="19"/>
      <c r="BW28" s="19"/>
      <c r="BX28" s="171" t="str">
        <f>_xlfn.CONCAT(Param!B22*Param!B13," kWac")</f>
        <v>216 kWac</v>
      </c>
      <c r="BY28" s="171"/>
      <c r="BZ28" s="172"/>
      <c r="CC28" s="123"/>
    </row>
    <row r="29" spans="10:81" x14ac:dyDescent="0.2">
      <c r="L29" s="16"/>
      <c r="M29" s="15"/>
      <c r="AB29" s="100" t="str">
        <f>IF(Param!B36&lt;&gt;"","Existing array","")</f>
        <v/>
      </c>
      <c r="BB29" s="119" t="s">
        <v>134</v>
      </c>
      <c r="BE29" s="79"/>
      <c r="BF29" s="79"/>
      <c r="BG29" s="79"/>
      <c r="BH29" s="79"/>
      <c r="BI29" s="79"/>
      <c r="BK29" s="79"/>
      <c r="BL29" s="79"/>
      <c r="BM29" s="79"/>
      <c r="BN29" s="79"/>
      <c r="BO29" s="79"/>
      <c r="BP29" s="79"/>
      <c r="BQ29" s="79"/>
      <c r="BR29" s="98"/>
      <c r="BS29" s="98"/>
      <c r="BT29" s="120"/>
      <c r="BU29" s="120"/>
      <c r="BV29" s="121"/>
      <c r="BW29" s="121"/>
      <c r="BX29" s="122"/>
      <c r="BY29" s="122"/>
      <c r="BZ29" s="122"/>
      <c r="CA29" s="122"/>
      <c r="CB29" s="123"/>
      <c r="CC29" s="123"/>
    </row>
    <row r="30" spans="10:81" x14ac:dyDescent="0.2">
      <c r="AB30" s="119" t="str">
        <f>IF(Param!B36&lt;&gt;"",_xlfn.CONCAT(Param!B36," Kwac"),"")</f>
        <v/>
      </c>
      <c r="BE30" s="79"/>
      <c r="BF30" s="79"/>
      <c r="BG30" s="79"/>
      <c r="BH30" s="79"/>
      <c r="BI30" s="79"/>
      <c r="BK30" s="79"/>
      <c r="BL30" s="79"/>
      <c r="BM30" s="79"/>
      <c r="BN30" s="79"/>
      <c r="BO30" s="79"/>
      <c r="BP30" s="79"/>
      <c r="BQ30" s="79"/>
      <c r="BR30" s="98"/>
      <c r="BS30" s="98"/>
      <c r="BT30" s="120"/>
      <c r="BU30" s="120"/>
      <c r="BV30" s="121"/>
      <c r="BW30" s="121"/>
      <c r="BX30" s="122"/>
      <c r="BY30" s="122"/>
      <c r="BZ30" s="122"/>
      <c r="CA30" s="122"/>
      <c r="CB30" s="123"/>
      <c r="CC30" s="123"/>
    </row>
    <row r="31" spans="10:81" x14ac:dyDescent="0.2">
      <c r="BE31" s="79"/>
      <c r="BF31" s="79"/>
      <c r="BG31" s="79"/>
      <c r="BH31" s="79"/>
      <c r="BI31" s="79"/>
      <c r="BK31" s="79"/>
      <c r="BL31" s="79"/>
      <c r="BM31" s="79"/>
      <c r="BN31" s="79"/>
      <c r="BO31" s="79"/>
      <c r="BP31" s="79"/>
      <c r="BQ31" s="79"/>
      <c r="BR31" s="10"/>
      <c r="BS31" s="10"/>
      <c r="BT31" s="206"/>
      <c r="BU31" s="206"/>
      <c r="BV31" s="177"/>
      <c r="BW31" s="177"/>
      <c r="BX31" s="177"/>
      <c r="BY31" s="177"/>
      <c r="BZ31" s="177"/>
      <c r="CA31" s="177"/>
      <c r="CB31" s="207"/>
      <c r="CC31" s="207"/>
    </row>
    <row r="32" spans="10:81" x14ac:dyDescent="0.2">
      <c r="BE32" s="79"/>
      <c r="BF32" s="79"/>
      <c r="BG32" s="79"/>
      <c r="BH32" s="79"/>
      <c r="BI32" s="14"/>
      <c r="BJ32" s="14"/>
      <c r="BK32" s="14"/>
      <c r="BL32" s="14"/>
      <c r="BM32" s="79"/>
      <c r="BN32" s="79"/>
      <c r="BO32" s="79"/>
      <c r="BP32" s="79"/>
      <c r="BQ32" s="79"/>
      <c r="BR32" s="10"/>
      <c r="BS32" s="10"/>
      <c r="BT32" s="206"/>
      <c r="BU32" s="206"/>
      <c r="BV32" s="177"/>
      <c r="BW32" s="177"/>
      <c r="BX32" s="177"/>
      <c r="BY32" s="177"/>
      <c r="BZ32" s="177"/>
      <c r="CA32" s="177"/>
      <c r="CB32" s="207"/>
      <c r="CC32" s="207"/>
    </row>
    <row r="33" spans="28:82" x14ac:dyDescent="0.2">
      <c r="BB33" s="106" t="s">
        <v>117</v>
      </c>
      <c r="BE33" s="79"/>
      <c r="BF33" s="79"/>
      <c r="BG33" s="79"/>
      <c r="BH33" s="79"/>
      <c r="BI33" s="79"/>
      <c r="BK33" s="79"/>
      <c r="BL33" s="79"/>
      <c r="BM33" s="79"/>
      <c r="BN33" s="79"/>
      <c r="BO33" s="79"/>
      <c r="BP33" s="79"/>
      <c r="BQ33" s="79"/>
      <c r="BR33" s="10"/>
      <c r="BS33" s="10"/>
      <c r="BT33" s="206"/>
      <c r="BU33" s="206"/>
      <c r="BV33" s="177"/>
      <c r="BW33" s="177"/>
      <c r="BX33" s="177"/>
      <c r="BY33" s="177"/>
      <c r="BZ33" s="177"/>
      <c r="CA33" s="177"/>
      <c r="CB33" s="207"/>
      <c r="CC33" s="207"/>
    </row>
    <row r="34" spans="28:82" x14ac:dyDescent="0.2">
      <c r="AB34" s="119" t="str">
        <f>IF(Param!B36&lt;&gt;"","Inverter supply ","")</f>
        <v/>
      </c>
      <c r="BB34" s="107" t="s">
        <v>118</v>
      </c>
      <c r="BE34" s="79"/>
      <c r="BF34" s="79"/>
      <c r="BG34" s="79"/>
      <c r="BH34" s="79"/>
      <c r="BI34" s="79"/>
      <c r="BK34" s="79"/>
      <c r="BL34" s="79"/>
      <c r="BM34" s="79"/>
      <c r="BN34" s="79"/>
      <c r="BO34" s="79"/>
      <c r="BP34" s="79"/>
      <c r="BQ34" s="79"/>
      <c r="BR34" s="208" t="s">
        <v>87</v>
      </c>
      <c r="BS34" s="209"/>
      <c r="BT34" s="209"/>
      <c r="BU34" s="209" t="s">
        <v>88</v>
      </c>
      <c r="BV34" s="210"/>
      <c r="BW34" s="209" t="s">
        <v>89</v>
      </c>
      <c r="BX34" s="209"/>
      <c r="BY34" s="209" t="s">
        <v>90</v>
      </c>
      <c r="BZ34" s="209"/>
      <c r="CA34" s="209" t="s">
        <v>91</v>
      </c>
      <c r="CB34" s="210"/>
      <c r="CC34" s="123"/>
    </row>
    <row r="35" spans="28:82" x14ac:dyDescent="0.2">
      <c r="AB35" s="119" t="str">
        <f>IF(Param!B36&lt;&gt;"","Ac Isolator","")</f>
        <v/>
      </c>
      <c r="AG35" s="119" t="str">
        <f>IF(Param!B36&lt;&gt;"","Grid connect inverter","")</f>
        <v/>
      </c>
      <c r="BE35" s="79"/>
      <c r="BF35" s="79"/>
      <c r="BG35" s="79"/>
      <c r="BH35" s="79"/>
      <c r="BI35" s="79"/>
      <c r="BK35" s="79"/>
      <c r="BL35" s="79"/>
      <c r="BM35" s="79"/>
      <c r="BN35" s="79"/>
      <c r="BO35" s="79"/>
      <c r="BP35" s="79"/>
      <c r="BQ35" s="79"/>
      <c r="BR35" s="204" t="s">
        <v>92</v>
      </c>
      <c r="BS35" s="205"/>
      <c r="BT35" s="205"/>
      <c r="BU35" s="205" t="s">
        <v>119</v>
      </c>
      <c r="BV35" s="178"/>
      <c r="BW35" s="177">
        <f>Param!B22*Param!B21</f>
        <v>48</v>
      </c>
      <c r="BX35" s="177"/>
      <c r="BY35" s="177">
        <f>Param!B23*Param!B21</f>
        <v>0</v>
      </c>
      <c r="BZ35" s="177"/>
      <c r="CA35" s="177">
        <f>Param!B24*Param!B21</f>
        <v>48</v>
      </c>
      <c r="CB35" s="178"/>
      <c r="CC35" s="123"/>
    </row>
    <row r="36" spans="28:82" x14ac:dyDescent="0.2">
      <c r="BE36" s="79"/>
      <c r="BF36" s="79"/>
      <c r="BG36" s="79"/>
      <c r="BH36" s="79"/>
      <c r="BI36" s="79"/>
      <c r="BK36" s="79"/>
      <c r="BL36" s="79"/>
      <c r="BM36" s="79"/>
      <c r="BN36" s="79"/>
      <c r="BO36" s="79"/>
      <c r="BP36" s="79"/>
      <c r="BQ36" s="79"/>
      <c r="BR36" s="204" t="s">
        <v>120</v>
      </c>
      <c r="BS36" s="205"/>
      <c r="BT36" s="205"/>
      <c r="BU36" s="205" t="s">
        <v>121</v>
      </c>
      <c r="BV36" s="178"/>
      <c r="BW36" s="205">
        <v>5</v>
      </c>
      <c r="BX36" s="205"/>
      <c r="BY36" s="205"/>
      <c r="BZ36" s="205"/>
      <c r="CA36" s="205"/>
      <c r="CB36" s="178"/>
      <c r="CC36" s="123"/>
    </row>
    <row r="37" spans="28:82" x14ac:dyDescent="0.2">
      <c r="BE37" s="79"/>
      <c r="BF37" s="79"/>
      <c r="BG37" s="79"/>
      <c r="BH37" s="79"/>
      <c r="BI37" s="79"/>
      <c r="BK37" s="79"/>
      <c r="BL37" s="79"/>
      <c r="BM37" s="79"/>
      <c r="BN37" s="79"/>
      <c r="BO37" s="79"/>
      <c r="BP37" s="79"/>
      <c r="BQ37" s="79"/>
      <c r="BR37" s="195" t="s">
        <v>122</v>
      </c>
      <c r="BS37" s="196"/>
      <c r="BT37" s="196"/>
      <c r="BU37" s="196"/>
      <c r="BV37" s="197"/>
      <c r="BW37" s="195">
        <f>SUM(BW35:BX36)</f>
        <v>53</v>
      </c>
      <c r="BX37" s="196"/>
      <c r="BY37" s="196">
        <f t="shared" ref="BY37" si="0">SUM(BY35:BZ36)</f>
        <v>0</v>
      </c>
      <c r="BZ37" s="196"/>
      <c r="CA37" s="196">
        <f t="shared" ref="CA37" si="1">SUM(CA35:CB36)</f>
        <v>48</v>
      </c>
      <c r="CB37" s="197"/>
      <c r="CC37" s="123"/>
    </row>
    <row r="38" spans="28:82" x14ac:dyDescent="0.2">
      <c r="CC38" s="123"/>
    </row>
    <row r="40" spans="28:82" x14ac:dyDescent="0.2">
      <c r="AT40" s="203"/>
      <c r="BR40" s="177"/>
      <c r="BS40" s="177"/>
      <c r="BT40" s="177"/>
      <c r="BU40" s="177"/>
      <c r="BV40" s="177"/>
      <c r="BW40" s="177"/>
      <c r="BX40" s="177"/>
      <c r="BY40" s="177"/>
      <c r="BZ40" s="177"/>
      <c r="CA40" s="177"/>
      <c r="CB40" s="177"/>
    </row>
    <row r="41" spans="28:82" x14ac:dyDescent="0.2">
      <c r="AT41" s="203"/>
      <c r="AZ41" s="100" t="s">
        <v>92</v>
      </c>
      <c r="BR41" s="177"/>
      <c r="BS41" s="177"/>
      <c r="BT41" s="177"/>
      <c r="BU41" s="177"/>
      <c r="BV41" s="177"/>
      <c r="BW41" s="177"/>
      <c r="BX41" s="177"/>
      <c r="BY41" s="177"/>
      <c r="BZ41" s="177"/>
      <c r="CA41" s="177"/>
      <c r="CB41" s="177"/>
    </row>
    <row r="42" spans="28:82" x14ac:dyDescent="0.2">
      <c r="BK42" s="120"/>
      <c r="BR42" s="177"/>
      <c r="BS42" s="177"/>
      <c r="BT42" s="177"/>
      <c r="BU42" s="177"/>
      <c r="BV42" s="177"/>
      <c r="BW42" s="177"/>
      <c r="BX42" s="177"/>
      <c r="BY42" s="177"/>
      <c r="BZ42" s="177"/>
      <c r="CA42" s="177"/>
      <c r="CB42" s="177"/>
    </row>
    <row r="43" spans="28:82" x14ac:dyDescent="0.2">
      <c r="AT43" s="100"/>
      <c r="BK43" s="119" t="str">
        <f>IF(Param!B22&lt;&gt;"", _xlfn.CONCAT(Param!B22," Panels"),"")</f>
        <v>12 Panels</v>
      </c>
    </row>
    <row r="44" spans="28:82" x14ac:dyDescent="0.2">
      <c r="BT44" s="77"/>
      <c r="BU44" s="77"/>
      <c r="BV44" s="77"/>
      <c r="BW44" s="77"/>
      <c r="BX44" s="77"/>
      <c r="BY44" s="77"/>
      <c r="BZ44" s="77"/>
      <c r="CA44" s="77"/>
      <c r="CB44" s="77"/>
    </row>
    <row r="45" spans="28:82" x14ac:dyDescent="0.2">
      <c r="BR45" s="13" t="s">
        <v>36</v>
      </c>
      <c r="BS45" s="12"/>
      <c r="BT45" s="77"/>
      <c r="BU45" s="77"/>
      <c r="BV45" s="77"/>
      <c r="BW45" s="77"/>
      <c r="BX45" s="77"/>
      <c r="BY45" s="77"/>
      <c r="BZ45" s="77"/>
      <c r="CA45" s="77"/>
      <c r="CB45" s="77"/>
      <c r="CC45" s="108"/>
      <c r="CD45" s="108"/>
    </row>
    <row r="46" spans="28:82" x14ac:dyDescent="0.2">
      <c r="BR46" s="80" t="s">
        <v>35</v>
      </c>
      <c r="BS46" s="70"/>
      <c r="BV46" s="109" t="s">
        <v>34</v>
      </c>
      <c r="BW46" s="119" t="s">
        <v>33</v>
      </c>
    </row>
    <row r="47" spans="28:82" x14ac:dyDescent="0.2">
      <c r="BR47" s="71" t="s">
        <v>32</v>
      </c>
      <c r="BS47" s="79"/>
      <c r="BV47" s="110">
        <f>BV48</f>
        <v>18</v>
      </c>
      <c r="BW47" s="71" t="str">
        <f>_xlfn.CONCAT(, BV7, " ", BX8, "W")</f>
        <v>LG NeON 2 W</v>
      </c>
      <c r="BY47" s="79"/>
      <c r="BZ47" s="79"/>
    </row>
    <row r="48" spans="28:82" x14ac:dyDescent="0.2">
      <c r="BR48" s="71" t="s">
        <v>123</v>
      </c>
      <c r="BS48" s="79"/>
      <c r="BV48" s="109">
        <f>BW8</f>
        <v>18</v>
      </c>
      <c r="BW48" s="71" t="str">
        <f>_xlfn.CONCAT(BU35," ")</f>
        <v xml:space="preserve">IQ7+ </v>
      </c>
      <c r="BY48" s="79"/>
      <c r="BZ48" s="79"/>
    </row>
    <row r="49" spans="45:82" x14ac:dyDescent="0.2">
      <c r="BR49" s="71" t="s">
        <v>124</v>
      </c>
      <c r="BS49" s="79"/>
      <c r="BV49" s="109">
        <v>1</v>
      </c>
      <c r="BW49" s="201" t="s">
        <v>125</v>
      </c>
      <c r="BX49" s="202"/>
      <c r="BY49" s="202"/>
      <c r="BZ49" s="202"/>
      <c r="CA49" s="202"/>
      <c r="CB49" s="202"/>
      <c r="CC49" s="202"/>
      <c r="CD49" s="202"/>
    </row>
    <row r="50" spans="45:82" x14ac:dyDescent="0.2">
      <c r="BK50" s="119" t="str">
        <f>IF(Param!B23&lt;&gt;"", _xlfn.CONCAT(Param!B23," Panels"),"")</f>
        <v/>
      </c>
      <c r="BR50" s="71" t="s">
        <v>126</v>
      </c>
      <c r="BS50" s="79"/>
      <c r="BV50" s="109">
        <v>1</v>
      </c>
      <c r="BW50" s="71" t="s">
        <v>127</v>
      </c>
      <c r="BY50" s="79"/>
      <c r="BZ50" s="79"/>
    </row>
    <row r="51" spans="45:82" x14ac:dyDescent="0.2">
      <c r="BR51" s="71" t="s">
        <v>128</v>
      </c>
      <c r="BS51" s="79"/>
      <c r="BV51" s="109">
        <v>2</v>
      </c>
      <c r="BW51" s="71" t="s">
        <v>129</v>
      </c>
      <c r="BY51" s="79"/>
      <c r="BZ51" s="79"/>
    </row>
    <row r="52" spans="45:82" x14ac:dyDescent="0.2">
      <c r="BR52" s="71" t="s">
        <v>130</v>
      </c>
      <c r="BS52" s="79"/>
      <c r="BV52" s="109">
        <v>1</v>
      </c>
      <c r="BW52" s="71" t="s">
        <v>131</v>
      </c>
      <c r="BY52" s="79"/>
      <c r="BZ52" s="79"/>
    </row>
    <row r="53" spans="45:82" x14ac:dyDescent="0.2">
      <c r="AS53" s="119" t="str">
        <f>IF(Param!B22&lt;&gt;"",_xlfn.CONCAT(Param!B31,"mm 4C+E"),_xlfn.CONCAT(Param!B31,"mm 2C+E"))</f>
        <v>4mm 4C+E</v>
      </c>
      <c r="BR53" s="83" t="s">
        <v>31</v>
      </c>
      <c r="BS53" s="84"/>
      <c r="BT53" s="77"/>
      <c r="BU53" s="77"/>
      <c r="BV53" s="111"/>
      <c r="BW53" s="83" t="s">
        <v>30</v>
      </c>
      <c r="BY53" s="84"/>
      <c r="BZ53" s="84"/>
      <c r="CA53" s="77"/>
      <c r="CB53" s="77"/>
      <c r="CC53" s="77"/>
      <c r="CD53" s="77"/>
    </row>
    <row r="54" spans="45:82" x14ac:dyDescent="0.2">
      <c r="BX54" s="74"/>
    </row>
    <row r="55" spans="45:82" x14ac:dyDescent="0.2">
      <c r="AT55" s="100"/>
      <c r="BX55" s="77"/>
    </row>
    <row r="56" spans="45:82" x14ac:dyDescent="0.2">
      <c r="BK56" s="119" t="str">
        <f>IF(Param!B24&lt;&gt;"", _xlfn.CONCAT(Param!B24," Panels"),"")</f>
        <v>12 Panels</v>
      </c>
      <c r="BR56" s="11" t="s">
        <v>29</v>
      </c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81"/>
    </row>
    <row r="57" spans="45:82" x14ac:dyDescent="0.2">
      <c r="BR57" s="71" t="s">
        <v>28</v>
      </c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2"/>
    </row>
    <row r="58" spans="45:82" x14ac:dyDescent="0.2">
      <c r="BR58" s="71" t="s">
        <v>27</v>
      </c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2"/>
    </row>
    <row r="59" spans="45:82" x14ac:dyDescent="0.2">
      <c r="AZ59" s="177"/>
      <c r="BA59" s="177"/>
      <c r="BB59" s="177"/>
      <c r="BC59" s="177"/>
      <c r="BD59" s="177"/>
      <c r="BE59" s="177"/>
      <c r="BF59" s="177"/>
      <c r="BG59" s="177"/>
      <c r="BH59" s="177"/>
      <c r="BI59" s="177"/>
      <c r="BJ59" s="177"/>
      <c r="BR59" s="71" t="s">
        <v>26</v>
      </c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2"/>
    </row>
    <row r="60" spans="45:82" x14ac:dyDescent="0.2">
      <c r="BR60" s="71" t="s">
        <v>25</v>
      </c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2"/>
    </row>
    <row r="61" spans="45:82" x14ac:dyDescent="0.2">
      <c r="BR61" s="71" t="s">
        <v>24</v>
      </c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2"/>
    </row>
    <row r="62" spans="45:82" x14ac:dyDescent="0.2">
      <c r="AZ62" s="10"/>
      <c r="BA62" s="10"/>
      <c r="BD62" s="9"/>
      <c r="BE62" s="9"/>
      <c r="BJ62" s="8"/>
      <c r="BR62" s="71" t="s">
        <v>23</v>
      </c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2"/>
    </row>
    <row r="63" spans="45:82" x14ac:dyDescent="0.2">
      <c r="AZ63" s="10"/>
      <c r="BA63" s="10"/>
      <c r="BD63" s="9"/>
      <c r="BE63" s="9"/>
      <c r="BJ63" s="8"/>
      <c r="BR63" s="71" t="s">
        <v>22</v>
      </c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2"/>
    </row>
    <row r="64" spans="45:82" x14ac:dyDescent="0.2">
      <c r="AZ64" s="10"/>
      <c r="BA64" s="10"/>
      <c r="BD64" s="9"/>
      <c r="BE64" s="9"/>
      <c r="BJ64" s="8"/>
      <c r="BR64" s="71" t="s">
        <v>21</v>
      </c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2"/>
    </row>
    <row r="65" spans="2:82" x14ac:dyDescent="0.2">
      <c r="AZ65" s="10"/>
      <c r="BA65" s="10"/>
      <c r="BD65" s="9"/>
      <c r="BE65" s="9"/>
      <c r="BJ65" s="8"/>
      <c r="BR65" s="71" t="s">
        <v>20</v>
      </c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2"/>
    </row>
    <row r="66" spans="2:82" x14ac:dyDescent="0.2">
      <c r="C66" s="119" t="s">
        <v>135</v>
      </c>
      <c r="AO66" s="7"/>
      <c r="BR66" s="83" t="s">
        <v>19</v>
      </c>
      <c r="BS66" s="84"/>
      <c r="BT66" s="84"/>
      <c r="BU66" s="84"/>
      <c r="BV66" s="84"/>
      <c r="BW66" s="84"/>
      <c r="BX66" s="84"/>
      <c r="BY66" s="84"/>
      <c r="BZ66" s="84"/>
      <c r="CA66" s="84"/>
      <c r="CB66" s="84"/>
      <c r="CC66" s="84"/>
      <c r="CD66" s="82"/>
    </row>
    <row r="67" spans="2:82" x14ac:dyDescent="0.2">
      <c r="C67" s="119" t="str">
        <f>IF(Param!B38&lt;&gt;"",_xlfn.CONCAT("Note: ",Param!B38),"")</f>
        <v/>
      </c>
      <c r="AO67" s="7"/>
      <c r="BR67" s="73" t="s">
        <v>18</v>
      </c>
      <c r="BS67" s="74"/>
      <c r="BT67" s="74"/>
      <c r="BU67" s="74"/>
      <c r="BV67" s="74"/>
      <c r="BW67" s="74"/>
      <c r="BX67" s="74"/>
      <c r="BY67" s="74"/>
      <c r="BZ67" s="74"/>
      <c r="CA67" s="74"/>
      <c r="CB67" s="74"/>
      <c r="CC67" s="74"/>
      <c r="CD67" s="4"/>
    </row>
    <row r="68" spans="2:82" x14ac:dyDescent="0.2">
      <c r="B68" s="77"/>
      <c r="C68" s="77"/>
      <c r="BR68" s="76" t="s">
        <v>17</v>
      </c>
      <c r="BS68" s="77"/>
      <c r="BT68" s="77"/>
      <c r="BU68" s="77"/>
      <c r="BV68" s="77"/>
      <c r="BW68" s="77"/>
      <c r="BX68" s="77"/>
      <c r="BY68" s="77"/>
      <c r="BZ68" s="77"/>
      <c r="CA68" s="77"/>
      <c r="CB68" s="77"/>
      <c r="CC68" s="77"/>
      <c r="CD68" s="1"/>
    </row>
    <row r="69" spans="2:82" x14ac:dyDescent="0.2">
      <c r="B69" s="119" t="s">
        <v>16</v>
      </c>
      <c r="D69" s="74"/>
      <c r="E69" s="74"/>
      <c r="F69" s="74"/>
      <c r="G69" s="74"/>
      <c r="H69" s="74"/>
      <c r="I69" s="74"/>
      <c r="J69" s="4"/>
      <c r="K69" s="73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4"/>
      <c r="X69" s="73"/>
      <c r="Y69" s="74" t="s">
        <v>15</v>
      </c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  <c r="AW69" s="74"/>
      <c r="AX69" s="74"/>
      <c r="AY69" s="190" t="s">
        <v>14</v>
      </c>
      <c r="AZ69" s="190"/>
      <c r="BA69" s="191"/>
      <c r="BB69" s="73" t="str">
        <f>Param!B3</f>
        <v xml:space="preserve">Miller, Ian </v>
      </c>
      <c r="BC69" s="74"/>
      <c r="BD69" s="74"/>
      <c r="BE69" s="74"/>
      <c r="BF69" s="74"/>
      <c r="BG69" s="74"/>
      <c r="BH69" s="74"/>
      <c r="BI69" s="74"/>
      <c r="BJ69" s="74"/>
      <c r="BK69" s="74"/>
      <c r="BL69" s="74"/>
      <c r="BM69" s="4"/>
      <c r="BN69" s="73" t="s">
        <v>58</v>
      </c>
      <c r="BO69" s="74"/>
      <c r="BP69" s="74"/>
      <c r="BQ69" s="74"/>
      <c r="BR69" s="74"/>
      <c r="BS69" s="74"/>
      <c r="BT69" s="74"/>
      <c r="BU69" s="74"/>
      <c r="BV69" s="74"/>
      <c r="BW69" s="74"/>
      <c r="BX69" s="74"/>
      <c r="CB69" s="194">
        <f>SUM(BW37:CB37)</f>
        <v>101</v>
      </c>
      <c r="CC69" s="194"/>
      <c r="CD69" s="194"/>
    </row>
    <row r="70" spans="2:82" x14ac:dyDescent="0.2">
      <c r="J70" s="5"/>
      <c r="K70" s="75"/>
      <c r="W70" s="5"/>
      <c r="X70" s="76"/>
      <c r="Y70" s="77" t="s">
        <v>5</v>
      </c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  <c r="AW70" s="77"/>
      <c r="AX70" s="77"/>
      <c r="AY70" s="77"/>
      <c r="AZ70" s="77"/>
      <c r="BA70" s="1"/>
      <c r="BB70" s="76"/>
      <c r="BC70" s="77"/>
      <c r="BD70" s="77"/>
      <c r="BE70" s="77"/>
      <c r="BF70" s="77"/>
      <c r="BG70" s="77"/>
      <c r="BH70" s="77"/>
      <c r="BI70" s="77"/>
      <c r="BJ70" s="77"/>
      <c r="BK70" s="77"/>
      <c r="BL70" s="77"/>
      <c r="BM70" s="1"/>
      <c r="BN70" s="76" t="s">
        <v>13</v>
      </c>
      <c r="BO70" s="77"/>
      <c r="BP70" s="77"/>
      <c r="BQ70" s="77"/>
      <c r="BR70" s="77"/>
      <c r="BS70" s="77"/>
      <c r="BT70" s="77"/>
      <c r="BU70" s="77"/>
      <c r="BV70" s="77"/>
      <c r="BW70" s="77"/>
      <c r="BX70" s="77"/>
      <c r="BY70" s="77"/>
      <c r="BZ70" s="77"/>
      <c r="CA70" s="77"/>
      <c r="CB70" s="77"/>
      <c r="CC70" s="77"/>
      <c r="CD70" s="1"/>
    </row>
    <row r="71" spans="2:82" x14ac:dyDescent="0.2">
      <c r="J71" s="5"/>
      <c r="K71" s="75"/>
      <c r="W71" s="5"/>
      <c r="X71" s="73"/>
      <c r="Y71" s="74" t="s">
        <v>12</v>
      </c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  <c r="AW71" s="74"/>
      <c r="AX71" s="74"/>
      <c r="AY71" s="190" t="s">
        <v>11</v>
      </c>
      <c r="AZ71" s="190"/>
      <c r="BA71" s="191"/>
      <c r="BB71" s="73" t="str">
        <f>Param!B4</f>
        <v>154 Princeton Ave  Adamstown Heights</v>
      </c>
      <c r="BC71" s="74"/>
      <c r="BD71" s="74"/>
      <c r="BE71" s="74"/>
      <c r="BF71" s="74"/>
      <c r="BG71" s="74"/>
      <c r="BH71" s="74"/>
      <c r="BI71" s="74"/>
      <c r="BJ71" s="74"/>
      <c r="BK71" s="74"/>
      <c r="BL71" s="74"/>
      <c r="BM71" s="4"/>
      <c r="BN71" s="73" t="s">
        <v>10</v>
      </c>
      <c r="BO71" s="74"/>
      <c r="BP71" s="4"/>
      <c r="BQ71" s="73" t="s">
        <v>9</v>
      </c>
      <c r="BR71" s="74"/>
      <c r="BS71" s="4"/>
      <c r="BT71" s="73" t="s">
        <v>8</v>
      </c>
      <c r="BU71" s="74"/>
      <c r="BV71" s="74"/>
      <c r="BW71" s="4"/>
      <c r="BX71" s="73" t="s">
        <v>7</v>
      </c>
      <c r="BY71" s="74"/>
      <c r="BZ71" s="4"/>
      <c r="CA71" s="73" t="s">
        <v>6</v>
      </c>
      <c r="CB71" s="74"/>
      <c r="CC71" s="74"/>
      <c r="CD71" s="4"/>
    </row>
    <row r="72" spans="2:82" x14ac:dyDescent="0.2">
      <c r="J72" s="5"/>
      <c r="K72" s="75"/>
      <c r="W72" s="5"/>
      <c r="X72" s="76"/>
      <c r="Y72" s="77" t="s">
        <v>5</v>
      </c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  <c r="AW72" s="77"/>
      <c r="AX72" s="77"/>
      <c r="AY72" s="77"/>
      <c r="AZ72" s="77"/>
      <c r="BA72" s="1"/>
      <c r="BB72" s="76"/>
      <c r="BC72" s="77"/>
      <c r="BD72" s="77"/>
      <c r="BE72" s="77"/>
      <c r="BF72" s="77"/>
      <c r="BG72" s="77"/>
      <c r="BH72" s="77"/>
      <c r="BI72" s="77"/>
      <c r="BJ72" s="77"/>
      <c r="BK72" s="77"/>
      <c r="BL72" s="77"/>
      <c r="BM72" s="1"/>
      <c r="BN72" s="195" t="s">
        <v>61</v>
      </c>
      <c r="BO72" s="196"/>
      <c r="BP72" s="197"/>
      <c r="BQ72" s="195" t="s">
        <v>4</v>
      </c>
      <c r="BR72" s="196"/>
      <c r="BS72" s="197"/>
      <c r="BT72" s="195" t="s">
        <v>4</v>
      </c>
      <c r="BU72" s="196"/>
      <c r="BV72" s="196"/>
      <c r="BW72" s="1"/>
      <c r="BX72" s="198">
        <f ca="1">TODAY()</f>
        <v>44234</v>
      </c>
      <c r="BY72" s="199"/>
      <c r="BZ72" s="200"/>
      <c r="CA72" s="6" t="s">
        <v>3</v>
      </c>
      <c r="CB72" s="77"/>
      <c r="CC72" s="77"/>
      <c r="CD72" s="1"/>
    </row>
    <row r="73" spans="2:82" x14ac:dyDescent="0.2">
      <c r="J73" s="5"/>
      <c r="K73" s="75"/>
      <c r="W73" s="5"/>
      <c r="X73" s="73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Y73" s="190" t="s">
        <v>2</v>
      </c>
      <c r="AZ73" s="190"/>
      <c r="BA73" s="191"/>
      <c r="BB73" s="192">
        <f>Param!B2</f>
        <v>26181</v>
      </c>
      <c r="BC73" s="193"/>
      <c r="BD73" s="74"/>
      <c r="BE73" s="74"/>
      <c r="BF73" s="74"/>
      <c r="BG73" s="74"/>
      <c r="BH73" s="74"/>
      <c r="BI73" s="74"/>
      <c r="BJ73" s="74"/>
      <c r="BK73" s="74"/>
      <c r="BL73" s="74"/>
      <c r="BM73" s="4"/>
      <c r="BN73" s="73" t="s">
        <v>1</v>
      </c>
      <c r="BO73" s="74"/>
      <c r="BP73" s="74"/>
      <c r="BQ73" s="74">
        <v>1</v>
      </c>
      <c r="BR73" s="74"/>
      <c r="BS73" s="74"/>
      <c r="BT73" s="74"/>
      <c r="BU73" s="74"/>
      <c r="BV73" s="74"/>
      <c r="BW73" s="74"/>
      <c r="BX73" s="74"/>
      <c r="BY73" s="74"/>
      <c r="BZ73" s="74"/>
      <c r="CA73" s="74"/>
      <c r="CB73" s="74"/>
      <c r="CC73" s="74"/>
      <c r="CD73" s="4"/>
    </row>
    <row r="74" spans="2:82" x14ac:dyDescent="0.2">
      <c r="C74" s="77"/>
      <c r="D74" s="77"/>
      <c r="E74" s="77"/>
      <c r="F74" s="77"/>
      <c r="G74" s="77"/>
      <c r="H74" s="77"/>
      <c r="I74" s="77"/>
      <c r="J74" s="1"/>
      <c r="K74" s="76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1"/>
      <c r="X74" s="76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Z74" s="77"/>
      <c r="BA74" s="1"/>
      <c r="BB74" s="76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1"/>
      <c r="BN74" s="76" t="s">
        <v>0</v>
      </c>
      <c r="BO74" s="77"/>
      <c r="BP74" s="77"/>
      <c r="BQ74" s="3" t="s">
        <v>161</v>
      </c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1"/>
    </row>
  </sheetData>
  <mergeCells count="90">
    <mergeCell ref="CA11:CC11"/>
    <mergeCell ref="CA21:CC21"/>
    <mergeCell ref="CA22:CC22"/>
    <mergeCell ref="CA23:CC23"/>
    <mergeCell ref="BX9:BZ9"/>
    <mergeCell ref="BX10:BZ10"/>
    <mergeCell ref="BY18:BZ18"/>
    <mergeCell ref="BY19:BZ19"/>
    <mergeCell ref="BV16:BZ16"/>
    <mergeCell ref="BV17:BZ17"/>
    <mergeCell ref="BV15:BZ15"/>
    <mergeCell ref="BW18:BX18"/>
    <mergeCell ref="BW19:BX19"/>
    <mergeCell ref="BT32:BU32"/>
    <mergeCell ref="BV32:BW32"/>
    <mergeCell ref="BX32:BY32"/>
    <mergeCell ref="BZ32:CA32"/>
    <mergeCell ref="CB32:CC32"/>
    <mergeCell ref="BT31:BU31"/>
    <mergeCell ref="BV31:BW31"/>
    <mergeCell ref="BX31:BY31"/>
    <mergeCell ref="BZ31:CA31"/>
    <mergeCell ref="CB31:CC31"/>
    <mergeCell ref="BR34:BT34"/>
    <mergeCell ref="BU34:BV34"/>
    <mergeCell ref="BW34:BX34"/>
    <mergeCell ref="BY34:BZ34"/>
    <mergeCell ref="CA34:CB34"/>
    <mergeCell ref="BT33:BU33"/>
    <mergeCell ref="BV33:BW33"/>
    <mergeCell ref="BX33:BY33"/>
    <mergeCell ref="BZ33:CA33"/>
    <mergeCell ref="CB33:CC33"/>
    <mergeCell ref="BR36:BT36"/>
    <mergeCell ref="BU36:BV36"/>
    <mergeCell ref="BW36:BX36"/>
    <mergeCell ref="BY36:BZ36"/>
    <mergeCell ref="CA36:CB36"/>
    <mergeCell ref="BR35:BT35"/>
    <mergeCell ref="BU35:BV35"/>
    <mergeCell ref="BW35:BX35"/>
    <mergeCell ref="BY35:BZ35"/>
    <mergeCell ref="CA35:CB35"/>
    <mergeCell ref="BR37:BV37"/>
    <mergeCell ref="BW37:BX37"/>
    <mergeCell ref="BY37:BZ37"/>
    <mergeCell ref="CA37:CB37"/>
    <mergeCell ref="CA40:CB40"/>
    <mergeCell ref="AT40:AT41"/>
    <mergeCell ref="BR40:BT40"/>
    <mergeCell ref="BU40:BV40"/>
    <mergeCell ref="BW40:BX40"/>
    <mergeCell ref="BY40:BZ40"/>
    <mergeCell ref="CA41:CB41"/>
    <mergeCell ref="BR42:BT42"/>
    <mergeCell ref="BU42:BV42"/>
    <mergeCell ref="BW42:BX42"/>
    <mergeCell ref="BY42:BZ42"/>
    <mergeCell ref="CA42:CB42"/>
    <mergeCell ref="BR41:BT41"/>
    <mergeCell ref="BU41:BV41"/>
    <mergeCell ref="BW41:BX41"/>
    <mergeCell ref="BY41:BZ41"/>
    <mergeCell ref="BW49:CD49"/>
    <mergeCell ref="AZ59:BB59"/>
    <mergeCell ref="BC59:BD59"/>
    <mergeCell ref="BE59:BF59"/>
    <mergeCell ref="BG59:BH59"/>
    <mergeCell ref="BI59:BJ59"/>
    <mergeCell ref="AY73:BA73"/>
    <mergeCell ref="BB73:BC73"/>
    <mergeCell ref="AY69:BA69"/>
    <mergeCell ref="CB69:CD69"/>
    <mergeCell ref="AY71:BA71"/>
    <mergeCell ref="BN72:BP72"/>
    <mergeCell ref="BQ72:BS72"/>
    <mergeCell ref="BT72:BV72"/>
    <mergeCell ref="BX72:BZ72"/>
    <mergeCell ref="BX28:BZ28"/>
    <mergeCell ref="BX27:BZ27"/>
    <mergeCell ref="BV6:BZ6"/>
    <mergeCell ref="BV7:BZ7"/>
    <mergeCell ref="BW8:BZ8"/>
    <mergeCell ref="BX11:BZ11"/>
    <mergeCell ref="BV12:BZ12"/>
    <mergeCell ref="BX24:BZ24"/>
    <mergeCell ref="BX25:BZ25"/>
    <mergeCell ref="BX26:BZ26"/>
    <mergeCell ref="BY20:BZ20"/>
    <mergeCell ref="BY21:BZ21"/>
  </mergeCells>
  <conditionalFormatting sqref="BH62:BI65">
    <cfRule type="cellIs" dxfId="11" priority="4" operator="greaterThan">
      <formula>600</formula>
    </cfRule>
  </conditionalFormatting>
  <conditionalFormatting sqref="CA24">
    <cfRule type="cellIs" dxfId="10" priority="1" operator="greaterThan">
      <formula>600</formula>
    </cfRule>
  </conditionalFormatting>
  <conditionalFormatting sqref="BZ31:CA33">
    <cfRule type="cellIs" dxfId="9" priority="3" operator="greaterThan">
      <formula>600</formula>
    </cfRule>
  </conditionalFormatting>
  <conditionalFormatting sqref="BZ29:CA30">
    <cfRule type="cellIs" dxfId="8" priority="2" operator="greaterThan">
      <formula>600</formula>
    </cfRule>
  </conditionalFormatting>
  <pageMargins left="0.5" right="0.5" top="0.5" bottom="0.5" header="0" footer="0"/>
  <pageSetup paperSize="9" scale="44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9A165-32AA-834D-AA1A-9A8089B21294}">
  <sheetPr codeName="Feuil6">
    <pageSetUpPr fitToPage="1"/>
  </sheetPr>
  <dimension ref="B5:CD74"/>
  <sheetViews>
    <sheetView showGridLines="0" topLeftCell="AR1" zoomScale="150" zoomScaleNormal="227" workbookViewId="0">
      <selection activeCell="BV7" sqref="BV7:BZ7"/>
    </sheetView>
  </sheetViews>
  <sheetFormatPr baseColWidth="10" defaultRowHeight="16" x14ac:dyDescent="0.2"/>
  <cols>
    <col min="1" max="73" width="3.33203125" style="128" customWidth="1"/>
    <col min="74" max="74" width="4.1640625" style="128" bestFit="1" customWidth="1"/>
    <col min="75" max="75" width="3.33203125" style="128" customWidth="1"/>
    <col min="76" max="76" width="4.33203125" style="128" customWidth="1"/>
    <col min="77" max="83" width="3.33203125" style="128" customWidth="1"/>
    <col min="84" max="16384" width="10.83203125" style="128"/>
  </cols>
  <sheetData>
    <row r="5" spans="4:81" x14ac:dyDescent="0.2">
      <c r="D5" s="100" t="s">
        <v>60</v>
      </c>
      <c r="BR5" s="27" t="s">
        <v>44</v>
      </c>
      <c r="BS5" s="26"/>
      <c r="BT5" s="26"/>
      <c r="BU5" s="26"/>
      <c r="BV5" s="26"/>
      <c r="BW5" s="26"/>
      <c r="BX5" s="26"/>
      <c r="BY5" s="26"/>
      <c r="BZ5" s="25"/>
    </row>
    <row r="6" spans="4:81" x14ac:dyDescent="0.2">
      <c r="BR6" s="24" t="s">
        <v>39</v>
      </c>
      <c r="BS6" s="18"/>
      <c r="BT6" s="18"/>
      <c r="BU6" s="18"/>
      <c r="BV6" s="175" t="str">
        <f>Param!B11</f>
        <v>LG Electronics</v>
      </c>
      <c r="BW6" s="175"/>
      <c r="BX6" s="175"/>
      <c r="BY6" s="175"/>
      <c r="BZ6" s="176"/>
    </row>
    <row r="7" spans="4:81" x14ac:dyDescent="0.2">
      <c r="BR7" s="24" t="s">
        <v>38</v>
      </c>
      <c r="BS7" s="18"/>
      <c r="BT7" s="18"/>
      <c r="BU7" s="18"/>
      <c r="BV7" s="216" t="str">
        <f>Param!B12</f>
        <v>LG NeON 2</v>
      </c>
      <c r="BW7" s="216"/>
      <c r="BX7" s="216"/>
      <c r="BY7" s="216"/>
      <c r="BZ7" s="187"/>
    </row>
    <row r="8" spans="4:81" x14ac:dyDescent="0.2">
      <c r="BR8" s="24" t="s">
        <v>158</v>
      </c>
      <c r="BS8" s="137"/>
      <c r="BT8" s="137"/>
      <c r="BU8" s="137"/>
      <c r="BV8" s="137"/>
      <c r="BW8" s="177">
        <f>Param!B13</f>
        <v>18</v>
      </c>
      <c r="BX8" s="177"/>
      <c r="BY8" s="177"/>
      <c r="BZ8" s="178"/>
    </row>
    <row r="9" spans="4:81" x14ac:dyDescent="0.2">
      <c r="BR9" s="24" t="s">
        <v>43</v>
      </c>
      <c r="BS9" s="18"/>
      <c r="BT9" s="18"/>
      <c r="BU9" s="18"/>
      <c r="BV9" s="18"/>
      <c r="BW9" s="18"/>
      <c r="BX9" s="212">
        <f>Param!B14</f>
        <v>365</v>
      </c>
      <c r="BY9" s="212"/>
      <c r="BZ9" s="214"/>
    </row>
    <row r="10" spans="4:81" x14ac:dyDescent="0.2">
      <c r="BR10" s="24" t="s">
        <v>42</v>
      </c>
      <c r="BS10" s="18"/>
      <c r="BT10" s="18"/>
      <c r="BU10" s="18"/>
      <c r="BV10" s="18"/>
      <c r="BW10" s="18"/>
      <c r="BX10" s="213">
        <f>Param!B15</f>
        <v>41.7</v>
      </c>
      <c r="BY10" s="213"/>
      <c r="BZ10" s="215"/>
    </row>
    <row r="11" spans="4:81" x14ac:dyDescent="0.2">
      <c r="BR11" s="24" t="s">
        <v>41</v>
      </c>
      <c r="BS11" s="18"/>
      <c r="BT11" s="18"/>
      <c r="BU11" s="18"/>
      <c r="BV11" s="18"/>
      <c r="BW11" s="18"/>
      <c r="BX11" s="179">
        <f>Param!B16</f>
        <v>10.88</v>
      </c>
      <c r="BY11" s="179"/>
      <c r="BZ11" s="180"/>
      <c r="CA11" s="211"/>
      <c r="CB11" s="211"/>
      <c r="CC11" s="211"/>
    </row>
    <row r="12" spans="4:81" x14ac:dyDescent="0.2">
      <c r="BR12" s="28" t="s">
        <v>159</v>
      </c>
      <c r="BS12" s="19"/>
      <c r="BT12" s="19"/>
      <c r="BU12" s="19"/>
      <c r="BV12" s="181">
        <f>Param!B14*BW8/1000</f>
        <v>6.57</v>
      </c>
      <c r="BW12" s="181"/>
      <c r="BX12" s="181"/>
      <c r="BY12" s="181"/>
      <c r="BZ12" s="182"/>
      <c r="CC12" s="78"/>
    </row>
    <row r="13" spans="4:81" x14ac:dyDescent="0.2">
      <c r="Y13" s="100" t="s">
        <v>133</v>
      </c>
      <c r="AZ13" s="100" t="s">
        <v>132</v>
      </c>
      <c r="CC13" s="78"/>
    </row>
    <row r="14" spans="4:81" x14ac:dyDescent="0.2">
      <c r="BE14" s="101"/>
      <c r="BF14" s="101"/>
      <c r="BR14" s="27" t="s">
        <v>101</v>
      </c>
      <c r="BS14" s="26"/>
      <c r="BT14" s="26"/>
      <c r="BU14" s="26"/>
      <c r="BV14" s="26"/>
      <c r="BW14" s="26"/>
      <c r="BX14" s="26"/>
      <c r="BY14" s="26"/>
      <c r="BZ14" s="25"/>
      <c r="CC14" s="78"/>
    </row>
    <row r="15" spans="4:81" x14ac:dyDescent="0.2">
      <c r="BE15" s="101"/>
      <c r="BK15" s="78"/>
      <c r="BL15" s="78"/>
      <c r="BM15" s="78"/>
      <c r="BR15" s="75" t="s">
        <v>102</v>
      </c>
      <c r="BV15" s="128">
        <v>1</v>
      </c>
      <c r="BZ15" s="5"/>
      <c r="CC15" s="78"/>
    </row>
    <row r="16" spans="4:81" x14ac:dyDescent="0.2">
      <c r="BR16" s="24" t="s">
        <v>39</v>
      </c>
      <c r="BS16" s="18"/>
      <c r="BT16" s="18"/>
      <c r="BU16" s="18"/>
      <c r="BV16" s="18" t="s">
        <v>103</v>
      </c>
      <c r="BW16" s="18"/>
      <c r="BX16" s="18"/>
      <c r="BY16" s="18"/>
      <c r="BZ16" s="23"/>
      <c r="CC16" s="78"/>
    </row>
    <row r="17" spans="10:81" x14ac:dyDescent="0.2"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R17" s="24" t="s">
        <v>38</v>
      </c>
      <c r="BS17" s="18"/>
      <c r="BT17" s="18"/>
      <c r="BU17" s="18"/>
      <c r="BV17" s="29" t="s">
        <v>104</v>
      </c>
      <c r="BW17" s="18"/>
      <c r="BX17" s="18"/>
      <c r="BY17" s="18"/>
      <c r="BZ17" s="23"/>
      <c r="CA17" s="78"/>
      <c r="CB17" s="78"/>
      <c r="CC17" s="78"/>
    </row>
    <row r="18" spans="10:81" ht="16" customHeight="1" x14ac:dyDescent="0.2">
      <c r="AA18" s="128" t="str">
        <f>IF(Param!B36&lt;&gt;"","Main","")</f>
        <v/>
      </c>
      <c r="AU18" s="128" t="s">
        <v>59</v>
      </c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R18" s="24" t="s">
        <v>105</v>
      </c>
      <c r="BS18" s="18"/>
      <c r="BT18" s="18"/>
      <c r="BU18" s="18"/>
      <c r="BV18" s="18"/>
      <c r="BW18" s="216">
        <f>5</f>
        <v>5</v>
      </c>
      <c r="BX18" s="216"/>
      <c r="BY18" s="138" t="s">
        <v>106</v>
      </c>
      <c r="BZ18" s="139"/>
      <c r="CA18" s="18"/>
      <c r="CB18" s="18"/>
      <c r="CC18" s="18"/>
    </row>
    <row r="19" spans="10:81" ht="16" customHeight="1" x14ac:dyDescent="0.2">
      <c r="AA19" s="128" t="str">
        <f>IF(Param!B36&lt;&gt;"","Switch","")</f>
        <v/>
      </c>
      <c r="AU19" s="128" t="s">
        <v>110</v>
      </c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R19" s="24" t="s">
        <v>107</v>
      </c>
      <c r="BS19" s="18"/>
      <c r="BT19" s="18"/>
      <c r="BU19" s="18"/>
      <c r="BV19" s="18"/>
      <c r="BW19" s="216">
        <v>13.5</v>
      </c>
      <c r="BX19" s="216"/>
      <c r="BY19" s="140" t="s">
        <v>108</v>
      </c>
      <c r="BZ19" s="141"/>
      <c r="CA19" s="18"/>
      <c r="CB19" s="18"/>
      <c r="CC19" s="18"/>
    </row>
    <row r="20" spans="10:81" x14ac:dyDescent="0.2">
      <c r="Y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R20" s="102" t="s">
        <v>136</v>
      </c>
      <c r="BS20" s="10"/>
      <c r="BT20" s="136"/>
      <c r="BU20" s="18"/>
      <c r="BV20" s="18"/>
      <c r="BW20" s="118"/>
      <c r="BX20" s="183">
        <v>32</v>
      </c>
      <c r="BY20" s="183"/>
      <c r="BZ20" s="115" t="s">
        <v>109</v>
      </c>
      <c r="CA20" s="18"/>
      <c r="CB20" s="18"/>
      <c r="CC20" s="18"/>
    </row>
    <row r="21" spans="10:81" x14ac:dyDescent="0.2">
      <c r="BE21" s="100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R21" s="103" t="s">
        <v>111</v>
      </c>
      <c r="BS21" s="104"/>
      <c r="BT21" s="105"/>
      <c r="BU21" s="19"/>
      <c r="BV21" s="19"/>
      <c r="BW21" s="116"/>
      <c r="BX21" s="188">
        <v>50</v>
      </c>
      <c r="BY21" s="188"/>
      <c r="BZ21" s="117" t="s">
        <v>112</v>
      </c>
      <c r="CA21" s="212"/>
      <c r="CB21" s="212"/>
      <c r="CC21" s="212"/>
    </row>
    <row r="22" spans="10:81" x14ac:dyDescent="0.2">
      <c r="BR22" s="137"/>
      <c r="BS22" s="137"/>
      <c r="BT22" s="137"/>
      <c r="BU22" s="137"/>
      <c r="BV22" s="137"/>
      <c r="BW22" s="137"/>
      <c r="BX22" s="137"/>
      <c r="BY22" s="137"/>
      <c r="BZ22" s="137"/>
      <c r="CA22" s="213"/>
      <c r="CB22" s="213"/>
      <c r="CC22" s="213"/>
    </row>
    <row r="23" spans="10:81" x14ac:dyDescent="0.2">
      <c r="AA23" s="128" t="s">
        <v>113</v>
      </c>
      <c r="AJ23" s="7"/>
      <c r="BR23" s="27" t="s">
        <v>40</v>
      </c>
      <c r="BS23" s="26"/>
      <c r="BT23" s="26"/>
      <c r="BU23" s="26"/>
      <c r="BV23" s="26"/>
      <c r="BW23" s="26"/>
      <c r="BX23" s="26"/>
      <c r="BY23" s="26"/>
      <c r="BZ23" s="25"/>
      <c r="CA23" s="179"/>
      <c r="CB23" s="179"/>
      <c r="CC23" s="179"/>
    </row>
    <row r="24" spans="10:81" x14ac:dyDescent="0.2">
      <c r="AA24" s="128" t="s">
        <v>114</v>
      </c>
      <c r="BR24" s="24" t="s">
        <v>115</v>
      </c>
      <c r="BS24" s="18"/>
      <c r="BT24" s="18"/>
      <c r="BU24" s="18"/>
      <c r="BW24" s="183">
        <v>1</v>
      </c>
      <c r="BX24" s="183"/>
      <c r="BY24" s="183"/>
      <c r="BZ24" s="184"/>
      <c r="CB24" s="17"/>
      <c r="CC24" s="17"/>
    </row>
    <row r="25" spans="10:81" x14ac:dyDescent="0.2">
      <c r="BR25" s="24" t="s">
        <v>39</v>
      </c>
      <c r="BS25" s="18"/>
      <c r="BT25" s="18"/>
      <c r="BU25" s="18"/>
      <c r="BW25" s="183" t="str">
        <f>Param!E16</f>
        <v>SMA</v>
      </c>
      <c r="BX25" s="183"/>
      <c r="BY25" s="183"/>
      <c r="BZ25" s="184"/>
      <c r="CC25" s="17"/>
    </row>
    <row r="26" spans="10:81" x14ac:dyDescent="0.2">
      <c r="J26" s="128" t="s">
        <v>113</v>
      </c>
      <c r="BR26" s="22" t="s">
        <v>38</v>
      </c>
      <c r="BS26" s="21"/>
      <c r="BT26" s="18"/>
      <c r="BU26" s="18"/>
      <c r="BW26" s="183" t="str">
        <f>Param!E17</f>
        <v>SB4.0-1AV-40</v>
      </c>
      <c r="BX26" s="183"/>
      <c r="BY26" s="183"/>
      <c r="BZ26" s="184"/>
      <c r="CC26" s="17"/>
    </row>
    <row r="27" spans="10:81" x14ac:dyDescent="0.2">
      <c r="BR27" s="20" t="s">
        <v>116</v>
      </c>
      <c r="BS27" s="19"/>
      <c r="BT27" s="19"/>
      <c r="BU27" s="19"/>
      <c r="BV27" s="19"/>
      <c r="BW27" s="219">
        <f>Param!E20</f>
        <v>4</v>
      </c>
      <c r="BX27" s="219"/>
      <c r="BY27" s="219"/>
      <c r="BZ27" s="220"/>
      <c r="CC27" s="132"/>
    </row>
    <row r="28" spans="10:81" x14ac:dyDescent="0.2"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CC28" s="132"/>
    </row>
    <row r="29" spans="10:81" x14ac:dyDescent="0.2">
      <c r="L29" s="16"/>
      <c r="M29" s="15"/>
      <c r="AB29" s="100" t="str">
        <f>IF(Param!B36&lt;&gt;"","Existing array","")</f>
        <v/>
      </c>
      <c r="BB29" s="128" t="s">
        <v>134</v>
      </c>
      <c r="BE29" s="79"/>
      <c r="BF29" s="79"/>
      <c r="BG29" s="79"/>
      <c r="BH29" s="79"/>
      <c r="BI29" s="79"/>
      <c r="BK29" s="79"/>
      <c r="BL29" s="79"/>
      <c r="BM29" s="79"/>
      <c r="BN29" s="79"/>
      <c r="BO29" s="79"/>
      <c r="BP29" s="79"/>
      <c r="BQ29" s="79"/>
      <c r="BR29" s="133"/>
      <c r="BS29" s="133"/>
      <c r="BT29" s="129"/>
      <c r="BU29" s="129"/>
      <c r="BV29" s="130"/>
      <c r="BW29" s="130"/>
      <c r="BX29" s="131"/>
      <c r="BY29" s="131"/>
      <c r="BZ29" s="131"/>
      <c r="CA29" s="131"/>
      <c r="CB29" s="132"/>
      <c r="CC29" s="132"/>
    </row>
    <row r="30" spans="10:81" x14ac:dyDescent="0.2">
      <c r="AB30" s="128" t="str">
        <f>IF(Param!B36&lt;&gt;"",_xlfn.CONCAT(Param!B36," Kwac"),"")</f>
        <v/>
      </c>
      <c r="BE30" s="79"/>
      <c r="BF30" s="79"/>
      <c r="BG30" s="79"/>
      <c r="BH30" s="79"/>
      <c r="BI30" s="79"/>
      <c r="BK30" s="79"/>
      <c r="BL30" s="79"/>
      <c r="BM30" s="79"/>
      <c r="BN30" s="79"/>
      <c r="BO30" s="79"/>
      <c r="BP30" s="79"/>
      <c r="BQ30" s="79"/>
      <c r="BR30" s="133"/>
      <c r="BS30" s="133"/>
      <c r="BT30" s="129"/>
      <c r="BU30" s="129"/>
      <c r="BV30" s="130"/>
      <c r="BW30" s="130"/>
      <c r="BX30" s="131"/>
      <c r="BY30" s="131"/>
      <c r="BZ30" s="131"/>
      <c r="CA30" s="131"/>
      <c r="CB30" s="132"/>
      <c r="CC30" s="132"/>
    </row>
    <row r="31" spans="10:81" x14ac:dyDescent="0.2">
      <c r="BE31" s="79"/>
      <c r="BF31" s="79"/>
      <c r="BG31" s="79"/>
      <c r="BH31" s="79"/>
      <c r="BI31" s="79"/>
      <c r="BK31" s="79"/>
      <c r="BL31" s="79"/>
      <c r="BM31" s="79"/>
      <c r="BN31" s="79"/>
      <c r="BO31" s="79"/>
      <c r="BP31" s="79"/>
      <c r="BQ31" s="79"/>
      <c r="BR31" s="10"/>
      <c r="BS31" s="10"/>
      <c r="BT31" s="206"/>
      <c r="BU31" s="206"/>
      <c r="BV31" s="177"/>
      <c r="BW31" s="177"/>
      <c r="BX31" s="177"/>
      <c r="BY31" s="177"/>
      <c r="BZ31" s="177"/>
      <c r="CA31" s="177"/>
      <c r="CB31" s="207"/>
      <c r="CC31" s="207"/>
    </row>
    <row r="32" spans="10:81" x14ac:dyDescent="0.2">
      <c r="BE32" s="79"/>
      <c r="BF32" s="79"/>
      <c r="BG32" s="79"/>
      <c r="BH32" s="79"/>
      <c r="BI32" s="14"/>
      <c r="BJ32" s="14"/>
      <c r="BK32" s="14"/>
      <c r="BL32" s="14"/>
      <c r="BM32" s="79"/>
      <c r="BN32" s="79"/>
      <c r="BO32" s="79"/>
      <c r="BP32" s="79"/>
      <c r="BQ32" s="79"/>
      <c r="BR32" s="208" t="s">
        <v>140</v>
      </c>
      <c r="BS32" s="209"/>
      <c r="BT32" s="209"/>
      <c r="BU32" s="209" t="s">
        <v>151</v>
      </c>
      <c r="BV32" s="209"/>
      <c r="BW32" s="209" t="s">
        <v>141</v>
      </c>
      <c r="BX32" s="209"/>
      <c r="BY32" s="209" t="s">
        <v>142</v>
      </c>
      <c r="BZ32" s="209"/>
      <c r="CA32" s="209" t="s">
        <v>143</v>
      </c>
      <c r="CB32" s="210"/>
      <c r="CC32" s="10"/>
    </row>
    <row r="33" spans="28:82" x14ac:dyDescent="0.2">
      <c r="BB33" s="106" t="s">
        <v>117</v>
      </c>
      <c r="BE33" s="79"/>
      <c r="BF33" s="79"/>
      <c r="BG33" s="79"/>
      <c r="BH33" s="79"/>
      <c r="BI33" s="79"/>
      <c r="BK33" s="79"/>
      <c r="BL33" s="79"/>
      <c r="BM33" s="79"/>
      <c r="BN33" s="79"/>
      <c r="BO33" s="79"/>
      <c r="BP33" s="79"/>
      <c r="BQ33" s="79"/>
      <c r="BR33" s="225" t="s">
        <v>137</v>
      </c>
      <c r="BS33" s="226"/>
      <c r="BT33" s="226"/>
      <c r="BU33" s="226">
        <v>1</v>
      </c>
      <c r="BV33" s="226"/>
      <c r="BW33" s="226">
        <f>Param!E21</f>
        <v>12</v>
      </c>
      <c r="BX33" s="226"/>
      <c r="BY33" s="232">
        <f>IF(Param!E16="SolarEdge",380,Param!E21*Param!B15)</f>
        <v>500.40000000000003</v>
      </c>
      <c r="BZ33" s="232"/>
      <c r="CA33" s="226">
        <f>IF(Param!E16="SolarEdge",(BW33*BX9)/BY33,Param!B16)</f>
        <v>10.88</v>
      </c>
      <c r="CB33" s="234"/>
      <c r="CC33" s="10"/>
    </row>
    <row r="34" spans="28:82" x14ac:dyDescent="0.2">
      <c r="AB34" s="128" t="str">
        <f>IF(Param!B36&lt;&gt;"","Inverter supply ","")</f>
        <v/>
      </c>
      <c r="BB34" s="107" t="s">
        <v>118</v>
      </c>
      <c r="BE34" s="79"/>
      <c r="BF34" s="79"/>
      <c r="BG34" s="79"/>
      <c r="BH34" s="79"/>
      <c r="BI34" s="79"/>
      <c r="BK34" s="79"/>
      <c r="BL34" s="79"/>
      <c r="BM34" s="79"/>
      <c r="BN34" s="79"/>
      <c r="BO34" s="79"/>
      <c r="BP34" s="79"/>
      <c r="BQ34" s="79"/>
      <c r="BR34" s="227"/>
      <c r="BS34" s="228"/>
      <c r="BT34" s="228"/>
      <c r="BU34" s="228"/>
      <c r="BV34" s="228"/>
      <c r="BW34" s="231"/>
      <c r="BX34" s="231"/>
      <c r="BY34" s="233"/>
      <c r="BZ34" s="233"/>
      <c r="CA34" s="231"/>
      <c r="CB34" s="235"/>
      <c r="CC34" s="10"/>
    </row>
    <row r="35" spans="28:82" x14ac:dyDescent="0.2">
      <c r="AB35" s="128" t="str">
        <f>IF(Param!B36&lt;&gt;"","Ac Isolator","")</f>
        <v/>
      </c>
      <c r="AG35" s="128" t="str">
        <f>IF(Param!B36&lt;&gt;"","Grid connect inverter","")</f>
        <v/>
      </c>
      <c r="BE35" s="79"/>
      <c r="BF35" s="79"/>
      <c r="BG35" s="79"/>
      <c r="BH35" s="79"/>
      <c r="BI35" s="79"/>
      <c r="BK35" s="79"/>
      <c r="BL35" s="79"/>
      <c r="BM35" s="79"/>
      <c r="BN35" s="79"/>
      <c r="BO35" s="79"/>
      <c r="BP35" s="79"/>
      <c r="BQ35" s="79"/>
      <c r="BR35" s="227"/>
      <c r="BS35" s="228"/>
      <c r="BT35" s="228"/>
      <c r="BU35" s="230">
        <v>2</v>
      </c>
      <c r="BV35" s="230"/>
      <c r="BW35" s="230">
        <f>Param!E22</f>
        <v>0</v>
      </c>
      <c r="BX35" s="230"/>
      <c r="BY35" s="236" cm="1">
        <f t="array" ref="BY35">_xlfn.IFS(Param!E22="",0,Param!E16="SolarEdge",380,Param!E16&lt;&gt;"SolarEdge",Param!E21*Param!B15)</f>
        <v>0</v>
      </c>
      <c r="BZ35" s="236"/>
      <c r="CA35" s="221" cm="1">
        <f t="array" ref="CA35">_xlfn.IFS(Param!E22="",0,Param!E16="SolarEdge",(BW33*BX9)/BY33,Param!E16&lt;&gt;"SolarEdge",Param!B16)</f>
        <v>0</v>
      </c>
      <c r="CB35" s="222"/>
      <c r="CC35" s="10"/>
    </row>
    <row r="36" spans="28:82" x14ac:dyDescent="0.2">
      <c r="BE36" s="79"/>
      <c r="BF36" s="79"/>
      <c r="BG36" s="79"/>
      <c r="BH36" s="79"/>
      <c r="BI36" s="79"/>
      <c r="BK36" s="79"/>
      <c r="BL36" s="79"/>
      <c r="BM36" s="79"/>
      <c r="BN36" s="79"/>
      <c r="BO36" s="79"/>
      <c r="BP36" s="79"/>
      <c r="BQ36" s="79"/>
      <c r="BR36" s="229"/>
      <c r="BS36" s="230"/>
      <c r="BT36" s="230"/>
      <c r="BU36" s="230"/>
      <c r="BV36" s="230"/>
      <c r="BW36" s="230"/>
      <c r="BX36" s="230"/>
      <c r="BY36" s="236"/>
      <c r="BZ36" s="236"/>
      <c r="CA36" s="223"/>
      <c r="CB36" s="224"/>
      <c r="CC36" s="10"/>
    </row>
    <row r="37" spans="28:82" x14ac:dyDescent="0.2">
      <c r="BE37" s="79"/>
      <c r="BF37" s="79"/>
      <c r="BG37" s="79"/>
      <c r="BH37" s="79"/>
      <c r="BI37" s="79"/>
      <c r="BK37" s="79"/>
      <c r="BL37" s="79"/>
      <c r="BM37" s="79"/>
      <c r="BN37" s="79"/>
      <c r="BO37" s="79"/>
      <c r="BP37" s="79"/>
      <c r="BQ37" s="79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</row>
    <row r="38" spans="28:82" x14ac:dyDescent="0.2"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</row>
    <row r="39" spans="28:82" x14ac:dyDescent="0.2"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</row>
    <row r="40" spans="28:82" x14ac:dyDescent="0.2">
      <c r="AT40" s="203"/>
      <c r="BR40" s="177"/>
      <c r="BS40" s="177"/>
      <c r="BT40" s="177"/>
      <c r="BU40" s="177"/>
      <c r="BV40" s="177"/>
      <c r="BW40" s="177"/>
      <c r="BX40" s="177"/>
      <c r="BY40" s="177"/>
      <c r="BZ40" s="177"/>
      <c r="CA40" s="177"/>
      <c r="CB40" s="177"/>
    </row>
    <row r="41" spans="28:82" x14ac:dyDescent="0.2">
      <c r="AT41" s="203"/>
      <c r="AZ41" s="100"/>
      <c r="BR41" s="177"/>
      <c r="BS41" s="177"/>
      <c r="BT41" s="177"/>
      <c r="BU41" s="177"/>
      <c r="BV41" s="177"/>
      <c r="BW41" s="177"/>
      <c r="BX41" s="177"/>
      <c r="BY41" s="177"/>
      <c r="BZ41" s="177"/>
      <c r="CA41" s="177"/>
      <c r="CB41" s="177"/>
    </row>
    <row r="42" spans="28:82" x14ac:dyDescent="0.2">
      <c r="BK42" s="129"/>
      <c r="BR42" s="177"/>
      <c r="BS42" s="177"/>
      <c r="BT42" s="177"/>
      <c r="BU42" s="177"/>
      <c r="BV42" s="177"/>
      <c r="BW42" s="177"/>
      <c r="BX42" s="177"/>
      <c r="BY42" s="177"/>
      <c r="BZ42" s="177"/>
      <c r="CA42" s="177"/>
      <c r="CB42" s="177"/>
    </row>
    <row r="43" spans="28:82" x14ac:dyDescent="0.2">
      <c r="AT43" s="100"/>
    </row>
    <row r="44" spans="28:82" x14ac:dyDescent="0.2">
      <c r="BT44" s="77"/>
      <c r="BU44" s="77"/>
      <c r="BV44" s="77"/>
      <c r="BW44" s="77"/>
      <c r="BX44" s="77"/>
      <c r="BY44" s="77"/>
      <c r="BZ44" s="77"/>
      <c r="CA44" s="77"/>
      <c r="CB44" s="77"/>
    </row>
    <row r="45" spans="28:82" x14ac:dyDescent="0.2">
      <c r="BR45" s="13" t="s">
        <v>36</v>
      </c>
      <c r="BS45" s="12"/>
      <c r="BT45" s="77"/>
      <c r="BU45" s="77"/>
      <c r="BV45" s="77"/>
      <c r="BW45" s="77"/>
      <c r="BX45" s="77"/>
      <c r="BY45" s="77"/>
      <c r="BZ45" s="77"/>
      <c r="CA45" s="77"/>
      <c r="CB45" s="77"/>
      <c r="CC45" s="108"/>
      <c r="CD45" s="108"/>
    </row>
    <row r="46" spans="28:82" x14ac:dyDescent="0.2">
      <c r="BR46" s="80" t="s">
        <v>35</v>
      </c>
      <c r="BS46" s="70"/>
      <c r="BV46" s="109" t="s">
        <v>34</v>
      </c>
      <c r="BW46" s="128" t="s">
        <v>33</v>
      </c>
    </row>
    <row r="47" spans="28:82" x14ac:dyDescent="0.2">
      <c r="BR47" s="71" t="s">
        <v>32</v>
      </c>
      <c r="BS47" s="79"/>
      <c r="BV47" s="110">
        <f>Param!B13</f>
        <v>18</v>
      </c>
      <c r="BW47" s="71" t="str">
        <f>_xlfn.CONCAT(, BV7, " ", BX9, "W")</f>
        <v>LG NeON 2 365W</v>
      </c>
      <c r="BY47" s="79"/>
      <c r="BZ47" s="79"/>
    </row>
    <row r="48" spans="28:82" x14ac:dyDescent="0.2">
      <c r="BR48" s="71" t="s">
        <v>123</v>
      </c>
      <c r="BS48" s="79"/>
      <c r="BV48" s="109">
        <v>1</v>
      </c>
      <c r="BW48" s="71" t="str">
        <f>BW26</f>
        <v>SB4.0-1AV-40</v>
      </c>
      <c r="BY48" s="79"/>
      <c r="BZ48" s="79"/>
    </row>
    <row r="49" spans="27:82" x14ac:dyDescent="0.2">
      <c r="BR49" s="71" t="s">
        <v>128</v>
      </c>
      <c r="BS49" s="79"/>
      <c r="BT49" s="145"/>
      <c r="BU49" s="145"/>
      <c r="BV49" s="109">
        <v>2</v>
      </c>
      <c r="BW49" s="71" t="s">
        <v>129</v>
      </c>
      <c r="BX49" s="145"/>
      <c r="BY49" s="79"/>
      <c r="BZ49" s="79"/>
      <c r="CA49" s="145"/>
      <c r="CB49" s="145"/>
      <c r="CC49" s="145"/>
      <c r="CD49" s="145"/>
    </row>
    <row r="50" spans="27:82" x14ac:dyDescent="0.2">
      <c r="AJ50" s="124" t="s">
        <v>137</v>
      </c>
      <c r="AX50" s="128" t="str">
        <f>IF(Param!E22&lt;&gt;"",Param!E22,"")</f>
        <v/>
      </c>
      <c r="AY50" s="128" t="str">
        <f>IF(Param!E22&lt;&gt;"","Panels","")</f>
        <v/>
      </c>
      <c r="BK50" s="128" t="str">
        <f>IF(Param!B23&lt;&gt;"", _xlfn.CONCAT(Param!B23," Panels"),"")</f>
        <v/>
      </c>
      <c r="BR50" s="71" t="s">
        <v>31</v>
      </c>
      <c r="BS50" s="148"/>
      <c r="BT50" s="149"/>
      <c r="BU50" s="149"/>
      <c r="BV50" s="109"/>
      <c r="BW50" s="71" t="s">
        <v>30</v>
      </c>
      <c r="BX50" s="145"/>
      <c r="BY50" s="148"/>
      <c r="BZ50" s="148"/>
      <c r="CA50" s="149"/>
      <c r="CB50" s="149"/>
      <c r="CC50" s="149"/>
      <c r="CD50" s="149"/>
    </row>
    <row r="51" spans="27:82" x14ac:dyDescent="0.2">
      <c r="BR51" s="70"/>
      <c r="BS51" s="70"/>
      <c r="BT51" s="74"/>
      <c r="BU51" s="74"/>
      <c r="BV51" s="74"/>
      <c r="BW51" s="70"/>
      <c r="BX51" s="74"/>
      <c r="BY51" s="70"/>
      <c r="BZ51" s="70"/>
      <c r="CA51" s="74"/>
      <c r="CB51" s="74"/>
      <c r="CC51" s="74"/>
      <c r="CD51" s="74"/>
    </row>
    <row r="52" spans="27:82" x14ac:dyDescent="0.2">
      <c r="BR52" s="148"/>
      <c r="BS52" s="148"/>
      <c r="BT52" s="149"/>
      <c r="BU52" s="149"/>
      <c r="BV52" s="149"/>
      <c r="BW52" s="148"/>
      <c r="BX52" s="149"/>
      <c r="BY52" s="148"/>
      <c r="BZ52" s="148"/>
      <c r="CA52" s="149"/>
      <c r="CB52" s="149"/>
      <c r="CC52" s="149"/>
      <c r="CD52" s="149"/>
    </row>
    <row r="53" spans="27:82" x14ac:dyDescent="0.2">
      <c r="BR53" s="148"/>
      <c r="BS53" s="148"/>
      <c r="BT53" s="149"/>
      <c r="BU53" s="149"/>
      <c r="BV53" s="149"/>
      <c r="BW53" s="148"/>
      <c r="BX53" s="149"/>
      <c r="BY53" s="148"/>
      <c r="BZ53" s="148"/>
      <c r="CA53" s="149"/>
      <c r="CB53" s="149"/>
      <c r="CC53" s="149"/>
      <c r="CD53" s="149"/>
    </row>
    <row r="54" spans="27:82" x14ac:dyDescent="0.2">
      <c r="AA54" s="128" t="str">
        <f>IF(Param!E18=3,_xlfn.CONCAT(Param!B31,"mm 4C+E"),_xlfn.CONCAT(Param!B31,"mm 2C+E"))</f>
        <v>4mm 2C+E</v>
      </c>
      <c r="BX54" s="149"/>
    </row>
    <row r="55" spans="27:82" x14ac:dyDescent="0.2">
      <c r="AT55" s="100"/>
      <c r="BX55" s="77"/>
    </row>
    <row r="56" spans="27:82" x14ac:dyDescent="0.2">
      <c r="AD56" s="10" t="s">
        <v>139</v>
      </c>
      <c r="AM56" s="129" t="s">
        <v>152</v>
      </c>
      <c r="AP56" s="129" t="s">
        <v>152</v>
      </c>
      <c r="BR56" s="11" t="s">
        <v>29</v>
      </c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81"/>
    </row>
    <row r="57" spans="27:82" x14ac:dyDescent="0.2">
      <c r="AE57" s="128" t="s">
        <v>138</v>
      </c>
      <c r="AM57" s="129" t="s">
        <v>153</v>
      </c>
      <c r="AP57" s="129" t="s">
        <v>153</v>
      </c>
      <c r="AX57" s="128">
        <f>Param!E21</f>
        <v>12</v>
      </c>
      <c r="AY57" s="128" t="s">
        <v>150</v>
      </c>
      <c r="BR57" s="71" t="s">
        <v>28</v>
      </c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2"/>
    </row>
    <row r="58" spans="27:82" x14ac:dyDescent="0.2">
      <c r="AI58" s="128" t="s">
        <v>154</v>
      </c>
      <c r="BR58" s="71" t="s">
        <v>27</v>
      </c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2"/>
    </row>
    <row r="59" spans="27:82" x14ac:dyDescent="0.2">
      <c r="AI59" s="128" t="s">
        <v>155</v>
      </c>
      <c r="AZ59" s="177"/>
      <c r="BA59" s="177"/>
      <c r="BB59" s="177"/>
      <c r="BC59" s="177"/>
      <c r="BD59" s="177"/>
      <c r="BE59" s="177"/>
      <c r="BF59" s="177"/>
      <c r="BG59" s="177"/>
      <c r="BH59" s="177"/>
      <c r="BI59" s="177"/>
      <c r="BJ59" s="177"/>
      <c r="BR59" s="71" t="s">
        <v>26</v>
      </c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2"/>
    </row>
    <row r="60" spans="27:82" x14ac:dyDescent="0.2">
      <c r="BR60" s="71" t="s">
        <v>25</v>
      </c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2"/>
    </row>
    <row r="61" spans="27:82" x14ac:dyDescent="0.2">
      <c r="BR61" s="71" t="s">
        <v>24</v>
      </c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2"/>
    </row>
    <row r="62" spans="27:82" x14ac:dyDescent="0.2">
      <c r="BA62" s="10"/>
      <c r="BD62" s="9"/>
      <c r="BE62" s="9"/>
      <c r="BJ62" s="8"/>
      <c r="BR62" s="71" t="s">
        <v>23</v>
      </c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2"/>
    </row>
    <row r="63" spans="27:82" x14ac:dyDescent="0.2">
      <c r="BA63" s="10"/>
      <c r="BE63" s="9"/>
      <c r="BJ63" s="8"/>
      <c r="BR63" s="71" t="s">
        <v>22</v>
      </c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2"/>
    </row>
    <row r="64" spans="27:82" x14ac:dyDescent="0.2">
      <c r="AZ64" s="10"/>
      <c r="BA64" s="10"/>
      <c r="BD64" s="9"/>
      <c r="BE64" s="9"/>
      <c r="BJ64" s="8"/>
      <c r="BR64" s="71" t="s">
        <v>21</v>
      </c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2"/>
    </row>
    <row r="65" spans="2:82" x14ac:dyDescent="0.2">
      <c r="AZ65" s="10"/>
      <c r="BA65" s="10"/>
      <c r="BD65" s="9"/>
      <c r="BE65" s="9"/>
      <c r="BJ65" s="8"/>
      <c r="BR65" s="71" t="s">
        <v>20</v>
      </c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2"/>
    </row>
    <row r="66" spans="2:82" x14ac:dyDescent="0.2">
      <c r="C66" s="128" t="s">
        <v>135</v>
      </c>
      <c r="AO66" s="7"/>
      <c r="BR66" s="83" t="s">
        <v>19</v>
      </c>
      <c r="BS66" s="84"/>
      <c r="BT66" s="84"/>
      <c r="BU66" s="84"/>
      <c r="BV66" s="84"/>
      <c r="BW66" s="84"/>
      <c r="BX66" s="84"/>
      <c r="BY66" s="84"/>
      <c r="BZ66" s="84"/>
      <c r="CA66" s="84"/>
      <c r="CB66" s="84"/>
      <c r="CC66" s="84"/>
      <c r="CD66" s="82"/>
    </row>
    <row r="67" spans="2:82" x14ac:dyDescent="0.2">
      <c r="AO67" s="7"/>
      <c r="BR67" s="73" t="s">
        <v>18</v>
      </c>
      <c r="BS67" s="74"/>
      <c r="BT67" s="74"/>
      <c r="BU67" s="74"/>
      <c r="BV67" s="74"/>
      <c r="BW67" s="74"/>
      <c r="BX67" s="74"/>
      <c r="BY67" s="74"/>
      <c r="BZ67" s="74"/>
      <c r="CA67" s="74"/>
      <c r="CB67" s="74"/>
      <c r="CC67" s="74"/>
      <c r="CD67" s="4"/>
    </row>
    <row r="68" spans="2:82" x14ac:dyDescent="0.2">
      <c r="B68" s="77"/>
      <c r="C68" s="77"/>
      <c r="BR68" s="76" t="s">
        <v>17</v>
      </c>
      <c r="BS68" s="77"/>
      <c r="BT68" s="77"/>
      <c r="BU68" s="77"/>
      <c r="BV68" s="77"/>
      <c r="BW68" s="77"/>
      <c r="BX68" s="77"/>
      <c r="BY68" s="77"/>
      <c r="BZ68" s="77"/>
      <c r="CA68" s="77"/>
      <c r="CB68" s="77"/>
      <c r="CC68" s="77"/>
      <c r="CD68" s="1"/>
    </row>
    <row r="69" spans="2:82" x14ac:dyDescent="0.2">
      <c r="B69" s="128" t="s">
        <v>16</v>
      </c>
      <c r="D69" s="74"/>
      <c r="E69" s="74"/>
      <c r="F69" s="74"/>
      <c r="G69" s="74"/>
      <c r="H69" s="74"/>
      <c r="I69" s="74"/>
      <c r="J69" s="4"/>
      <c r="K69" s="73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4"/>
      <c r="X69" s="73"/>
      <c r="Y69" s="74" t="s">
        <v>15</v>
      </c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  <c r="AW69" s="74"/>
      <c r="AX69" s="74"/>
      <c r="AY69" s="190" t="s">
        <v>14</v>
      </c>
      <c r="AZ69" s="190"/>
      <c r="BA69" s="191"/>
      <c r="BB69" s="73" t="str">
        <f>Param!B3</f>
        <v xml:space="preserve">Miller, Ian </v>
      </c>
      <c r="BC69" s="74"/>
      <c r="BD69" s="74"/>
      <c r="BE69" s="74"/>
      <c r="BF69" s="74"/>
      <c r="BG69" s="74"/>
      <c r="BH69" s="74"/>
      <c r="BI69" s="74"/>
      <c r="BJ69" s="74"/>
      <c r="BK69" s="74"/>
      <c r="BL69" s="74"/>
      <c r="BM69" s="4"/>
      <c r="BN69" s="73" t="str">
        <f>_xlfn.CONCAT(BW26," &amp; Tesla Gateway + Powerwall 2")</f>
        <v>SB4.0-1AV-40 &amp; Tesla Gateway + Powerwall 2</v>
      </c>
      <c r="BO69" s="74"/>
      <c r="BP69" s="74"/>
      <c r="BQ69" s="74"/>
      <c r="BR69" s="74"/>
      <c r="BS69" s="74"/>
      <c r="BT69" s="74"/>
      <c r="BU69" s="74"/>
      <c r="BV69" s="74"/>
      <c r="BW69" s="74"/>
      <c r="BX69" s="74"/>
      <c r="CB69" s="194">
        <f>BW27+BV15*BW18</f>
        <v>9</v>
      </c>
      <c r="CC69" s="194"/>
      <c r="CD69" s="194"/>
    </row>
    <row r="70" spans="2:82" x14ac:dyDescent="0.2">
      <c r="J70" s="5"/>
      <c r="K70" s="75"/>
      <c r="W70" s="5"/>
      <c r="X70" s="76"/>
      <c r="Y70" s="77" t="s">
        <v>5</v>
      </c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  <c r="AW70" s="77"/>
      <c r="AX70" s="77"/>
      <c r="AY70" s="77"/>
      <c r="AZ70" s="77"/>
      <c r="BA70" s="1"/>
      <c r="BB70" s="76"/>
      <c r="BC70" s="77"/>
      <c r="BD70" s="77"/>
      <c r="BE70" s="77"/>
      <c r="BF70" s="77"/>
      <c r="BG70" s="77"/>
      <c r="BH70" s="77"/>
      <c r="BI70" s="77"/>
      <c r="BJ70" s="77"/>
      <c r="BK70" s="77"/>
      <c r="BL70" s="77"/>
      <c r="BM70" s="1"/>
      <c r="BN70" s="76" t="s">
        <v>13</v>
      </c>
      <c r="BO70" s="77"/>
      <c r="BP70" s="77"/>
      <c r="BQ70" s="77"/>
      <c r="BR70" s="77"/>
      <c r="BS70" s="77"/>
      <c r="BT70" s="77"/>
      <c r="BU70" s="77"/>
      <c r="BV70" s="77"/>
      <c r="BW70" s="77"/>
      <c r="BX70" s="77"/>
      <c r="BY70" s="77"/>
      <c r="BZ70" s="77"/>
      <c r="CA70" s="77"/>
      <c r="CB70" s="77"/>
      <c r="CC70" s="77"/>
      <c r="CD70" s="1"/>
    </row>
    <row r="71" spans="2:82" x14ac:dyDescent="0.2">
      <c r="J71" s="5"/>
      <c r="K71" s="75"/>
      <c r="W71" s="5"/>
      <c r="X71" s="73"/>
      <c r="Y71" s="74" t="s">
        <v>12</v>
      </c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  <c r="AW71" s="74"/>
      <c r="AX71" s="74"/>
      <c r="AY71" s="190" t="s">
        <v>11</v>
      </c>
      <c r="AZ71" s="190"/>
      <c r="BA71" s="191"/>
      <c r="BB71" s="73" t="str">
        <f>Param!B4</f>
        <v>154 Princeton Ave  Adamstown Heights</v>
      </c>
      <c r="BC71" s="74"/>
      <c r="BD71" s="74"/>
      <c r="BE71" s="74"/>
      <c r="BF71" s="74"/>
      <c r="BG71" s="74"/>
      <c r="BH71" s="74"/>
      <c r="BI71" s="74"/>
      <c r="BJ71" s="74"/>
      <c r="BK71" s="74"/>
      <c r="BL71" s="74"/>
      <c r="BM71" s="4"/>
      <c r="BN71" s="73" t="s">
        <v>10</v>
      </c>
      <c r="BO71" s="74"/>
      <c r="BP71" s="4"/>
      <c r="BQ71" s="73" t="s">
        <v>9</v>
      </c>
      <c r="BR71" s="74"/>
      <c r="BS71" s="4"/>
      <c r="BT71" s="73" t="s">
        <v>8</v>
      </c>
      <c r="BU71" s="74"/>
      <c r="BV71" s="74"/>
      <c r="BW71" s="4"/>
      <c r="BX71" s="73" t="s">
        <v>7</v>
      </c>
      <c r="BY71" s="74"/>
      <c r="BZ71" s="4"/>
      <c r="CA71" s="73" t="s">
        <v>6</v>
      </c>
      <c r="CB71" s="74"/>
      <c r="CC71" s="74"/>
      <c r="CD71" s="4"/>
    </row>
    <row r="72" spans="2:82" x14ac:dyDescent="0.2">
      <c r="J72" s="5"/>
      <c r="K72" s="75"/>
      <c r="W72" s="5"/>
      <c r="X72" s="76"/>
      <c r="Y72" s="77" t="s">
        <v>5</v>
      </c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  <c r="AW72" s="77"/>
      <c r="AX72" s="77"/>
      <c r="AY72" s="77"/>
      <c r="AZ72" s="77"/>
      <c r="BA72" s="1"/>
      <c r="BB72" s="76"/>
      <c r="BC72" s="77"/>
      <c r="BD72" s="77"/>
      <c r="BE72" s="77"/>
      <c r="BF72" s="77"/>
      <c r="BG72" s="77"/>
      <c r="BH72" s="77"/>
      <c r="BI72" s="77"/>
      <c r="BJ72" s="77"/>
      <c r="BK72" s="77"/>
      <c r="BL72" s="77"/>
      <c r="BM72" s="1"/>
      <c r="BN72" s="195" t="s">
        <v>61</v>
      </c>
      <c r="BO72" s="196"/>
      <c r="BP72" s="197"/>
      <c r="BQ72" s="195" t="s">
        <v>4</v>
      </c>
      <c r="BR72" s="196"/>
      <c r="BS72" s="197"/>
      <c r="BT72" s="195" t="s">
        <v>4</v>
      </c>
      <c r="BU72" s="196"/>
      <c r="BV72" s="196"/>
      <c r="BW72" s="1"/>
      <c r="BX72" s="198">
        <f ca="1">TODAY()</f>
        <v>44234</v>
      </c>
      <c r="BY72" s="199"/>
      <c r="BZ72" s="200"/>
      <c r="CA72" s="6" t="s">
        <v>3</v>
      </c>
      <c r="CB72" s="77"/>
      <c r="CC72" s="77"/>
      <c r="CD72" s="1"/>
    </row>
    <row r="73" spans="2:82" x14ac:dyDescent="0.2">
      <c r="J73" s="5"/>
      <c r="K73" s="75"/>
      <c r="W73" s="5"/>
      <c r="X73" s="73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Y73" s="190" t="s">
        <v>2</v>
      </c>
      <c r="AZ73" s="190"/>
      <c r="BA73" s="191"/>
      <c r="BB73" s="192">
        <f>Param!B2</f>
        <v>26181</v>
      </c>
      <c r="BC73" s="193"/>
      <c r="BD73" s="74"/>
      <c r="BE73" s="74"/>
      <c r="BF73" s="74"/>
      <c r="BG73" s="74"/>
      <c r="BH73" s="74"/>
      <c r="BI73" s="74"/>
      <c r="BJ73" s="74"/>
      <c r="BK73" s="74"/>
      <c r="BL73" s="74"/>
      <c r="BM73" s="4"/>
      <c r="BN73" s="73" t="s">
        <v>1</v>
      </c>
      <c r="BO73" s="74"/>
      <c r="BP73" s="74"/>
      <c r="BQ73" s="74">
        <v>1</v>
      </c>
      <c r="BR73" s="74"/>
      <c r="BS73" s="74"/>
      <c r="BT73" s="74"/>
      <c r="BU73" s="74"/>
      <c r="BV73" s="74"/>
      <c r="BW73" s="74"/>
      <c r="BX73" s="74"/>
      <c r="BY73" s="74"/>
      <c r="BZ73" s="74"/>
      <c r="CA73" s="74"/>
      <c r="CB73" s="74"/>
      <c r="CC73" s="74"/>
      <c r="CD73" s="4"/>
    </row>
    <row r="74" spans="2:82" x14ac:dyDescent="0.2">
      <c r="C74" s="77"/>
      <c r="D74" s="77"/>
      <c r="E74" s="77"/>
      <c r="F74" s="77"/>
      <c r="G74" s="77"/>
      <c r="H74" s="77"/>
      <c r="I74" s="77"/>
      <c r="J74" s="1"/>
      <c r="K74" s="76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1"/>
      <c r="X74" s="76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Z74" s="77"/>
      <c r="BA74" s="1"/>
      <c r="BB74" s="76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1"/>
      <c r="BN74" s="76" t="s">
        <v>0</v>
      </c>
      <c r="BO74" s="77"/>
      <c r="BP74" s="77"/>
      <c r="BQ74" s="3" t="s">
        <v>165</v>
      </c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1"/>
    </row>
  </sheetData>
  <mergeCells count="68">
    <mergeCell ref="BW25:BZ25"/>
    <mergeCell ref="BW26:BZ26"/>
    <mergeCell ref="AY73:BA73"/>
    <mergeCell ref="BB73:BC73"/>
    <mergeCell ref="AY69:BA69"/>
    <mergeCell ref="BU41:BV41"/>
    <mergeCell ref="BW41:BX41"/>
    <mergeCell ref="BY41:BZ41"/>
    <mergeCell ref="BU35:BV36"/>
    <mergeCell ref="BW35:BX36"/>
    <mergeCell ref="BY35:BZ36"/>
    <mergeCell ref="BR32:BT32"/>
    <mergeCell ref="BU32:BV32"/>
    <mergeCell ref="BW32:BX32"/>
    <mergeCell ref="BY32:BZ32"/>
    <mergeCell ref="CB69:CD69"/>
    <mergeCell ref="AY71:BA71"/>
    <mergeCell ref="BN72:BP72"/>
    <mergeCell ref="BQ72:BS72"/>
    <mergeCell ref="BT72:BV72"/>
    <mergeCell ref="BX72:BZ72"/>
    <mergeCell ref="BR42:BT42"/>
    <mergeCell ref="BU42:BV42"/>
    <mergeCell ref="BW42:BX42"/>
    <mergeCell ref="BY42:BZ42"/>
    <mergeCell ref="CA42:CB42"/>
    <mergeCell ref="AZ59:BB59"/>
    <mergeCell ref="BC59:BD59"/>
    <mergeCell ref="BE59:BF59"/>
    <mergeCell ref="BG59:BH59"/>
    <mergeCell ref="BI59:BJ59"/>
    <mergeCell ref="CA35:CB36"/>
    <mergeCell ref="AT40:AT41"/>
    <mergeCell ref="BR40:BT40"/>
    <mergeCell ref="BU40:BV40"/>
    <mergeCell ref="BW40:BX40"/>
    <mergeCell ref="BY40:BZ40"/>
    <mergeCell ref="CA40:CB40"/>
    <mergeCell ref="BR33:BT36"/>
    <mergeCell ref="BU33:BV34"/>
    <mergeCell ref="BW33:BX34"/>
    <mergeCell ref="BY33:BZ34"/>
    <mergeCell ref="CA33:CB34"/>
    <mergeCell ref="BR41:BT41"/>
    <mergeCell ref="CA41:CB41"/>
    <mergeCell ref="CA32:CB32"/>
    <mergeCell ref="CA11:CC11"/>
    <mergeCell ref="BT31:BU31"/>
    <mergeCell ref="BV31:BW31"/>
    <mergeCell ref="BX31:BY31"/>
    <mergeCell ref="BZ31:CA31"/>
    <mergeCell ref="CB31:CC31"/>
    <mergeCell ref="CA21:CC21"/>
    <mergeCell ref="CA22:CC22"/>
    <mergeCell ref="CA23:CC23"/>
    <mergeCell ref="BW19:BX19"/>
    <mergeCell ref="BX20:BY20"/>
    <mergeCell ref="BX21:BY21"/>
    <mergeCell ref="BW27:BZ27"/>
    <mergeCell ref="BW18:BX18"/>
    <mergeCell ref="BW24:BZ24"/>
    <mergeCell ref="BV6:BZ6"/>
    <mergeCell ref="BV7:BZ7"/>
    <mergeCell ref="BW8:BZ8"/>
    <mergeCell ref="BX11:BZ11"/>
    <mergeCell ref="BV12:BZ12"/>
    <mergeCell ref="BX9:BZ9"/>
    <mergeCell ref="BX10:BZ10"/>
  </mergeCells>
  <conditionalFormatting sqref="BH62:BI65">
    <cfRule type="cellIs" dxfId="7" priority="4" operator="greaterThan">
      <formula>600</formula>
    </cfRule>
  </conditionalFormatting>
  <conditionalFormatting sqref="CA24">
    <cfRule type="cellIs" dxfId="6" priority="1" operator="greaterThan">
      <formula>600</formula>
    </cfRule>
  </conditionalFormatting>
  <conditionalFormatting sqref="BZ31:CA31">
    <cfRule type="cellIs" dxfId="5" priority="3" operator="greaterThan">
      <formula>600</formula>
    </cfRule>
  </conditionalFormatting>
  <conditionalFormatting sqref="BZ29:CA30">
    <cfRule type="cellIs" dxfId="4" priority="2" operator="greaterThan">
      <formula>600</formula>
    </cfRule>
  </conditionalFormatting>
  <pageMargins left="0.5" right="0.5" top="0.5" bottom="0.5" header="0" footer="0"/>
  <pageSetup paperSize="9" scale="44" orientation="landscape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6BF74-4C90-1646-97ED-407ABE7FCB33}">
  <sheetPr codeName="Feuil4">
    <pageSetUpPr fitToPage="1"/>
  </sheetPr>
  <dimension ref="B5:CD74"/>
  <sheetViews>
    <sheetView showGridLines="0" topLeftCell="C1" zoomScale="75" zoomScaleNormal="227" workbookViewId="0">
      <selection activeCell="BV7" sqref="BV7:BZ7"/>
    </sheetView>
  </sheetViews>
  <sheetFormatPr baseColWidth="10" defaultRowHeight="16" x14ac:dyDescent="0.2"/>
  <cols>
    <col min="1" max="40" width="3.33203125" style="99" customWidth="1"/>
    <col min="41" max="41" width="4" style="99" customWidth="1"/>
    <col min="42" max="42" width="3.6640625" style="99" customWidth="1"/>
    <col min="43" max="73" width="3.33203125" style="99" customWidth="1"/>
    <col min="74" max="74" width="4.1640625" style="99" bestFit="1" customWidth="1"/>
    <col min="75" max="75" width="3.33203125" style="99" customWidth="1"/>
    <col min="76" max="76" width="4.33203125" style="99" customWidth="1"/>
    <col min="77" max="83" width="3.33203125" style="99" customWidth="1"/>
    <col min="84" max="16384" width="10.83203125" style="99"/>
  </cols>
  <sheetData>
    <row r="5" spans="4:81" x14ac:dyDescent="0.2">
      <c r="D5" s="100" t="s">
        <v>60</v>
      </c>
      <c r="BR5" s="27" t="s">
        <v>44</v>
      </c>
      <c r="BS5" s="26"/>
      <c r="BT5" s="26"/>
      <c r="BU5" s="26"/>
      <c r="BV5" s="26"/>
      <c r="BW5" s="26"/>
      <c r="BX5" s="26"/>
      <c r="BY5" s="26"/>
      <c r="BZ5" s="25"/>
    </row>
    <row r="6" spans="4:81" x14ac:dyDescent="0.2">
      <c r="X6" s="100" t="s">
        <v>166</v>
      </c>
      <c r="BC6" s="99" t="s">
        <v>135</v>
      </c>
      <c r="BR6" s="24" t="s">
        <v>39</v>
      </c>
      <c r="BS6" s="18"/>
      <c r="BT6" s="18"/>
      <c r="BU6" s="18"/>
      <c r="BV6" s="175" t="str">
        <f>Param!B11</f>
        <v>LG Electronics</v>
      </c>
      <c r="BW6" s="175"/>
      <c r="BX6" s="175"/>
      <c r="BY6" s="175"/>
      <c r="BZ6" s="176"/>
    </row>
    <row r="7" spans="4:81" x14ac:dyDescent="0.2">
      <c r="BR7" s="24" t="s">
        <v>38</v>
      </c>
      <c r="BS7" s="18"/>
      <c r="BT7" s="18"/>
      <c r="BU7" s="18"/>
      <c r="BV7" s="217" t="str">
        <f>Param!B12</f>
        <v>LG NeON 2</v>
      </c>
      <c r="BW7" s="217"/>
      <c r="BX7" s="217"/>
      <c r="BY7" s="217"/>
      <c r="BZ7" s="245"/>
    </row>
    <row r="8" spans="4:81" x14ac:dyDescent="0.2">
      <c r="BR8" s="24" t="s">
        <v>158</v>
      </c>
      <c r="BS8" s="151"/>
      <c r="BT8" s="151"/>
      <c r="BU8" s="151"/>
      <c r="BV8" s="151"/>
      <c r="BX8" s="177">
        <f>Param!B13</f>
        <v>18</v>
      </c>
      <c r="BY8" s="177"/>
      <c r="BZ8" s="178"/>
    </row>
    <row r="9" spans="4:81" x14ac:dyDescent="0.2">
      <c r="BR9" s="24" t="s">
        <v>43</v>
      </c>
      <c r="BS9" s="18"/>
      <c r="BT9" s="18"/>
      <c r="BU9" s="18"/>
      <c r="BV9" s="18"/>
      <c r="BW9" s="18"/>
      <c r="BX9" s="212">
        <f>Param!B14</f>
        <v>365</v>
      </c>
      <c r="BY9" s="212"/>
      <c r="BZ9" s="214"/>
    </row>
    <row r="10" spans="4:81" x14ac:dyDescent="0.2">
      <c r="BR10" s="24" t="s">
        <v>42</v>
      </c>
      <c r="BS10" s="18"/>
      <c r="BT10" s="18"/>
      <c r="BU10" s="18"/>
      <c r="BV10" s="18"/>
      <c r="BW10" s="18"/>
      <c r="BX10" s="213">
        <f>Param!B15</f>
        <v>41.7</v>
      </c>
      <c r="BY10" s="213"/>
      <c r="BZ10" s="215"/>
    </row>
    <row r="11" spans="4:81" x14ac:dyDescent="0.2">
      <c r="BR11" s="24" t="s">
        <v>41</v>
      </c>
      <c r="BS11" s="18"/>
      <c r="BT11" s="18"/>
      <c r="BU11" s="18"/>
      <c r="BV11" s="18"/>
      <c r="BW11" s="18"/>
      <c r="BX11" s="179">
        <f>Param!B16</f>
        <v>10.88</v>
      </c>
      <c r="BY11" s="179"/>
      <c r="BZ11" s="180"/>
      <c r="CA11" s="211"/>
      <c r="CB11" s="211"/>
      <c r="CC11" s="211"/>
    </row>
    <row r="12" spans="4:81" x14ac:dyDescent="0.2">
      <c r="BR12" s="28" t="s">
        <v>159</v>
      </c>
      <c r="BS12" s="19"/>
      <c r="BT12" s="19"/>
      <c r="BU12" s="19"/>
      <c r="BV12" s="77"/>
      <c r="BW12" s="77"/>
      <c r="BX12" s="237">
        <f>Param!B14*BX8/1000</f>
        <v>6.57</v>
      </c>
      <c r="BY12" s="237"/>
      <c r="BZ12" s="238"/>
      <c r="CC12" s="78"/>
    </row>
    <row r="13" spans="4:81" x14ac:dyDescent="0.2">
      <c r="Y13" s="100" t="s">
        <v>133</v>
      </c>
      <c r="BD13" s="100" t="s">
        <v>132</v>
      </c>
      <c r="CC13" s="78"/>
    </row>
    <row r="14" spans="4:81" x14ac:dyDescent="0.2">
      <c r="BE14" s="101"/>
      <c r="BF14" s="101"/>
      <c r="BR14" s="27" t="s">
        <v>101</v>
      </c>
      <c r="BS14" s="26"/>
      <c r="BT14" s="26"/>
      <c r="BU14" s="26"/>
      <c r="BV14" s="26"/>
      <c r="BW14" s="26"/>
      <c r="BX14" s="26"/>
      <c r="BY14" s="26"/>
      <c r="BZ14" s="25"/>
      <c r="CC14" s="78"/>
    </row>
    <row r="15" spans="4:81" x14ac:dyDescent="0.2">
      <c r="BE15" s="101"/>
      <c r="BK15" s="78"/>
      <c r="BL15" s="78"/>
      <c r="BM15" s="78"/>
      <c r="BR15" s="75" t="s">
        <v>102</v>
      </c>
      <c r="BX15" s="177">
        <v>1</v>
      </c>
      <c r="BY15" s="177"/>
      <c r="BZ15" s="178"/>
      <c r="CC15" s="78"/>
    </row>
    <row r="16" spans="4:81" x14ac:dyDescent="0.2">
      <c r="BR16" s="24" t="s">
        <v>39</v>
      </c>
      <c r="BS16" s="18"/>
      <c r="BT16" s="18"/>
      <c r="BU16" s="18"/>
      <c r="BW16" s="18"/>
      <c r="BX16" s="183" t="s">
        <v>103</v>
      </c>
      <c r="BY16" s="183"/>
      <c r="BZ16" s="184"/>
      <c r="CC16" s="78"/>
    </row>
    <row r="17" spans="10:81" x14ac:dyDescent="0.2">
      <c r="BE17" s="79"/>
      <c r="BF17" s="79"/>
      <c r="BG17" s="79"/>
      <c r="BH17" s="79"/>
      <c r="BI17" s="99" t="s">
        <v>59</v>
      </c>
      <c r="BJ17" s="79"/>
      <c r="BK17" s="79"/>
      <c r="BL17" s="79"/>
      <c r="BM17" s="79"/>
      <c r="BN17" s="79"/>
      <c r="BO17" s="79"/>
      <c r="BR17" s="24" t="s">
        <v>38</v>
      </c>
      <c r="BS17" s="18"/>
      <c r="BT17" s="18"/>
      <c r="BU17" s="18"/>
      <c r="BW17" s="18"/>
      <c r="BX17" s="216" t="s">
        <v>104</v>
      </c>
      <c r="BY17" s="216"/>
      <c r="BZ17" s="187"/>
      <c r="CA17" s="78"/>
      <c r="CB17" s="78"/>
      <c r="CC17" s="78"/>
    </row>
    <row r="18" spans="10:81" ht="16" customHeight="1" x14ac:dyDescent="0.2">
      <c r="AA18" s="99" t="str">
        <f>IF(Param!B36&lt;&gt;"","Main","")</f>
        <v/>
      </c>
      <c r="BE18" s="79"/>
      <c r="BF18" s="79"/>
      <c r="BG18" s="79"/>
      <c r="BH18" s="79"/>
      <c r="BI18" s="99" t="s">
        <v>110</v>
      </c>
      <c r="BJ18" s="79"/>
      <c r="BK18" s="79"/>
      <c r="BL18" s="79"/>
      <c r="BM18" s="79"/>
      <c r="BN18" s="79"/>
      <c r="BO18" s="79"/>
      <c r="BR18" s="24" t="s">
        <v>105</v>
      </c>
      <c r="BS18" s="18"/>
      <c r="BT18" s="18"/>
      <c r="BU18" s="18"/>
      <c r="BV18" s="18"/>
      <c r="BW18" s="216">
        <f>5</f>
        <v>5</v>
      </c>
      <c r="BX18" s="216"/>
      <c r="BY18" s="213" t="s">
        <v>106</v>
      </c>
      <c r="BZ18" s="215"/>
      <c r="CA18" s="18"/>
      <c r="CB18" s="18"/>
      <c r="CC18" s="18"/>
    </row>
    <row r="19" spans="10:81" ht="16" customHeight="1" x14ac:dyDescent="0.2">
      <c r="AA19" s="99" t="str">
        <f>IF(Param!B36&lt;&gt;"","Switch","")</f>
        <v/>
      </c>
      <c r="BE19" s="79"/>
      <c r="BF19" s="79"/>
      <c r="BG19" s="79"/>
      <c r="BH19" s="79"/>
      <c r="BJ19" s="79"/>
      <c r="BK19" s="79"/>
      <c r="BL19" s="79"/>
      <c r="BM19" s="79"/>
      <c r="BN19" s="79"/>
      <c r="BO19" s="79"/>
      <c r="BR19" s="24" t="s">
        <v>107</v>
      </c>
      <c r="BS19" s="18"/>
      <c r="BT19" s="18"/>
      <c r="BU19" s="18"/>
      <c r="BV19" s="18"/>
      <c r="BW19" s="216">
        <v>13.5</v>
      </c>
      <c r="BX19" s="216"/>
      <c r="BY19" s="179" t="s">
        <v>108</v>
      </c>
      <c r="BZ19" s="180"/>
      <c r="CA19" s="18"/>
      <c r="CB19" s="18"/>
      <c r="CC19" s="18"/>
    </row>
    <row r="20" spans="10:81" x14ac:dyDescent="0.2">
      <c r="Y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R20" s="102" t="s">
        <v>136</v>
      </c>
      <c r="BS20" s="10"/>
      <c r="BT20" s="152"/>
      <c r="BU20" s="18"/>
      <c r="BV20" s="18"/>
      <c r="BW20" s="118"/>
      <c r="BX20" s="183">
        <v>32</v>
      </c>
      <c r="BY20" s="183"/>
      <c r="BZ20" s="115" t="s">
        <v>109</v>
      </c>
      <c r="CA20" s="18"/>
      <c r="CB20" s="18"/>
      <c r="CC20" s="18"/>
    </row>
    <row r="21" spans="10:81" x14ac:dyDescent="0.2">
      <c r="BE21" s="100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R21" s="103" t="s">
        <v>167</v>
      </c>
      <c r="BS21" s="104"/>
      <c r="BT21" s="105"/>
      <c r="BU21" s="19"/>
      <c r="BV21" s="19"/>
      <c r="BW21" s="116"/>
      <c r="BX21" s="188">
        <v>50</v>
      </c>
      <c r="BY21" s="188"/>
      <c r="BZ21" s="117" t="s">
        <v>112</v>
      </c>
      <c r="CA21" s="212"/>
      <c r="CB21" s="212"/>
      <c r="CC21" s="212"/>
    </row>
    <row r="22" spans="10:81" x14ac:dyDescent="0.2">
      <c r="BR22" s="151"/>
      <c r="BS22" s="151"/>
      <c r="BT22" s="151"/>
      <c r="BU22" s="151"/>
      <c r="BV22" s="151"/>
      <c r="BW22" s="151"/>
      <c r="BX22" s="151"/>
      <c r="BY22" s="151"/>
      <c r="BZ22" s="151"/>
      <c r="CA22" s="213"/>
      <c r="CB22" s="213"/>
      <c r="CC22" s="213"/>
    </row>
    <row r="23" spans="10:81" x14ac:dyDescent="0.2">
      <c r="AB23" s="99" t="s">
        <v>113</v>
      </c>
      <c r="AJ23" s="7"/>
      <c r="BR23" s="27" t="s">
        <v>40</v>
      </c>
      <c r="BS23" s="26"/>
      <c r="BT23" s="26"/>
      <c r="BU23" s="26"/>
      <c r="BV23" s="26"/>
      <c r="BW23" s="26"/>
      <c r="BX23" s="26"/>
      <c r="BY23" s="26"/>
      <c r="BZ23" s="25"/>
      <c r="CA23" s="179"/>
      <c r="CB23" s="179"/>
      <c r="CC23" s="179"/>
    </row>
    <row r="24" spans="10:81" x14ac:dyDescent="0.2">
      <c r="AB24" s="99" t="s">
        <v>114</v>
      </c>
      <c r="BR24" s="24" t="s">
        <v>115</v>
      </c>
      <c r="BS24" s="18"/>
      <c r="BT24" s="18"/>
      <c r="BU24" s="18"/>
      <c r="BW24" s="18"/>
      <c r="BX24" s="183">
        <v>1</v>
      </c>
      <c r="BY24" s="183"/>
      <c r="BZ24" s="184"/>
      <c r="CB24" s="17"/>
      <c r="CC24" s="17"/>
    </row>
    <row r="25" spans="10:81" x14ac:dyDescent="0.2">
      <c r="BR25" s="24" t="s">
        <v>39</v>
      </c>
      <c r="BS25" s="18"/>
      <c r="BT25" s="18"/>
      <c r="BU25" s="18"/>
      <c r="BW25" s="18"/>
      <c r="BX25" s="183" t="str">
        <f>Param!E16</f>
        <v>SMA</v>
      </c>
      <c r="BY25" s="183"/>
      <c r="BZ25" s="184"/>
      <c r="CC25" s="17"/>
    </row>
    <row r="26" spans="10:81" x14ac:dyDescent="0.2">
      <c r="J26" s="99" t="s">
        <v>113</v>
      </c>
      <c r="BR26" s="22" t="s">
        <v>38</v>
      </c>
      <c r="BS26" s="21"/>
      <c r="BT26" s="18"/>
      <c r="BU26" s="18"/>
      <c r="BW26" s="183" t="str">
        <f>Param!E17</f>
        <v>SB4.0-1AV-40</v>
      </c>
      <c r="BX26" s="183"/>
      <c r="BY26" s="183"/>
      <c r="BZ26" s="184"/>
      <c r="CC26" s="17"/>
    </row>
    <row r="27" spans="10:81" x14ac:dyDescent="0.2">
      <c r="BR27" s="20" t="s">
        <v>116</v>
      </c>
      <c r="BS27" s="19"/>
      <c r="BT27" s="19"/>
      <c r="BU27" s="19"/>
      <c r="BV27" s="19"/>
      <c r="BW27" s="19"/>
      <c r="BX27" s="219" t="str">
        <f>_xlfn.CONCAT(Param!E20, "kWac")</f>
        <v>4kWac</v>
      </c>
      <c r="BY27" s="219"/>
      <c r="BZ27" s="220"/>
      <c r="CC27" s="97"/>
    </row>
    <row r="28" spans="10:81" x14ac:dyDescent="0.2"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CC28" s="97"/>
    </row>
    <row r="29" spans="10:81" x14ac:dyDescent="0.2">
      <c r="L29" s="16"/>
      <c r="M29" s="15"/>
      <c r="AB29" s="100" t="str">
        <f>IF(Param!B36&lt;&gt;"","Existing array","")</f>
        <v/>
      </c>
      <c r="BE29" s="79"/>
      <c r="BF29" s="79"/>
      <c r="BG29" s="79"/>
      <c r="BH29" s="79"/>
      <c r="BI29" s="79"/>
      <c r="BK29" s="79"/>
      <c r="BL29" s="79"/>
      <c r="BM29" s="79"/>
      <c r="BN29" s="79"/>
      <c r="BO29" s="79"/>
      <c r="BP29" s="79"/>
      <c r="BQ29" s="79"/>
      <c r="BR29" s="98"/>
      <c r="BS29" s="98"/>
      <c r="BT29" s="95"/>
      <c r="BU29" s="95"/>
      <c r="BV29" s="96"/>
      <c r="BW29" s="96"/>
      <c r="BX29" s="94"/>
      <c r="BY29" s="94"/>
      <c r="BZ29" s="94"/>
      <c r="CA29" s="94"/>
      <c r="CB29" s="97"/>
      <c r="CC29" s="97"/>
    </row>
    <row r="30" spans="10:81" x14ac:dyDescent="0.2">
      <c r="AB30" s="99" t="str">
        <f>IF(Param!B36&lt;&gt;"",_xlfn.CONCAT(Param!B36," Kwac"),"")</f>
        <v/>
      </c>
      <c r="BE30" s="79"/>
      <c r="BF30" s="79"/>
      <c r="BG30" s="79"/>
      <c r="BH30" s="79"/>
      <c r="BI30" s="79"/>
      <c r="BK30" s="79"/>
      <c r="BL30" s="79"/>
      <c r="BM30" s="79"/>
      <c r="BN30" s="79"/>
      <c r="BO30" s="79"/>
      <c r="BP30" s="79"/>
      <c r="BQ30" s="79"/>
      <c r="BR30" s="98"/>
      <c r="BS30" s="98"/>
      <c r="BT30" s="95"/>
      <c r="BU30" s="95"/>
      <c r="BV30" s="96"/>
      <c r="BW30" s="96"/>
      <c r="BX30" s="94"/>
      <c r="BY30" s="94"/>
      <c r="BZ30" s="94"/>
      <c r="CA30" s="94"/>
      <c r="CB30" s="97"/>
      <c r="CC30" s="97"/>
    </row>
    <row r="31" spans="10:81" x14ac:dyDescent="0.2">
      <c r="BE31" s="79"/>
      <c r="BF31" s="79"/>
      <c r="BG31" s="79"/>
      <c r="BH31" s="79"/>
      <c r="BI31" s="79"/>
      <c r="BK31" s="79"/>
      <c r="BL31" s="79"/>
      <c r="BM31" s="79"/>
      <c r="BN31" s="79"/>
      <c r="BO31" s="79"/>
      <c r="BP31" s="79"/>
      <c r="BQ31" s="79"/>
      <c r="BR31" s="10"/>
      <c r="BS31" s="10"/>
      <c r="BT31" s="206"/>
      <c r="BU31" s="206"/>
      <c r="BV31" s="177"/>
      <c r="BW31" s="177"/>
      <c r="BX31" s="177"/>
      <c r="BY31" s="177"/>
      <c r="BZ31" s="177"/>
      <c r="CA31" s="177"/>
      <c r="CB31" s="207"/>
      <c r="CC31" s="207"/>
    </row>
    <row r="32" spans="10:81" x14ac:dyDescent="0.2">
      <c r="BE32" s="79"/>
      <c r="BF32" s="79"/>
      <c r="BG32" s="79"/>
      <c r="BH32" s="79"/>
      <c r="BI32" s="14"/>
      <c r="BJ32" s="14"/>
      <c r="BK32" s="14"/>
      <c r="BL32" s="14"/>
      <c r="BM32" s="79"/>
      <c r="BN32" s="79"/>
      <c r="BO32" s="79"/>
      <c r="BP32" s="79"/>
      <c r="BQ32" s="79"/>
      <c r="BR32" s="208" t="s">
        <v>140</v>
      </c>
      <c r="BS32" s="209"/>
      <c r="BT32" s="209"/>
      <c r="BU32" s="209" t="s">
        <v>157</v>
      </c>
      <c r="BV32" s="209"/>
      <c r="BW32" s="209" t="s">
        <v>141</v>
      </c>
      <c r="BX32" s="209"/>
      <c r="BY32" s="209" t="s">
        <v>142</v>
      </c>
      <c r="BZ32" s="209"/>
      <c r="CA32" s="209" t="s">
        <v>143</v>
      </c>
      <c r="CB32" s="210"/>
      <c r="CC32" s="10"/>
    </row>
    <row r="33" spans="28:82" x14ac:dyDescent="0.2">
      <c r="BE33" s="79"/>
      <c r="BF33" s="79"/>
      <c r="BG33" s="79"/>
      <c r="BH33" s="79"/>
      <c r="BI33" s="79"/>
      <c r="BJ33" s="106" t="s">
        <v>117</v>
      </c>
      <c r="BK33" s="79"/>
      <c r="BL33" s="79"/>
      <c r="BM33" s="79"/>
      <c r="BN33" s="79"/>
      <c r="BO33" s="79"/>
      <c r="BP33" s="79"/>
      <c r="BQ33" s="79"/>
      <c r="BR33" s="225" t="s">
        <v>137</v>
      </c>
      <c r="BS33" s="226"/>
      <c r="BT33" s="226"/>
      <c r="BU33" s="225" t="s">
        <v>109</v>
      </c>
      <c r="BV33" s="234"/>
      <c r="BW33" s="226">
        <f>Param!E21</f>
        <v>12</v>
      </c>
      <c r="BX33" s="226"/>
      <c r="BY33" s="226">
        <f>IF(Param!E16="SolarEdge",380,Param!E21*Param!B15)</f>
        <v>500.40000000000003</v>
      </c>
      <c r="BZ33" s="226"/>
      <c r="CA33" s="226">
        <f>IF(Param!E16="SolarEdge",(BW33*#REF!)/BY33,Param!B16)</f>
        <v>10.88</v>
      </c>
      <c r="CB33" s="234"/>
      <c r="CC33" s="10"/>
    </row>
    <row r="34" spans="28:82" x14ac:dyDescent="0.2">
      <c r="AB34" s="99" t="str">
        <f>IF(Param!B36&lt;&gt;"","Inverter supply ","")</f>
        <v/>
      </c>
      <c r="BE34" s="79"/>
      <c r="BF34" s="79"/>
      <c r="BG34" s="79"/>
      <c r="BH34" s="79"/>
      <c r="BI34" s="79"/>
      <c r="BJ34" s="107" t="s">
        <v>118</v>
      </c>
      <c r="BK34" s="79"/>
      <c r="BL34" s="79"/>
      <c r="BM34" s="79"/>
      <c r="BN34" s="79"/>
      <c r="BO34" s="79"/>
      <c r="BP34" s="79"/>
      <c r="BQ34" s="79"/>
      <c r="BR34" s="227"/>
      <c r="BS34" s="228"/>
      <c r="BT34" s="228"/>
      <c r="BU34" s="229"/>
      <c r="BV34" s="241"/>
      <c r="BW34" s="230">
        <f>Param!E22</f>
        <v>0</v>
      </c>
      <c r="BX34" s="230"/>
      <c r="BY34" s="230">
        <f>IF(Param!E16="SolarEdge",380,Param!E22*Param!B15)</f>
        <v>0</v>
      </c>
      <c r="BZ34" s="230"/>
      <c r="CA34" s="230">
        <f>IF(Param!E16="SolarEdge",(BW34*#REF!)/BY34,Param!B16)</f>
        <v>10.88</v>
      </c>
      <c r="CB34" s="241"/>
      <c r="CC34" s="10"/>
    </row>
    <row r="35" spans="28:82" x14ac:dyDescent="0.2">
      <c r="AB35" s="99" t="str">
        <f>IF(Param!B36&lt;&gt;"","Ac Isolator","")</f>
        <v/>
      </c>
      <c r="AG35" s="99" t="str">
        <f>IF(Param!B36&lt;&gt;"","Grid connect inverter","")</f>
        <v/>
      </c>
      <c r="BE35" s="79"/>
      <c r="BF35" s="79"/>
      <c r="BG35" s="79"/>
      <c r="BH35" s="79"/>
      <c r="BI35" s="79"/>
      <c r="BK35" s="79"/>
      <c r="BL35" s="79"/>
      <c r="BM35" s="79"/>
      <c r="BN35" s="79"/>
      <c r="BO35" s="79"/>
      <c r="BP35" s="79"/>
      <c r="BQ35" s="79"/>
      <c r="BR35" s="227"/>
      <c r="BS35" s="228"/>
      <c r="BT35" s="228"/>
      <c r="BU35" s="242" t="s">
        <v>156</v>
      </c>
      <c r="BV35" s="243"/>
      <c r="BW35" s="244">
        <f>Param!E23</f>
        <v>12</v>
      </c>
      <c r="BX35" s="244"/>
      <c r="BY35" s="244">
        <f>IF(Param!E16="SolarEdge",380,Param!E23*Param!B15)</f>
        <v>500.40000000000003</v>
      </c>
      <c r="BZ35" s="244"/>
      <c r="CA35" s="239">
        <f>IF(Param!E16="SolarEdge",(BW33*#REF!)/BY33,Param!B16)</f>
        <v>10.88</v>
      </c>
      <c r="CB35" s="240"/>
      <c r="CC35" s="10"/>
    </row>
    <row r="36" spans="28:82" x14ac:dyDescent="0.2">
      <c r="BE36" s="79"/>
      <c r="BF36" s="79"/>
      <c r="BG36" s="79"/>
      <c r="BH36" s="79"/>
      <c r="BI36" s="79"/>
      <c r="BK36" s="79"/>
      <c r="BL36" s="79"/>
      <c r="BM36" s="79"/>
      <c r="BN36" s="79"/>
      <c r="BO36" s="79"/>
      <c r="BP36" s="79"/>
      <c r="BQ36" s="79"/>
      <c r="BR36" s="229"/>
      <c r="BS36" s="230"/>
      <c r="BT36" s="230"/>
      <c r="BU36" s="229"/>
      <c r="BV36" s="241"/>
      <c r="BW36" s="230"/>
      <c r="BX36" s="230"/>
      <c r="BY36" s="230"/>
      <c r="BZ36" s="230"/>
      <c r="CA36" s="223"/>
      <c r="CB36" s="224"/>
      <c r="CC36" s="10"/>
    </row>
    <row r="37" spans="28:82" x14ac:dyDescent="0.2">
      <c r="BE37" s="79"/>
      <c r="BF37" s="79"/>
      <c r="BG37" s="79"/>
      <c r="BH37" s="79"/>
      <c r="BI37" s="79"/>
      <c r="BK37" s="79"/>
      <c r="BL37" s="79"/>
      <c r="BM37" s="79"/>
      <c r="BN37" s="79"/>
      <c r="BO37" s="79"/>
      <c r="BP37" s="79"/>
      <c r="BQ37" s="79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</row>
    <row r="38" spans="28:82" x14ac:dyDescent="0.2"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</row>
    <row r="39" spans="28:82" x14ac:dyDescent="0.2"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</row>
    <row r="40" spans="28:82" x14ac:dyDescent="0.2">
      <c r="AT40" s="203"/>
      <c r="BF40" s="99" t="s">
        <v>134</v>
      </c>
      <c r="BR40" s="177"/>
      <c r="BS40" s="177"/>
      <c r="BT40" s="177"/>
      <c r="BU40" s="177"/>
      <c r="BV40" s="177"/>
      <c r="BW40" s="177"/>
      <c r="BX40" s="177"/>
      <c r="BY40" s="177"/>
      <c r="BZ40" s="177"/>
      <c r="CA40" s="177"/>
      <c r="CB40" s="177"/>
    </row>
    <row r="41" spans="28:82" x14ac:dyDescent="0.2">
      <c r="AT41" s="203"/>
      <c r="AZ41" s="100"/>
      <c r="BR41" s="177"/>
      <c r="BS41" s="177"/>
      <c r="BT41" s="177"/>
      <c r="BU41" s="177"/>
      <c r="BV41" s="177"/>
      <c r="BW41" s="177"/>
      <c r="BX41" s="177"/>
      <c r="BY41" s="177"/>
      <c r="BZ41" s="177"/>
      <c r="CA41" s="177"/>
      <c r="CB41" s="177"/>
    </row>
    <row r="42" spans="28:82" x14ac:dyDescent="0.2">
      <c r="BK42" s="114"/>
      <c r="BR42" s="177"/>
      <c r="BS42" s="177"/>
      <c r="BT42" s="177"/>
      <c r="BU42" s="177"/>
      <c r="BV42" s="177"/>
      <c r="BW42" s="177"/>
      <c r="BX42" s="177"/>
      <c r="BY42" s="177"/>
      <c r="BZ42" s="177"/>
      <c r="CA42" s="177"/>
      <c r="CB42" s="177"/>
    </row>
    <row r="43" spans="28:82" x14ac:dyDescent="0.2">
      <c r="AT43" s="100"/>
    </row>
    <row r="44" spans="28:82" x14ac:dyDescent="0.2">
      <c r="BT44" s="77"/>
      <c r="BU44" s="77"/>
      <c r="BV44" s="77"/>
      <c r="BW44" s="77"/>
      <c r="BX44" s="77"/>
      <c r="BY44" s="77"/>
      <c r="BZ44" s="77"/>
      <c r="CA44" s="77"/>
      <c r="CB44" s="77"/>
    </row>
    <row r="45" spans="28:82" x14ac:dyDescent="0.2">
      <c r="AW45" s="128" t="str">
        <f>IF(Param!E22&lt;&gt;"",Param!E22,"")</f>
        <v/>
      </c>
      <c r="AX45" s="128" t="str">
        <f>IF(Param!E22&lt;&gt;"","Panels","")</f>
        <v/>
      </c>
      <c r="BR45" s="13" t="s">
        <v>36</v>
      </c>
      <c r="BS45" s="12"/>
      <c r="BT45" s="77"/>
      <c r="BU45" s="77"/>
      <c r="BV45" s="77"/>
      <c r="BW45" s="77"/>
      <c r="BX45" s="77"/>
      <c r="BY45" s="77"/>
      <c r="BZ45" s="77"/>
      <c r="CA45" s="77"/>
      <c r="CB45" s="77"/>
      <c r="CC45" s="108"/>
      <c r="CD45" s="108"/>
    </row>
    <row r="46" spans="28:82" x14ac:dyDescent="0.2">
      <c r="AI46" s="124" t="s">
        <v>137</v>
      </c>
      <c r="BR46" s="80" t="s">
        <v>35</v>
      </c>
      <c r="BS46" s="70"/>
      <c r="BV46" s="109" t="s">
        <v>34</v>
      </c>
      <c r="BW46" s="99" t="s">
        <v>33</v>
      </c>
    </row>
    <row r="47" spans="28:82" x14ac:dyDescent="0.2">
      <c r="BR47" s="71" t="s">
        <v>32</v>
      </c>
      <c r="BS47" s="79"/>
      <c r="BV47" s="110">
        <f>Param!B13</f>
        <v>18</v>
      </c>
      <c r="BW47" s="71" t="str">
        <f>_xlfn.CONCAT(, BV7, " ",BX9, "W")</f>
        <v>LG NeON 2 365W</v>
      </c>
      <c r="BY47" s="79"/>
      <c r="BZ47" s="79"/>
    </row>
    <row r="48" spans="28:82" x14ac:dyDescent="0.2">
      <c r="AL48" s="99" t="s">
        <v>109</v>
      </c>
      <c r="BR48" s="71" t="s">
        <v>123</v>
      </c>
      <c r="BS48" s="79"/>
      <c r="BV48" s="109">
        <v>1</v>
      </c>
      <c r="BW48" s="71" t="str">
        <f>BW26</f>
        <v>SB4.0-1AV-40</v>
      </c>
      <c r="BY48" s="79"/>
      <c r="BZ48" s="79"/>
    </row>
    <row r="49" spans="27:82" x14ac:dyDescent="0.2">
      <c r="BR49" s="71" t="s">
        <v>168</v>
      </c>
      <c r="BS49" s="79"/>
      <c r="BV49" s="109">
        <v>1</v>
      </c>
      <c r="BW49" s="201" t="s">
        <v>169</v>
      </c>
      <c r="BX49" s="202"/>
      <c r="BY49" s="202"/>
      <c r="BZ49" s="202"/>
      <c r="CA49" s="202"/>
      <c r="CB49" s="202"/>
      <c r="CC49" s="202"/>
      <c r="CD49" s="202"/>
    </row>
    <row r="50" spans="27:82" x14ac:dyDescent="0.2">
      <c r="AY50" s="125"/>
      <c r="BK50" s="113" t="str">
        <f>IF(Param!B23&lt;&gt;"", _xlfn.CONCAT(Param!B23," Panels"),"")</f>
        <v/>
      </c>
      <c r="BR50" s="71" t="s">
        <v>170</v>
      </c>
      <c r="BS50" s="79"/>
      <c r="BV50" s="109">
        <v>1</v>
      </c>
      <c r="BW50" s="71" t="s">
        <v>171</v>
      </c>
      <c r="BY50" s="79"/>
      <c r="BZ50" s="79"/>
    </row>
    <row r="51" spans="27:82" x14ac:dyDescent="0.2">
      <c r="AA51" s="99" t="str">
        <f>IF(Param!E18=3,_xlfn.CONCAT(Param!B31,"mm 4C+E"),_xlfn.CONCAT(Param!B31,"mm 2C+E"))</f>
        <v>4mm 2C+E</v>
      </c>
      <c r="AM51" s="135" t="s">
        <v>152</v>
      </c>
      <c r="AP51" s="135" t="s">
        <v>152</v>
      </c>
      <c r="AW51" s="128">
        <f>Param!E21</f>
        <v>12</v>
      </c>
      <c r="AX51" s="128" t="s">
        <v>150</v>
      </c>
      <c r="BR51" s="71" t="s">
        <v>128</v>
      </c>
      <c r="BS51" s="79"/>
      <c r="BV51" s="109">
        <v>3</v>
      </c>
      <c r="BW51" s="71" t="s">
        <v>172</v>
      </c>
      <c r="BY51" s="79"/>
      <c r="BZ51" s="79"/>
    </row>
    <row r="52" spans="27:82" x14ac:dyDescent="0.2">
      <c r="AM52" s="135" t="s">
        <v>153</v>
      </c>
      <c r="AP52" s="135" t="s">
        <v>153</v>
      </c>
      <c r="BR52" s="71" t="s">
        <v>173</v>
      </c>
      <c r="BS52" s="79"/>
      <c r="BV52" s="109">
        <v>4</v>
      </c>
      <c r="BW52" s="71" t="s">
        <v>174</v>
      </c>
      <c r="BY52" s="79"/>
      <c r="BZ52" s="79"/>
    </row>
    <row r="53" spans="27:82" x14ac:dyDescent="0.2">
      <c r="AC53" s="10" t="s">
        <v>139</v>
      </c>
      <c r="AL53" s="99" t="s">
        <v>156</v>
      </c>
      <c r="BR53" s="83" t="s">
        <v>31</v>
      </c>
      <c r="BS53" s="84"/>
      <c r="BT53" s="77"/>
      <c r="BU53" s="77"/>
      <c r="BV53" s="111"/>
      <c r="BW53" s="83" t="s">
        <v>30</v>
      </c>
      <c r="BY53" s="84"/>
      <c r="BZ53" s="84"/>
      <c r="CA53" s="77"/>
      <c r="CB53" s="77"/>
      <c r="CC53" s="77"/>
      <c r="CD53" s="77"/>
    </row>
    <row r="54" spans="27:82" x14ac:dyDescent="0.2">
      <c r="AD54" s="99" t="s">
        <v>138</v>
      </c>
      <c r="BX54" s="74"/>
    </row>
    <row r="55" spans="27:82" x14ac:dyDescent="0.2">
      <c r="AT55" s="100"/>
      <c r="BX55" s="77"/>
    </row>
    <row r="56" spans="27:82" x14ac:dyDescent="0.2">
      <c r="AM56" s="127" t="s">
        <v>152</v>
      </c>
      <c r="AP56" s="127" t="s">
        <v>152</v>
      </c>
      <c r="BK56" s="113"/>
      <c r="BR56" s="11" t="s">
        <v>29</v>
      </c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81"/>
    </row>
    <row r="57" spans="27:82" x14ac:dyDescent="0.2">
      <c r="AI57" s="126" t="s">
        <v>154</v>
      </c>
      <c r="AM57" s="127" t="s">
        <v>153</v>
      </c>
      <c r="AP57" s="127" t="s">
        <v>153</v>
      </c>
      <c r="AW57" s="99">
        <f>Param!E23</f>
        <v>12</v>
      </c>
      <c r="AX57" s="99" t="s">
        <v>150</v>
      </c>
      <c r="BR57" s="71" t="s">
        <v>28</v>
      </c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2"/>
    </row>
    <row r="58" spans="27:82" x14ac:dyDescent="0.2">
      <c r="AI58" s="126" t="s">
        <v>155</v>
      </c>
      <c r="BR58" s="71" t="s">
        <v>27</v>
      </c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2"/>
    </row>
    <row r="59" spans="27:82" x14ac:dyDescent="0.2">
      <c r="AZ59" s="134"/>
      <c r="BA59" s="134"/>
      <c r="BB59" s="134"/>
      <c r="BC59" s="177"/>
      <c r="BD59" s="177"/>
      <c r="BE59" s="177"/>
      <c r="BF59" s="177"/>
      <c r="BG59" s="177"/>
      <c r="BH59" s="177"/>
      <c r="BI59" s="177"/>
      <c r="BJ59" s="177"/>
      <c r="BR59" s="71" t="s">
        <v>26</v>
      </c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2"/>
    </row>
    <row r="60" spans="27:82" x14ac:dyDescent="0.2">
      <c r="BR60" s="71" t="s">
        <v>25</v>
      </c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2"/>
    </row>
    <row r="61" spans="27:82" x14ac:dyDescent="0.2">
      <c r="BR61" s="71" t="s">
        <v>24</v>
      </c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2"/>
    </row>
    <row r="62" spans="27:82" x14ac:dyDescent="0.2">
      <c r="BA62" s="10"/>
      <c r="BD62" s="9"/>
      <c r="BE62" s="9"/>
      <c r="BJ62" s="8"/>
      <c r="BR62" s="71" t="s">
        <v>23</v>
      </c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2"/>
    </row>
    <row r="63" spans="27:82" x14ac:dyDescent="0.2">
      <c r="BA63" s="10"/>
      <c r="BE63" s="9"/>
      <c r="BJ63" s="8"/>
      <c r="BR63" s="71" t="s">
        <v>22</v>
      </c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2"/>
    </row>
    <row r="64" spans="27:82" x14ac:dyDescent="0.2">
      <c r="AZ64" s="10"/>
      <c r="BA64" s="10"/>
      <c r="BD64" s="9"/>
      <c r="BE64" s="9"/>
      <c r="BJ64" s="8"/>
      <c r="BR64" s="71" t="s">
        <v>21</v>
      </c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2"/>
    </row>
    <row r="65" spans="2:82" x14ac:dyDescent="0.2">
      <c r="AZ65" s="10"/>
      <c r="BA65" s="10"/>
      <c r="BD65" s="9"/>
      <c r="BE65" s="9"/>
      <c r="BJ65" s="8"/>
      <c r="BR65" s="71" t="s">
        <v>20</v>
      </c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2"/>
    </row>
    <row r="66" spans="2:82" x14ac:dyDescent="0.2">
      <c r="AO66" s="7"/>
      <c r="BR66" s="83" t="s">
        <v>19</v>
      </c>
      <c r="BS66" s="84"/>
      <c r="BT66" s="84"/>
      <c r="BU66" s="84"/>
      <c r="BV66" s="84"/>
      <c r="BW66" s="84"/>
      <c r="BX66" s="84"/>
      <c r="BY66" s="84"/>
      <c r="BZ66" s="84"/>
      <c r="CA66" s="84"/>
      <c r="CB66" s="84"/>
      <c r="CC66" s="84"/>
      <c r="CD66" s="82"/>
    </row>
    <row r="67" spans="2:82" x14ac:dyDescent="0.2">
      <c r="AO67" s="7"/>
      <c r="BR67" s="73" t="s">
        <v>18</v>
      </c>
      <c r="BS67" s="74"/>
      <c r="BT67" s="74"/>
      <c r="BU67" s="74"/>
      <c r="BV67" s="74"/>
      <c r="BW67" s="74"/>
      <c r="BX67" s="74"/>
      <c r="BY67" s="74"/>
      <c r="BZ67" s="74"/>
      <c r="CA67" s="74"/>
      <c r="CB67" s="74"/>
      <c r="CC67" s="74"/>
      <c r="CD67" s="4"/>
    </row>
    <row r="68" spans="2:82" x14ac:dyDescent="0.2">
      <c r="B68" s="77"/>
      <c r="C68" s="77"/>
      <c r="BR68" s="76" t="s">
        <v>17</v>
      </c>
      <c r="BS68" s="77"/>
      <c r="BT68" s="77"/>
      <c r="BU68" s="77"/>
      <c r="BV68" s="77"/>
      <c r="BW68" s="77"/>
      <c r="BX68" s="77"/>
      <c r="BY68" s="77"/>
      <c r="BZ68" s="77"/>
      <c r="CA68" s="77"/>
      <c r="CB68" s="77"/>
      <c r="CC68" s="77"/>
      <c r="CD68" s="1"/>
    </row>
    <row r="69" spans="2:82" x14ac:dyDescent="0.2">
      <c r="B69" s="99" t="s">
        <v>16</v>
      </c>
      <c r="D69" s="74"/>
      <c r="E69" s="74"/>
      <c r="F69" s="74"/>
      <c r="G69" s="74"/>
      <c r="H69" s="74"/>
      <c r="I69" s="74"/>
      <c r="J69" s="4"/>
      <c r="K69" s="73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4"/>
      <c r="X69" s="73"/>
      <c r="Y69" s="74" t="s">
        <v>15</v>
      </c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  <c r="AW69" s="74"/>
      <c r="AX69" s="74"/>
      <c r="AY69" s="190" t="s">
        <v>14</v>
      </c>
      <c r="AZ69" s="190"/>
      <c r="BA69" s="191"/>
      <c r="BB69" s="73" t="str">
        <f>Param!B3</f>
        <v xml:space="preserve">Miller, Ian </v>
      </c>
      <c r="BC69" s="74"/>
      <c r="BD69" s="74"/>
      <c r="BE69" s="74"/>
      <c r="BF69" s="74"/>
      <c r="BG69" s="74"/>
      <c r="BH69" s="74"/>
      <c r="BI69" s="74"/>
      <c r="BJ69" s="74"/>
      <c r="BK69" s="74"/>
      <c r="BL69" s="74"/>
      <c r="BM69" s="4"/>
      <c r="BN69" s="73" t="str">
        <f>_xlfn.CONCAT(BW26," &amp; Tesla Gateway + Powerwall 2")</f>
        <v>SB4.0-1AV-40 &amp; Tesla Gateway + Powerwall 2</v>
      </c>
      <c r="BO69" s="74"/>
      <c r="BP69" s="74"/>
      <c r="BQ69" s="74"/>
      <c r="BR69" s="74"/>
      <c r="BS69" s="74"/>
      <c r="BT69" s="74"/>
      <c r="BU69" s="74"/>
      <c r="BV69" s="74"/>
      <c r="BW69" s="74"/>
      <c r="BX69" s="74"/>
      <c r="CB69" s="194">
        <f>Param!E20+BX15*BW18</f>
        <v>9</v>
      </c>
      <c r="CC69" s="194"/>
      <c r="CD69" s="194"/>
    </row>
    <row r="70" spans="2:82" x14ac:dyDescent="0.2">
      <c r="J70" s="5"/>
      <c r="K70" s="75"/>
      <c r="W70" s="5"/>
      <c r="X70" s="76"/>
      <c r="Y70" s="77" t="s">
        <v>5</v>
      </c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  <c r="AW70" s="77"/>
      <c r="AX70" s="77"/>
      <c r="AY70" s="77"/>
      <c r="AZ70" s="77"/>
      <c r="BA70" s="1"/>
      <c r="BB70" s="76"/>
      <c r="BC70" s="77"/>
      <c r="BD70" s="77"/>
      <c r="BE70" s="77"/>
      <c r="BF70" s="77"/>
      <c r="BG70" s="77"/>
      <c r="BH70" s="77"/>
      <c r="BI70" s="77"/>
      <c r="BJ70" s="77"/>
      <c r="BK70" s="77"/>
      <c r="BL70" s="77"/>
      <c r="BM70" s="1"/>
      <c r="BN70" s="76" t="s">
        <v>13</v>
      </c>
      <c r="BO70" s="77"/>
      <c r="BP70" s="77"/>
      <c r="BQ70" s="77"/>
      <c r="BR70" s="77"/>
      <c r="BS70" s="77"/>
      <c r="BT70" s="77"/>
      <c r="BU70" s="77"/>
      <c r="BV70" s="77"/>
      <c r="BW70" s="77"/>
      <c r="BX70" s="77"/>
      <c r="BY70" s="77"/>
      <c r="BZ70" s="77"/>
      <c r="CA70" s="77"/>
      <c r="CB70" s="77"/>
      <c r="CC70" s="77"/>
      <c r="CD70" s="1"/>
    </row>
    <row r="71" spans="2:82" x14ac:dyDescent="0.2">
      <c r="J71" s="5"/>
      <c r="K71" s="75"/>
      <c r="W71" s="5"/>
      <c r="X71" s="73"/>
      <c r="Y71" s="74" t="s">
        <v>12</v>
      </c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  <c r="AW71" s="74"/>
      <c r="AX71" s="74"/>
      <c r="AY71" s="190" t="s">
        <v>11</v>
      </c>
      <c r="AZ71" s="190"/>
      <c r="BA71" s="191"/>
      <c r="BB71" s="73" t="str">
        <f>Param!B4</f>
        <v>154 Princeton Ave  Adamstown Heights</v>
      </c>
      <c r="BC71" s="74"/>
      <c r="BD71" s="74"/>
      <c r="BE71" s="74"/>
      <c r="BF71" s="74"/>
      <c r="BG71" s="74"/>
      <c r="BH71" s="74"/>
      <c r="BI71" s="74"/>
      <c r="BJ71" s="74"/>
      <c r="BK71" s="74"/>
      <c r="BL71" s="74"/>
      <c r="BM71" s="4"/>
      <c r="BN71" s="73" t="s">
        <v>10</v>
      </c>
      <c r="BO71" s="74"/>
      <c r="BP71" s="4"/>
      <c r="BQ71" s="73" t="s">
        <v>9</v>
      </c>
      <c r="BR71" s="74"/>
      <c r="BS71" s="4"/>
      <c r="BT71" s="73" t="s">
        <v>8</v>
      </c>
      <c r="BU71" s="74"/>
      <c r="BV71" s="74"/>
      <c r="BW71" s="4"/>
      <c r="BX71" s="73" t="s">
        <v>7</v>
      </c>
      <c r="BY71" s="74"/>
      <c r="BZ71" s="4"/>
      <c r="CA71" s="73" t="s">
        <v>6</v>
      </c>
      <c r="CB71" s="74"/>
      <c r="CC71" s="74"/>
      <c r="CD71" s="4"/>
    </row>
    <row r="72" spans="2:82" x14ac:dyDescent="0.2">
      <c r="J72" s="5"/>
      <c r="K72" s="75"/>
      <c r="W72" s="5"/>
      <c r="X72" s="76"/>
      <c r="Y72" s="77" t="s">
        <v>5</v>
      </c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  <c r="AW72" s="77"/>
      <c r="AX72" s="77"/>
      <c r="AY72" s="77"/>
      <c r="AZ72" s="77"/>
      <c r="BA72" s="1"/>
      <c r="BB72" s="76"/>
      <c r="BC72" s="77"/>
      <c r="BD72" s="77"/>
      <c r="BE72" s="77"/>
      <c r="BF72" s="77"/>
      <c r="BG72" s="77"/>
      <c r="BH72" s="77"/>
      <c r="BI72" s="77"/>
      <c r="BJ72" s="77"/>
      <c r="BK72" s="77"/>
      <c r="BL72" s="77"/>
      <c r="BM72" s="1"/>
      <c r="BN72" s="195" t="s">
        <v>61</v>
      </c>
      <c r="BO72" s="196"/>
      <c r="BP72" s="197"/>
      <c r="BQ72" s="195" t="s">
        <v>4</v>
      </c>
      <c r="BR72" s="196"/>
      <c r="BS72" s="197"/>
      <c r="BT72" s="195" t="s">
        <v>4</v>
      </c>
      <c r="BU72" s="196"/>
      <c r="BV72" s="196"/>
      <c r="BW72" s="1"/>
      <c r="BX72" s="198">
        <f ca="1">TODAY()</f>
        <v>44234</v>
      </c>
      <c r="BY72" s="199"/>
      <c r="BZ72" s="200"/>
      <c r="CA72" s="6" t="s">
        <v>3</v>
      </c>
      <c r="CB72" s="77"/>
      <c r="CC72" s="77"/>
      <c r="CD72" s="1"/>
    </row>
    <row r="73" spans="2:82" x14ac:dyDescent="0.2">
      <c r="J73" s="5"/>
      <c r="K73" s="75"/>
      <c r="W73" s="5"/>
      <c r="X73" s="73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Y73" s="190" t="s">
        <v>2</v>
      </c>
      <c r="AZ73" s="190"/>
      <c r="BA73" s="191"/>
      <c r="BB73" s="192">
        <f>Param!B2</f>
        <v>26181</v>
      </c>
      <c r="BC73" s="193"/>
      <c r="BD73" s="74"/>
      <c r="BE73" s="74"/>
      <c r="BF73" s="74"/>
      <c r="BG73" s="74"/>
      <c r="BH73" s="74"/>
      <c r="BI73" s="74"/>
      <c r="BJ73" s="74"/>
      <c r="BK73" s="74"/>
      <c r="BL73" s="74"/>
      <c r="BM73" s="4"/>
      <c r="BN73" s="73" t="s">
        <v>1</v>
      </c>
      <c r="BO73" s="74"/>
      <c r="BP73" s="74"/>
      <c r="BQ73" s="74">
        <v>1</v>
      </c>
      <c r="BR73" s="74"/>
      <c r="BS73" s="74"/>
      <c r="BT73" s="74"/>
      <c r="BU73" s="74"/>
      <c r="BV73" s="74"/>
      <c r="BW73" s="74"/>
      <c r="BX73" s="74"/>
      <c r="BY73" s="74"/>
      <c r="BZ73" s="74"/>
      <c r="CA73" s="74"/>
      <c r="CB73" s="74"/>
      <c r="CC73" s="74"/>
      <c r="CD73" s="4"/>
    </row>
    <row r="74" spans="2:82" x14ac:dyDescent="0.2">
      <c r="C74" s="77"/>
      <c r="D74" s="77"/>
      <c r="E74" s="77"/>
      <c r="F74" s="77"/>
      <c r="G74" s="77"/>
      <c r="H74" s="77"/>
      <c r="I74" s="77"/>
      <c r="J74" s="1"/>
      <c r="K74" s="76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1"/>
      <c r="X74" s="76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Z74" s="77"/>
      <c r="BA74" s="1"/>
      <c r="BB74" s="76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1"/>
      <c r="BN74" s="76" t="s">
        <v>0</v>
      </c>
      <c r="BO74" s="77"/>
      <c r="BP74" s="77"/>
      <c r="BQ74" s="3" t="s">
        <v>164</v>
      </c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1"/>
    </row>
  </sheetData>
  <mergeCells count="76">
    <mergeCell ref="BV6:BZ6"/>
    <mergeCell ref="BV7:BZ7"/>
    <mergeCell ref="BX11:BZ11"/>
    <mergeCell ref="BW26:BZ26"/>
    <mergeCell ref="BX24:BZ24"/>
    <mergeCell ref="BY18:BZ18"/>
    <mergeCell ref="BY19:BZ19"/>
    <mergeCell ref="BW18:BX18"/>
    <mergeCell ref="BW19:BX19"/>
    <mergeCell ref="BX20:BY20"/>
    <mergeCell ref="BX21:BY21"/>
    <mergeCell ref="BX8:BZ8"/>
    <mergeCell ref="BX9:BZ9"/>
    <mergeCell ref="BX10:BZ10"/>
    <mergeCell ref="AY73:BA73"/>
    <mergeCell ref="BB73:BC73"/>
    <mergeCell ref="AY69:BA69"/>
    <mergeCell ref="CB69:CD69"/>
    <mergeCell ref="AY71:BA71"/>
    <mergeCell ref="BN72:BP72"/>
    <mergeCell ref="BQ72:BS72"/>
    <mergeCell ref="BT72:BV72"/>
    <mergeCell ref="BX72:BZ72"/>
    <mergeCell ref="BW49:CD49"/>
    <mergeCell ref="BC59:BD59"/>
    <mergeCell ref="BE59:BF59"/>
    <mergeCell ref="BG59:BH59"/>
    <mergeCell ref="BI59:BJ59"/>
    <mergeCell ref="BR42:BT42"/>
    <mergeCell ref="BU42:BV42"/>
    <mergeCell ref="BW42:BX42"/>
    <mergeCell ref="BY42:BZ42"/>
    <mergeCell ref="CA42:CB42"/>
    <mergeCell ref="AT40:AT41"/>
    <mergeCell ref="BR40:BT40"/>
    <mergeCell ref="BU40:BV40"/>
    <mergeCell ref="BW40:BX40"/>
    <mergeCell ref="BY40:BZ40"/>
    <mergeCell ref="CA40:CB40"/>
    <mergeCell ref="BR41:BT41"/>
    <mergeCell ref="BU41:BV41"/>
    <mergeCell ref="BW41:BX41"/>
    <mergeCell ref="BY41:BZ41"/>
    <mergeCell ref="CA41:CB41"/>
    <mergeCell ref="BR33:BT36"/>
    <mergeCell ref="BU33:BV34"/>
    <mergeCell ref="BU35:BV36"/>
    <mergeCell ref="BW35:BX36"/>
    <mergeCell ref="BY35:BZ36"/>
    <mergeCell ref="BX27:BZ27"/>
    <mergeCell ref="CA35:CB36"/>
    <mergeCell ref="BW33:BX33"/>
    <mergeCell ref="BW34:BX34"/>
    <mergeCell ref="BY33:BZ33"/>
    <mergeCell ref="BY34:BZ34"/>
    <mergeCell ref="CA33:CB33"/>
    <mergeCell ref="CA34:CB34"/>
    <mergeCell ref="CB31:CC31"/>
    <mergeCell ref="BZ31:CA31"/>
    <mergeCell ref="BX31:BY31"/>
    <mergeCell ref="BV31:BW31"/>
    <mergeCell ref="CA32:CB32"/>
    <mergeCell ref="BT31:BU31"/>
    <mergeCell ref="BR32:BT32"/>
    <mergeCell ref="BU32:BV32"/>
    <mergeCell ref="BW32:BX32"/>
    <mergeCell ref="BY32:BZ32"/>
    <mergeCell ref="CA11:CC11"/>
    <mergeCell ref="CA22:CC22"/>
    <mergeCell ref="CA23:CC23"/>
    <mergeCell ref="BX25:BZ25"/>
    <mergeCell ref="CA21:CC21"/>
    <mergeCell ref="BX12:BZ12"/>
    <mergeCell ref="BX17:BZ17"/>
    <mergeCell ref="BX16:BZ16"/>
    <mergeCell ref="BX15:BZ15"/>
  </mergeCells>
  <conditionalFormatting sqref="BH62:BI65">
    <cfRule type="cellIs" dxfId="3" priority="5" operator="greaterThan">
      <formula>600</formula>
    </cfRule>
  </conditionalFormatting>
  <conditionalFormatting sqref="CA24">
    <cfRule type="cellIs" dxfId="2" priority="1" operator="greaterThan">
      <formula>600</formula>
    </cfRule>
  </conditionalFormatting>
  <conditionalFormatting sqref="BZ31:CA31">
    <cfRule type="cellIs" dxfId="1" priority="3" operator="greaterThan">
      <formula>600</formula>
    </cfRule>
  </conditionalFormatting>
  <conditionalFormatting sqref="BZ29:CA30">
    <cfRule type="cellIs" dxfId="0" priority="2" operator="greaterThan">
      <formula>600</formula>
    </cfRule>
  </conditionalFormatting>
  <pageMargins left="0.5" right="0.5" top="0.5" bottom="0.5" header="0" footer="0"/>
  <pageSetup paperSize="9" scale="44" orientation="landscape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</vt:lpstr>
      <vt:lpstr>Vrise</vt:lpstr>
      <vt:lpstr>PW2-ENP-Partial</vt:lpstr>
      <vt:lpstr>PW2-1Mppt-Partial</vt:lpstr>
      <vt:lpstr>PW2-2Mppt-Partial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2020-12-02T07:35:07Z</cp:lastPrinted>
  <dcterms:created xsi:type="dcterms:W3CDTF">2020-10-29T22:28:43Z</dcterms:created>
  <dcterms:modified xsi:type="dcterms:W3CDTF">2021-02-06T14:18:00Z</dcterms:modified>
</cp:coreProperties>
</file>