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3C7DDA0F-A22C-EF4E-BEBD-509A303AED5A}" xr6:coauthVersionLast="46" xr6:coauthVersionMax="46" xr10:uidLastSave="{00000000-0000-0000-0000-000000000000}"/>
  <bookViews>
    <workbookView xWindow="1040" yWindow="500" windowWidth="28920" windowHeight="17340" activeTab="2" xr2:uid="{5C310A73-3E33-5C44-B32F-CABC6D95981F}"/>
  </bookViews>
  <sheets>
    <sheet name="Param" sheetId="3" r:id="rId1"/>
    <sheet name="Vrise" sheetId="1" r:id="rId2"/>
    <sheet name="PW2-ENP-Partial" sheetId="19" r:id="rId3"/>
    <sheet name="PW2-1Mppt-Partial" sheetId="20" r:id="rId4"/>
    <sheet name="PW2-2Mppt-Partial" sheetId="17" r:id="rId5"/>
  </sheets>
  <functionGroups builtInGroupCount="19"/>
  <externalReferences>
    <externalReference r:id="rId6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7" i="17" l="1"/>
  <c r="BX9" i="17"/>
  <c r="BW47" i="17"/>
  <c r="BW18" i="17"/>
  <c r="CB69" i="17"/>
  <c r="BV12" i="20"/>
  <c r="BX8" i="17"/>
  <c r="BX12" i="17"/>
  <c r="BX11" i="17"/>
  <c r="BX10" i="17"/>
  <c r="BV6" i="17"/>
  <c r="BX27" i="17"/>
  <c r="CB69" i="19"/>
  <c r="BV48" i="19"/>
  <c r="BV47" i="19"/>
  <c r="C67" i="19"/>
  <c r="BY37" i="19"/>
  <c r="CA37" i="19"/>
  <c r="BW37" i="19"/>
  <c r="CA35" i="19"/>
  <c r="BY35" i="19"/>
  <c r="BW35" i="19"/>
  <c r="BV12" i="19"/>
  <c r="BX28" i="19"/>
  <c r="BX27" i="19"/>
  <c r="BX24" i="19"/>
  <c r="C40" i="1"/>
  <c r="BW8" i="19"/>
  <c r="BX11" i="19"/>
  <c r="BX10" i="19"/>
  <c r="BX9" i="19"/>
  <c r="BV7" i="19"/>
  <c r="BV6" i="19"/>
  <c r="CB69" i="20"/>
  <c r="BW48" i="20"/>
  <c r="BW47" i="20"/>
  <c r="CA35" i="20" a="1"/>
  <c r="CA35" i="20"/>
  <c r="CA33" i="20"/>
  <c r="BW33" i="20"/>
  <c r="BX11" i="20"/>
  <c r="BX10" i="20"/>
  <c r="BX9" i="20"/>
  <c r="BW8" i="20"/>
  <c r="BV7" i="20"/>
  <c r="BV6" i="20"/>
  <c r="AE21" i="19"/>
  <c r="AE20" i="19"/>
  <c r="AE18" i="19"/>
  <c r="AS53" i="19"/>
  <c r="CA35" i="17"/>
  <c r="CA33" i="17"/>
  <c r="BW35" i="17"/>
  <c r="BY35" i="17"/>
  <c r="BY33" i="17"/>
  <c r="BY34" i="17"/>
  <c r="CA34" i="17"/>
  <c r="BW34" i="17"/>
  <c r="AX45" i="17"/>
  <c r="AW45" i="17"/>
  <c r="AW57" i="17"/>
  <c r="AW51" i="17"/>
  <c r="BY33" i="20"/>
  <c r="BY35" i="20" a="1"/>
  <c r="BY35" i="20"/>
  <c r="BB73" i="20"/>
  <c r="BX72" i="20"/>
  <c r="BB71" i="20"/>
  <c r="BW27" i="20"/>
  <c r="BW18" i="20"/>
  <c r="BW26" i="20"/>
  <c r="BN69" i="20"/>
  <c r="BB69" i="20"/>
  <c r="AX57" i="20"/>
  <c r="AA54" i="20"/>
  <c r="BK50" i="20"/>
  <c r="AY50" i="20"/>
  <c r="AX50" i="20"/>
  <c r="BV47" i="20"/>
  <c r="BW35" i="20"/>
  <c r="AL35" i="20"/>
  <c r="AG35" i="20"/>
  <c r="AG34" i="20"/>
  <c r="AF30" i="20"/>
  <c r="AF29" i="20"/>
  <c r="BW25" i="20"/>
  <c r="AA19" i="20"/>
  <c r="AA18" i="20"/>
  <c r="AA51" i="17"/>
  <c r="BW26" i="17"/>
  <c r="BN69" i="17"/>
  <c r="BW33" i="17"/>
  <c r="BX25" i="17"/>
  <c r="BW48" i="17"/>
  <c r="BV47" i="17"/>
  <c r="BB73" i="19"/>
  <c r="BX72" i="19"/>
  <c r="BB71" i="19"/>
  <c r="BB69" i="19"/>
  <c r="BK56" i="19"/>
  <c r="BK50" i="19"/>
  <c r="BW48" i="19"/>
  <c r="BW47" i="19"/>
  <c r="BK43" i="19"/>
  <c r="AG35" i="19"/>
  <c r="AB35" i="19"/>
  <c r="AB34" i="19"/>
  <c r="AB30" i="19"/>
  <c r="AB29" i="19"/>
  <c r="BX26" i="19"/>
  <c r="BX25" i="19"/>
  <c r="AA20" i="19"/>
  <c r="AA19" i="19"/>
  <c r="BW18" i="19"/>
  <c r="BK50" i="17"/>
  <c r="AA19" i="17"/>
  <c r="AA18" i="17"/>
  <c r="AB29" i="17"/>
  <c r="AB30" i="17"/>
  <c r="AG35" i="17"/>
  <c r="AB35" i="17"/>
  <c r="AB34" i="17"/>
  <c r="BB73" i="17"/>
  <c r="BB71" i="17"/>
  <c r="BB69" i="17"/>
  <c r="BX72" i="17"/>
  <c r="G34" i="1"/>
  <c r="G35" i="1"/>
  <c r="G36" i="1"/>
  <c r="G38" i="1" a="1"/>
  <c r="G38" i="1"/>
  <c r="E36" i="1"/>
  <c r="C36" i="1"/>
  <c r="G32" i="1"/>
  <c r="E32" i="1"/>
  <c r="C32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<sst xmlns="http://schemas.openxmlformats.org/spreadsheetml/2006/main" count="392" uniqueCount="175">
  <si>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</si>
  <si>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</si>
  <si>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</si>
  <si>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</si>
  <si>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</si>
  <si>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</si>
  <si>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</si>
  <si>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</si>
  <si>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</si>
  <si>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</si>
  <si>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</si>
  <si>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</si>
  <si>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</si>
  <si>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</si>
  <si>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</si>
  <si>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</si>
  <si>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</si>
  <si>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</si>
  <si>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</si>
  <si>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</si>
  <si>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</si>
  <si>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</si>
  <si>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</si>
  <si>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</si>
  <si>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</si>
  <si>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</si>
  <si>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</si>
  <si>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</si>
  <si>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</si>
  <si>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</si>
  <si>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</si>
  <si>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</si>
  <si>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</si>
  <si>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</si>
  <si>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</si>
  <si>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</si>
  <si>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</si>
  <si>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</si>
  <si>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</si>
  <si>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</si>
  <si>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</si>
  <si>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</si>
  <si>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</si>
  <si>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</si>
  <si>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</si>
  <si>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</si>
  <si>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</si>
  <si>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</si>
  <si>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</si>
  <si>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</si>
  <si>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</si>
  <si>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</si>
  <si>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</si>
  <si>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</si>
  <si>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</si>
  <si>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</si>
  <si>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</si>
  <si>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</si>
  <si>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</si>
  <si>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</si>
  <si>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</si>
  <si>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</si>
  <si>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</si>
  <si>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</si>
  <si>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</si>
  <si>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</si>
  <si>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</si>
  <si>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</si>
  <si>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</si>
  <si>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</si>
  <si>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</si>
  <si>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</si>
  <si>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</si>
  <si>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</si>
  <si>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</si>
  <si>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</si>
  <si>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</si>
  <si>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</si>
  <si>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</si>
  <si>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</si>
  <si>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</si>
  <si>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</si>
  <si>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</si>
  <si>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</si>
  <si>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</si>
  <si>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</si>
  <si>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</si>
  <si>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</si>
  <si>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</si>
  <si>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</si>
  <si>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</si>
  <si>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</si>
  <si>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</si>
  <si>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</si>
  <si>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</si>
  <si>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</si>
  <si>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</si>
  <si>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</si>
  <si>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</si>
  <si>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</si>
  <si>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</si>
  <si>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</si>
  <si>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</si>
  <si>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</si>
  <si>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</si>
  <si>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</si>
  <si>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</si>
  <si>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</si>
  <si>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</si>
  <si>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</si>
  <si>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</si>
  <si>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</si>
  <si>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</si>
  <si>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</si>
  <si>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</si>
  <si>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</si>
  <si>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</si>
  <si>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</si>
  <si>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</si>
  <si>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IQ7+</t>
  </si>
  <si>
    <t>BATT 01</t>
  </si>
  <si>
    <t>PW2</t>
  </si>
  <si>
    <t>Total (kW)</t>
  </si>
  <si>
    <t>INVERTER</t>
  </si>
  <si>
    <t>ENCLOSURE</t>
  </si>
  <si>
    <t xml:space="preserve">Enphase Outdoor 3P </t>
  </si>
  <si>
    <t>Q RELAY</t>
  </si>
  <si>
    <t>Solar Supply AC Isolator</t>
  </si>
  <si>
    <t>AC ISOLATOR</t>
  </si>
  <si>
    <t>1 Pole, 240V AC (if requred)</t>
  </si>
  <si>
    <t>ENVOY</t>
  </si>
  <si>
    <t>Enphase Envoy Metered (3P)</t>
  </si>
  <si>
    <t>Backup Bus</t>
  </si>
  <si>
    <t>Non-Backup Bus</t>
  </si>
  <si>
    <t>Tesla Powerwall 2, 5kW</t>
  </si>
  <si>
    <t>Note: In back up mode, only one phase is energized</t>
  </si>
  <si>
    <t>Max output fault current</t>
  </si>
  <si>
    <t>Inverter 1</t>
  </si>
  <si>
    <t>A.C Isolator</t>
  </si>
  <si>
    <t xml:space="preserve">    Inverter supply</t>
  </si>
  <si>
    <t>Inv</t>
  </si>
  <si>
    <t>N.Panels</t>
  </si>
  <si>
    <t>Voc</t>
  </si>
  <si>
    <t>Isc</t>
  </si>
  <si>
    <t>Inverter Phases</t>
  </si>
  <si>
    <t>Iout Max</t>
  </si>
  <si>
    <t>MpptA1</t>
  </si>
  <si>
    <t>MpptA2</t>
  </si>
  <si>
    <t>MpptB1</t>
  </si>
  <si>
    <t>MpptB2</t>
  </si>
  <si>
    <t>Panels</t>
  </si>
  <si>
    <t>String</t>
  </si>
  <si>
    <t>P.V. Array</t>
  </si>
  <si>
    <t>D.C. Isolator</t>
  </si>
  <si>
    <t>Grid Connect</t>
  </si>
  <si>
    <t>Inverter No. 1</t>
  </si>
  <si>
    <t>B</t>
  </si>
  <si>
    <t>Mppt</t>
  </si>
  <si>
    <t>No. Of Panels</t>
  </si>
  <si>
    <t>Total kWdc</t>
  </si>
  <si>
    <t>Rated AC Power</t>
  </si>
  <si>
    <t xml:space="preserve">20 Jan 2021 </t>
  </si>
  <si>
    <t>SLD Notes</t>
  </si>
  <si>
    <t>Vrise Notes</t>
  </si>
  <si>
    <t>21 Jan 2021</t>
  </si>
  <si>
    <t xml:space="preserve">21 Jan 2021 </t>
  </si>
  <si>
    <t>House DB</t>
  </si>
  <si>
    <t>Max. DC Voltage</t>
  </si>
  <si>
    <t>Gateway</t>
  </si>
  <si>
    <t>Tesla Gateway</t>
  </si>
  <si>
    <t>PowerWall 2</t>
  </si>
  <si>
    <t>Tesla Powerwall 2 (5kW, 13.5 kWh)</t>
  </si>
  <si>
    <t>AC isolators (1P for battery)</t>
  </si>
  <si>
    <t>DC Isolators</t>
  </si>
  <si>
    <t>DC Isolator, 1000V DC, 32A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</si>
</sst>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#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0" xfId="0" quotePrefix="1" applyFill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0" xfId="0"/>
    <xf numFmtId="0" fontId="1" fillId="0" borderId="0" xfId="0" applyFont="1"/>
    <xf numFmtId="0" fontId="0" fillId="2" borderId="7" xfId="0" quotePrefix="1" applyFill="1" applyBorder="1" applyAlignment="1"/>
    <xf numFmtId="0" fontId="0" fillId="2" borderId="2" xfId="0" applyFill="1" applyBorder="1" applyAlignment="1"/>
    <xf numFmtId="0" fontId="0" fillId="2" borderId="1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/>
    <xf numFmtId="0" fontId="1" fillId="0" borderId="0" xfId="0" applyFont="1"/>
    <xf numFmtId="0" fontId="0" fillId="0" borderId="0" xfId="0"/>
    <xf numFmtId="167" fontId="0" fillId="2" borderId="0" xfId="0" quotePrefix="1" applyNumberFormat="1" applyFill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0" fillId="2" borderId="0" xfId="0" applyFill="1" applyBorder="1"/>
    <xf numFmtId="0" fontId="0" fillId="0" borderId="0" xfId="0"/>
    <xf numFmtId="0" fontId="1" fillId="0" borderId="0" xfId="0" applyFont="1"/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174" fontId="0" fillId="2" borderId="2" xfId="0" applyNumberFormat="1" applyFill="1" applyBorder="1" applyAlignment="1">
      <alignment horizontal="center"/>
    </xf>
    <xf numFmtId="174" fontId="0" fillId="2" borderId="1" xfId="0" applyNumberFormat="1" applyFill="1" applyBorder="1" applyAlignment="1">
      <alignment horizontal="center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left" indent="3"/>
    </xf>
    <xf numFmtId="0" fontId="0" fillId="2" borderId="0" xfId="0" quotePrefix="1" applyFill="1" applyAlignment="1">
      <alignment horizontal="left" indent="1"/>
    </xf>
    <xf numFmtId="169" fontId="0" fillId="2" borderId="2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73" fontId="0" fillId="2" borderId="2" xfId="0" quotePrefix="1" applyNumberFormat="1" applyFill="1" applyBorder="1" applyAlignment="1">
      <alignment horizontal="center"/>
    </xf>
    <xf numFmtId="173" fontId="0" fillId="2" borderId="1" xfId="0" quotePrefix="1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7" xfId="0" quotePrefix="1" applyFill="1" applyBorder="1" applyAlignment="1">
      <alignment horizontal="left" indent="3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21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11176" y="483012"/>
          <a:ext cx="596457" cy="3874862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038816" y="483012"/>
          <a:ext cx="598746" cy="3874861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981296" y="486282"/>
          <a:ext cx="594505" cy="3881266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162219</xdr:rowOff>
    </xdr:from>
    <xdr:to>
      <xdr:col>65</xdr:col>
      <xdr:colOff>214218</xdr:colOff>
      <xdr:row>27</xdr:row>
      <xdr:rowOff>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11631" y="780057"/>
          <a:ext cx="16063848" cy="4780484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251963" y="3947100"/>
          <a:ext cx="1010358" cy="929262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46</xdr:row>
      <xdr:rowOff>161825</xdr:rowOff>
    </xdr:from>
    <xdr:to>
      <xdr:col>38</xdr:col>
      <xdr:colOff>118533</xdr:colOff>
      <xdr:row>46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0802" y="9509025"/>
          <a:ext cx="64497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46</xdr:row>
      <xdr:rowOff>177810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4284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670364" y="2964089"/>
          <a:ext cx="357815" cy="2799650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121474</xdr:colOff>
      <xdr:row>14</xdr:row>
      <xdr:rowOff>118535</xdr:rowOff>
    </xdr:from>
    <xdr:to>
      <xdr:col>38</xdr:col>
      <xdr:colOff>121474</xdr:colOff>
      <xdr:row>46</xdr:row>
      <xdr:rowOff>186267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9773474" y="2963335"/>
          <a:ext cx="0" cy="65701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16933</xdr:colOff>
      <xdr:row>14</xdr:row>
      <xdr:rowOff>104072</xdr:rowOff>
    </xdr:from>
    <xdr:to>
      <xdr:col>59</xdr:col>
      <xdr:colOff>32174</xdr:colOff>
      <xdr:row>14</xdr:row>
      <xdr:rowOff>104072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9414933" y="2948872"/>
          <a:ext cx="5603241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2282389" y="5762144"/>
          <a:ext cx="991350" cy="2160876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152007</xdr:colOff>
      <xdr:row>20</xdr:row>
      <xdr:rowOff>53529</xdr:rowOff>
    </xdr:from>
    <xdr:to>
      <xdr:col>33</xdr:col>
      <xdr:colOff>152007</xdr:colOff>
      <xdr:row>20</xdr:row>
      <xdr:rowOff>91231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8430526" y="4130072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33</xdr:col>
      <xdr:colOff>192032</xdr:colOff>
      <xdr:row>20</xdr:row>
      <xdr:rowOff>62519</xdr:rowOff>
    </xdr:from>
    <xdr:to>
      <xdr:col>36</xdr:col>
      <xdr:colOff>78568</xdr:colOff>
      <xdr:row>22</xdr:row>
      <xdr:rowOff>175199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470551" y="4139062"/>
          <a:ext cx="639128" cy="520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33</xdr:col>
      <xdr:colOff>96183</xdr:colOff>
      <xdr:row>14</xdr:row>
      <xdr:rowOff>109751</xdr:rowOff>
    </xdr:from>
    <xdr:to>
      <xdr:col>34</xdr:col>
      <xdr:colOff>146967</xdr:colOff>
      <xdr:row>20</xdr:row>
      <xdr:rowOff>55151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8402669" y="2992994"/>
          <a:ext cx="302496" cy="1181076"/>
          <a:chOff x="9589750" y="4130035"/>
          <a:chExt cx="310215" cy="1169550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130035"/>
            <a:ext cx="0" cy="61528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159909" y="4581500"/>
          <a:ext cx="224313" cy="380142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156079</xdr:colOff>
      <xdr:row>15</xdr:row>
      <xdr:rowOff>78289</xdr:rowOff>
    </xdr:from>
    <xdr:to>
      <xdr:col>29</xdr:col>
      <xdr:colOff>155835</xdr:colOff>
      <xdr:row>16</xdr:row>
      <xdr:rowOff>158475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7204007" y="3167478"/>
          <a:ext cx="251468" cy="286132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131101" y="2999125"/>
          <a:ext cx="363937" cy="988355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178288</xdr:colOff>
      <xdr:row>14</xdr:row>
      <xdr:rowOff>125079</xdr:rowOff>
    </xdr:from>
    <xdr:to>
      <xdr:col>30</xdr:col>
      <xdr:colOff>139797</xdr:colOff>
      <xdr:row>23</xdr:row>
      <xdr:rowOff>182618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6974504" y="3008322"/>
          <a:ext cx="716644" cy="1911053"/>
          <a:chOff x="7163288" y="2923783"/>
          <a:chExt cx="737620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37620" cy="1856705"/>
            <a:chOff x="7504618" y="2998008"/>
            <a:chExt cx="718997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18997" cy="1840512"/>
              <a:chOff x="7504618" y="3064121"/>
              <a:chExt cx="718997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632789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204523</xdr:colOff>
      <xdr:row>14</xdr:row>
      <xdr:rowOff>101600</xdr:rowOff>
    </xdr:from>
    <xdr:to>
      <xdr:col>64</xdr:col>
      <xdr:colOff>211744</xdr:colOff>
      <xdr:row>56</xdr:row>
      <xdr:rowOff>129170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10776415" y="2984843"/>
          <a:ext cx="5544879" cy="8677300"/>
          <a:chOff x="10872523" y="2946400"/>
          <a:chExt cx="5595221" cy="8561970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0872523" y="2946400"/>
            <a:ext cx="5595221" cy="8561970"/>
            <a:chOff x="10697638" y="3016354"/>
            <a:chExt cx="5503614" cy="8771832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0697638" y="3016354"/>
              <a:ext cx="367748" cy="8025364"/>
              <a:chOff x="12164968" y="4666198"/>
              <a:chExt cx="356562" cy="7574412"/>
            </a:xfrm>
          </xdr:grpSpPr>
          <xdr:grpSp>
            <xdr:nvGrpSpPr>
              <xdr:cNvPr id="224" name="Group 223">
                <a:extLst>
                  <a:ext uri="{FF2B5EF4-FFF2-40B4-BE49-F238E27FC236}">
                    <a16:creationId xmlns:a16="http://schemas.microsoft.com/office/drawing/2014/main" id="{00000000-0008-0000-0200-0000E0000000}"/>
                  </a:ext>
                </a:extLst>
              </xdr:cNvPr>
              <xdr:cNvGrpSpPr/>
            </xdr:nvGrpSpPr>
            <xdr:grpSpPr>
              <a:xfrm>
                <a:off x="12164968" y="4666198"/>
                <a:ext cx="356562" cy="1791197"/>
                <a:chOff x="12164968" y="4666198"/>
                <a:chExt cx="356562" cy="1791197"/>
              </a:xfrm>
            </xdr:grpSpPr>
            <xdr:sp macro="" textlink="">
              <xdr:nvSpPr>
                <xdr:cNvPr id="226" name="Shape 27">
                  <a:extLst>
                    <a:ext uri="{FF2B5EF4-FFF2-40B4-BE49-F238E27FC236}">
                      <a16:creationId xmlns:a16="http://schemas.microsoft.com/office/drawing/2014/main" id="{00000000-0008-0000-0200-0000E2000000}"/>
                    </a:ext>
                  </a:extLst>
                </xdr:cNvPr>
                <xdr:cNvSpPr/>
              </xdr:nvSpPr>
              <xdr:spPr>
                <a:xfrm>
                  <a:off x="12252333" y="614996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7" name="Shape 27">
                  <a:extLst>
                    <a:ext uri="{FF2B5EF4-FFF2-40B4-BE49-F238E27FC236}">
                      <a16:creationId xmlns:a16="http://schemas.microsoft.com/office/drawing/2014/main" id="{00000000-0008-0000-0200-0000E3000000}"/>
                    </a:ext>
                  </a:extLst>
                </xdr:cNvPr>
                <xdr:cNvSpPr/>
              </xdr:nvSpPr>
              <xdr:spPr>
                <a:xfrm>
                  <a:off x="12246608" y="635770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8" name="Shape 26">
                  <a:extLst>
                    <a:ext uri="{FF2B5EF4-FFF2-40B4-BE49-F238E27FC236}">
                      <a16:creationId xmlns:a16="http://schemas.microsoft.com/office/drawing/2014/main" id="{00000000-0008-0000-0200-0000E4000000}"/>
                    </a:ext>
                  </a:extLst>
                </xdr:cNvPr>
                <xdr:cNvSpPr/>
              </xdr:nvSpPr>
              <xdr:spPr>
                <a:xfrm flipH="1">
                  <a:off x="12308831" y="6182455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229" name="Straight Connector 228">
                  <a:extLst>
                    <a:ext uri="{FF2B5EF4-FFF2-40B4-BE49-F238E27FC236}">
                      <a16:creationId xmlns:a16="http://schemas.microsoft.com/office/drawing/2014/main" id="{00000000-0008-0000-0200-0000E5000000}"/>
                    </a:ext>
                  </a:extLst>
                </xdr:cNvPr>
                <xdr:cNvCxnSpPr/>
              </xdr:nvCxnSpPr>
              <xdr:spPr>
                <a:xfrm>
                  <a:off x="12295460" y="4666198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0" name="Straight Connector 229">
                  <a:extLst>
                    <a:ext uri="{FF2B5EF4-FFF2-40B4-BE49-F238E27FC236}">
                      <a16:creationId xmlns:a16="http://schemas.microsoft.com/office/drawing/2014/main" id="{00000000-0008-0000-0200-0000E6000000}"/>
                    </a:ext>
                  </a:extLst>
                </xdr:cNvPr>
                <xdr:cNvCxnSpPr/>
              </xdr:nvCxnSpPr>
              <xdr:spPr>
                <a:xfrm flipH="1">
                  <a:off x="12164968" y="4954209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2285708" y="6452192"/>
                <a:ext cx="0" cy="578841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477102" y="9810250"/>
              <a:ext cx="3724150" cy="1316966"/>
              <a:chOff x="13365392" y="9716978"/>
              <a:chExt cx="3530877" cy="1332888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365392" y="9716978"/>
                <a:ext cx="3436001" cy="1287783"/>
                <a:chOff x="8581601" y="3850532"/>
                <a:chExt cx="3525984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2016984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8581601" y="3850532"/>
                  <a:ext cx="3480683" cy="1227296"/>
                  <a:chOff x="8581601" y="3850532"/>
                  <a:chExt cx="3480683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8581601" y="5075080"/>
                    <a:ext cx="3480683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494491" y="1066418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83869" y="10637749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1686232" y="10822972"/>
              <a:ext cx="960038" cy="965214"/>
              <a:chOff x="11849447" y="11412343"/>
              <a:chExt cx="925593" cy="940997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1871277" y="11412343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1849447" y="11484486"/>
                <a:ext cx="925593" cy="868854"/>
                <a:chOff x="11908226" y="11541665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480023" y="11689420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1934052" y="11689420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154421" y="11642546"/>
                  <a:ext cx="88419" cy="76229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213579" y="11541665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1908226" y="11742384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380864" y="1163791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0990217" y="10789799"/>
            <a:ext cx="90876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220934</xdr:colOff>
      <xdr:row>16</xdr:row>
      <xdr:rowOff>86370</xdr:rowOff>
    </xdr:from>
    <xdr:to>
      <xdr:col>43</xdr:col>
      <xdr:colOff>217528</xdr:colOff>
      <xdr:row>17</xdr:row>
      <xdr:rowOff>158419</xdr:rowOff>
    </xdr:to>
    <xdr:grpSp>
      <xdr:nvGrpSpPr>
        <xdr:cNvPr id="231" name="3PInv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pSpPr/>
      </xdr:nvGrpSpPr>
      <xdr:grpSpPr>
        <a:xfrm>
          <a:off x="10792826" y="3381505"/>
          <a:ext cx="248306" cy="277995"/>
          <a:chOff x="3200401" y="7249224"/>
          <a:chExt cx="250595" cy="281901"/>
        </a:xfrm>
      </xdr:grpSpPr>
      <xdr:cxnSp macro="">
        <xdr:nvCxnSpPr>
          <xdr:cNvPr id="232" name="2P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3P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67733</xdr:colOff>
      <xdr:row>40</xdr:row>
      <xdr:rowOff>16933</xdr:rowOff>
    </xdr:from>
    <xdr:to>
      <xdr:col>64</xdr:col>
      <xdr:colOff>86875</xdr:colOff>
      <xdr:row>59</xdr:row>
      <xdr:rowOff>56380</xdr:rowOff>
    </xdr:to>
    <xdr:grpSp>
      <xdr:nvGrpSpPr>
        <xdr:cNvPr id="234" name="L1-3A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>
          <a:off x="12653319" y="8254771"/>
          <a:ext cx="3543106" cy="3952420"/>
          <a:chOff x="10560606" y="7545401"/>
          <a:chExt cx="3557203" cy="3956624"/>
        </a:xfrm>
      </xdr:grpSpPr>
      <xdr:grpSp>
        <xdr:nvGrpSpPr>
          <xdr:cNvPr id="235" name="Group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10560606" y="7545401"/>
            <a:ext cx="3557203" cy="1224927"/>
            <a:chOff x="13364535" y="9716977"/>
            <a:chExt cx="3455582" cy="1316034"/>
          </a:xfrm>
        </xdr:grpSpPr>
        <xdr:grpSp>
          <xdr:nvGrpSpPr>
            <xdr:cNvPr id="294" name="Group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297" name="Rectangle 296">
                <a:extLst>
                  <a:ext uri="{FF2B5EF4-FFF2-40B4-BE49-F238E27FC236}">
                    <a16:creationId xmlns:a16="http://schemas.microsoft.com/office/drawing/2014/main" id="{00000000-0008-0000-0200-000029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98" name="Group 297">
                <a:extLst>
                  <a:ext uri="{FF2B5EF4-FFF2-40B4-BE49-F238E27FC236}">
                    <a16:creationId xmlns:a16="http://schemas.microsoft.com/office/drawing/2014/main" id="{00000000-0008-0000-0200-00002A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299" name="Group 298">
                  <a:extLst>
                    <a:ext uri="{FF2B5EF4-FFF2-40B4-BE49-F238E27FC236}">
                      <a16:creationId xmlns:a16="http://schemas.microsoft.com/office/drawing/2014/main" id="{00000000-0008-0000-0200-00002B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04" name="Group 303">
                    <a:extLst>
                      <a:ext uri="{FF2B5EF4-FFF2-40B4-BE49-F238E27FC236}">
                        <a16:creationId xmlns:a16="http://schemas.microsoft.com/office/drawing/2014/main" id="{00000000-0008-0000-0200-000030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36" name="Shape 5">
                      <a:extLst>
                        <a:ext uri="{FF2B5EF4-FFF2-40B4-BE49-F238E27FC236}">
                          <a16:creationId xmlns:a16="http://schemas.microsoft.com/office/drawing/2014/main" id="{00000000-0008-0000-0200-000050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37" name="Shape 8">
                      <a:extLst>
                        <a:ext uri="{FF2B5EF4-FFF2-40B4-BE49-F238E27FC236}">
                          <a16:creationId xmlns:a16="http://schemas.microsoft.com/office/drawing/2014/main" id="{00000000-0008-0000-0200-000051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00000000-0008-0000-0200-000052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39" name="Shape 7">
                        <a:extLst>
                          <a:ext uri="{FF2B5EF4-FFF2-40B4-BE49-F238E27FC236}">
                            <a16:creationId xmlns:a16="http://schemas.microsoft.com/office/drawing/2014/main" id="{00000000-0008-0000-0200-00005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0" name="Group 339">
                        <a:extLst>
                          <a:ext uri="{FF2B5EF4-FFF2-40B4-BE49-F238E27FC236}">
                            <a16:creationId xmlns:a16="http://schemas.microsoft.com/office/drawing/2014/main" id="{00000000-0008-0000-0200-000054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2" name="Rectangle 341">
                          <a:extLst>
                            <a:ext uri="{FF2B5EF4-FFF2-40B4-BE49-F238E27FC236}">
                              <a16:creationId xmlns:a16="http://schemas.microsoft.com/office/drawing/2014/main" id="{00000000-0008-0000-0200-00005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43" name="Group 342">
                          <a:extLst>
                            <a:ext uri="{FF2B5EF4-FFF2-40B4-BE49-F238E27FC236}">
                              <a16:creationId xmlns:a16="http://schemas.microsoft.com/office/drawing/2014/main" id="{00000000-0008-0000-0200-000057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4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8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45" name="Rectangle 344">
                            <a:extLst>
                              <a:ext uri="{FF2B5EF4-FFF2-40B4-BE49-F238E27FC236}">
                                <a16:creationId xmlns:a16="http://schemas.microsoft.com/office/drawing/2014/main" id="{00000000-0008-0000-0200-000059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4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A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47" name="Straight Connector 346">
                            <a:extLst>
                              <a:ext uri="{FF2B5EF4-FFF2-40B4-BE49-F238E27FC236}">
                                <a16:creationId xmlns:a16="http://schemas.microsoft.com/office/drawing/2014/main" id="{00000000-0008-0000-0200-00005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48" name="Straight Connector 347">
                            <a:extLst>
                              <a:ext uri="{FF2B5EF4-FFF2-40B4-BE49-F238E27FC236}">
                                <a16:creationId xmlns:a16="http://schemas.microsoft.com/office/drawing/2014/main" id="{00000000-0008-0000-0200-00005C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1" name="Shape 6">
                        <a:extLst>
                          <a:ext uri="{FF2B5EF4-FFF2-40B4-BE49-F238E27FC236}">
                            <a16:creationId xmlns:a16="http://schemas.microsoft.com/office/drawing/2014/main" id="{00000000-0008-0000-0200-00005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5" name="Group 304">
                    <a:extLst>
                      <a:ext uri="{FF2B5EF4-FFF2-40B4-BE49-F238E27FC236}">
                        <a16:creationId xmlns:a16="http://schemas.microsoft.com/office/drawing/2014/main" id="{00000000-0008-0000-0200-000031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23" name="Shape 5">
                      <a:extLst>
                        <a:ext uri="{FF2B5EF4-FFF2-40B4-BE49-F238E27FC236}">
                          <a16:creationId xmlns:a16="http://schemas.microsoft.com/office/drawing/2014/main" id="{00000000-0008-0000-0200-00004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4" name="Shape 8">
                      <a:extLst>
                        <a:ext uri="{FF2B5EF4-FFF2-40B4-BE49-F238E27FC236}">
                          <a16:creationId xmlns:a16="http://schemas.microsoft.com/office/drawing/2014/main" id="{00000000-0008-0000-0200-00004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25" name="Group 324">
                      <a:extLst>
                        <a:ext uri="{FF2B5EF4-FFF2-40B4-BE49-F238E27FC236}">
                          <a16:creationId xmlns:a16="http://schemas.microsoft.com/office/drawing/2014/main" id="{00000000-0008-0000-0200-00004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26" name="Shape 7">
                        <a:extLst>
                          <a:ext uri="{FF2B5EF4-FFF2-40B4-BE49-F238E27FC236}">
                            <a16:creationId xmlns:a16="http://schemas.microsoft.com/office/drawing/2014/main" id="{00000000-0008-0000-0200-00004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27" name="Group 326">
                        <a:extLst>
                          <a:ext uri="{FF2B5EF4-FFF2-40B4-BE49-F238E27FC236}">
                            <a16:creationId xmlns:a16="http://schemas.microsoft.com/office/drawing/2014/main" id="{00000000-0008-0000-0200-00004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29" name="Rectangle 328">
                          <a:extLst>
                            <a:ext uri="{FF2B5EF4-FFF2-40B4-BE49-F238E27FC236}">
                              <a16:creationId xmlns:a16="http://schemas.microsoft.com/office/drawing/2014/main" id="{00000000-0008-0000-0200-00004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30" name="Group 329">
                          <a:extLst>
                            <a:ext uri="{FF2B5EF4-FFF2-40B4-BE49-F238E27FC236}">
                              <a16:creationId xmlns:a16="http://schemas.microsoft.com/office/drawing/2014/main" id="{00000000-0008-0000-0200-00004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3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32" name="Rectangle 331">
                            <a:extLst>
                              <a:ext uri="{FF2B5EF4-FFF2-40B4-BE49-F238E27FC236}">
                                <a16:creationId xmlns:a16="http://schemas.microsoft.com/office/drawing/2014/main" id="{00000000-0008-0000-0200-00004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34" name="Straight Connector 333">
                            <a:extLst>
                              <a:ext uri="{FF2B5EF4-FFF2-40B4-BE49-F238E27FC236}">
                                <a16:creationId xmlns:a16="http://schemas.microsoft.com/office/drawing/2014/main" id="{00000000-0008-0000-0200-00004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35" name="Straight Connector 334">
                            <a:extLst>
                              <a:ext uri="{FF2B5EF4-FFF2-40B4-BE49-F238E27FC236}">
                                <a16:creationId xmlns:a16="http://schemas.microsoft.com/office/drawing/2014/main" id="{00000000-0008-0000-0200-00004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28" name="Shape 6">
                        <a:extLst>
                          <a:ext uri="{FF2B5EF4-FFF2-40B4-BE49-F238E27FC236}">
                            <a16:creationId xmlns:a16="http://schemas.microsoft.com/office/drawing/2014/main" id="{00000000-0008-0000-0200-00004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6" name="Group 305">
                    <a:extLst>
                      <a:ext uri="{FF2B5EF4-FFF2-40B4-BE49-F238E27FC236}">
                        <a16:creationId xmlns:a16="http://schemas.microsoft.com/office/drawing/2014/main" id="{00000000-0008-0000-0200-000032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10" name="Shape 5">
                      <a:extLst>
                        <a:ext uri="{FF2B5EF4-FFF2-40B4-BE49-F238E27FC236}">
                          <a16:creationId xmlns:a16="http://schemas.microsoft.com/office/drawing/2014/main" id="{00000000-0008-0000-0200-00003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11" name="Shape 8">
                      <a:extLst>
                        <a:ext uri="{FF2B5EF4-FFF2-40B4-BE49-F238E27FC236}">
                          <a16:creationId xmlns:a16="http://schemas.microsoft.com/office/drawing/2014/main" id="{00000000-0008-0000-0200-00003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12" name="Group 311">
                      <a:extLst>
                        <a:ext uri="{FF2B5EF4-FFF2-40B4-BE49-F238E27FC236}">
                          <a16:creationId xmlns:a16="http://schemas.microsoft.com/office/drawing/2014/main" id="{00000000-0008-0000-0200-00003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13" name="Shape 7">
                        <a:extLst>
                          <a:ext uri="{FF2B5EF4-FFF2-40B4-BE49-F238E27FC236}">
                            <a16:creationId xmlns:a16="http://schemas.microsoft.com/office/drawing/2014/main" id="{00000000-0008-0000-0200-00003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14" name="Group 313">
                        <a:extLst>
                          <a:ext uri="{FF2B5EF4-FFF2-40B4-BE49-F238E27FC236}">
                            <a16:creationId xmlns:a16="http://schemas.microsoft.com/office/drawing/2014/main" id="{00000000-0008-0000-0200-00003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16" name="Rectangle 315">
                          <a:extLst>
                            <a:ext uri="{FF2B5EF4-FFF2-40B4-BE49-F238E27FC236}">
                              <a16:creationId xmlns:a16="http://schemas.microsoft.com/office/drawing/2014/main" id="{00000000-0008-0000-0200-00003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17" name="Group 316">
                          <a:extLst>
                            <a:ext uri="{FF2B5EF4-FFF2-40B4-BE49-F238E27FC236}">
                              <a16:creationId xmlns:a16="http://schemas.microsoft.com/office/drawing/2014/main" id="{00000000-0008-0000-0200-00003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1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3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19" name="Rectangle 318">
                            <a:extLst>
                              <a:ext uri="{FF2B5EF4-FFF2-40B4-BE49-F238E27FC236}">
                                <a16:creationId xmlns:a16="http://schemas.microsoft.com/office/drawing/2014/main" id="{00000000-0008-0000-0200-00003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21" name="Straight Connector 320">
                            <a:extLst>
                              <a:ext uri="{FF2B5EF4-FFF2-40B4-BE49-F238E27FC236}">
                                <a16:creationId xmlns:a16="http://schemas.microsoft.com/office/drawing/2014/main" id="{00000000-0008-0000-0200-00004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22" name="Straight Connector 321">
                            <a:extLst>
                              <a:ext uri="{FF2B5EF4-FFF2-40B4-BE49-F238E27FC236}">
                                <a16:creationId xmlns:a16="http://schemas.microsoft.com/office/drawing/2014/main" id="{00000000-0008-0000-0200-00004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15" name="Shape 6">
                        <a:extLst>
                          <a:ext uri="{FF2B5EF4-FFF2-40B4-BE49-F238E27FC236}">
                            <a16:creationId xmlns:a16="http://schemas.microsoft.com/office/drawing/2014/main" id="{00000000-0008-0000-0200-00003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07" name="Shape 27">
                    <a:extLst>
                      <a:ext uri="{FF2B5EF4-FFF2-40B4-BE49-F238E27FC236}">
                        <a16:creationId xmlns:a16="http://schemas.microsoft.com/office/drawing/2014/main" id="{00000000-0008-0000-0200-000033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8" name="Shape 27">
                    <a:extLst>
                      <a:ext uri="{FF2B5EF4-FFF2-40B4-BE49-F238E27FC236}">
                        <a16:creationId xmlns:a16="http://schemas.microsoft.com/office/drawing/2014/main" id="{00000000-0008-0000-0200-000034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9" name="Shape 27">
                    <a:extLst>
                      <a:ext uri="{FF2B5EF4-FFF2-40B4-BE49-F238E27FC236}">
                        <a16:creationId xmlns:a16="http://schemas.microsoft.com/office/drawing/2014/main" id="{00000000-0008-0000-0200-000035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00" name="Straight Connector 299">
                  <a:extLst>
                    <a:ext uri="{FF2B5EF4-FFF2-40B4-BE49-F238E27FC236}">
                      <a16:creationId xmlns:a16="http://schemas.microsoft.com/office/drawing/2014/main" id="{00000000-0008-0000-0200-00002C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1" name="Straight Connector 300">
                  <a:extLst>
                    <a:ext uri="{FF2B5EF4-FFF2-40B4-BE49-F238E27FC236}">
                      <a16:creationId xmlns:a16="http://schemas.microsoft.com/office/drawing/2014/main" id="{00000000-0008-0000-0200-00002D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2" name="Straight Connector 301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3" name="Straight Connector 302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95" name="TextBox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96" name="TextBox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 txBox="1"/>
          </xdr:nvSpPr>
          <xdr:spPr>
            <a:xfrm>
              <a:off x="16107717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236" name="Group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239" name="Group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200-0000F2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200-0000F3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244" name="Group 243">
                  <a:extLst>
                    <a:ext uri="{FF2B5EF4-FFF2-40B4-BE49-F238E27FC236}">
                      <a16:creationId xmlns:a16="http://schemas.microsoft.com/office/drawing/2014/main" id="{00000000-0008-0000-0200-0000F4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249" name="Group 248">
                    <a:extLst>
                      <a:ext uri="{FF2B5EF4-FFF2-40B4-BE49-F238E27FC236}">
                        <a16:creationId xmlns:a16="http://schemas.microsoft.com/office/drawing/2014/main" id="{00000000-0008-0000-0200-0000F9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81" name="Shape 5">
                      <a:extLst>
                        <a:ext uri="{FF2B5EF4-FFF2-40B4-BE49-F238E27FC236}">
                          <a16:creationId xmlns:a16="http://schemas.microsoft.com/office/drawing/2014/main" id="{00000000-0008-0000-0200-00001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82" name="Shape 8">
                      <a:extLst>
                        <a:ext uri="{FF2B5EF4-FFF2-40B4-BE49-F238E27FC236}">
                          <a16:creationId xmlns:a16="http://schemas.microsoft.com/office/drawing/2014/main" id="{00000000-0008-0000-0200-00001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3" name="Group 282">
                      <a:extLst>
                        <a:ext uri="{FF2B5EF4-FFF2-40B4-BE49-F238E27FC236}">
                          <a16:creationId xmlns:a16="http://schemas.microsoft.com/office/drawing/2014/main" id="{00000000-0008-0000-0200-00001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84" name="Shape 7">
                        <a:extLst>
                          <a:ext uri="{FF2B5EF4-FFF2-40B4-BE49-F238E27FC236}">
                            <a16:creationId xmlns:a16="http://schemas.microsoft.com/office/drawing/2014/main" id="{00000000-0008-0000-0200-00001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85" name="Group 284">
                        <a:extLst>
                          <a:ext uri="{FF2B5EF4-FFF2-40B4-BE49-F238E27FC236}">
                            <a16:creationId xmlns:a16="http://schemas.microsoft.com/office/drawing/2014/main" id="{00000000-0008-0000-0200-00001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87" name="Rectangle 286">
                          <a:extLst>
                            <a:ext uri="{FF2B5EF4-FFF2-40B4-BE49-F238E27FC236}">
                              <a16:creationId xmlns:a16="http://schemas.microsoft.com/office/drawing/2014/main" id="{00000000-0008-0000-0200-00001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88" name="Group 287">
                          <a:extLst>
                            <a:ext uri="{FF2B5EF4-FFF2-40B4-BE49-F238E27FC236}">
                              <a16:creationId xmlns:a16="http://schemas.microsoft.com/office/drawing/2014/main" id="{00000000-0008-0000-0200-00002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8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90" name="Rectangle 289">
                            <a:extLst>
                              <a:ext uri="{FF2B5EF4-FFF2-40B4-BE49-F238E27FC236}">
                                <a16:creationId xmlns:a16="http://schemas.microsoft.com/office/drawing/2014/main" id="{00000000-0008-0000-0200-00002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92" name="Straight Connector 291">
                            <a:extLst>
                              <a:ext uri="{FF2B5EF4-FFF2-40B4-BE49-F238E27FC236}">
                                <a16:creationId xmlns:a16="http://schemas.microsoft.com/office/drawing/2014/main" id="{00000000-0008-0000-0200-00002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93" name="Straight Connector 292">
                            <a:extLst>
                              <a:ext uri="{FF2B5EF4-FFF2-40B4-BE49-F238E27FC236}">
                                <a16:creationId xmlns:a16="http://schemas.microsoft.com/office/drawing/2014/main" id="{00000000-0008-0000-0200-00002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86" name="Shape 6">
                        <a:extLst>
                          <a:ext uri="{FF2B5EF4-FFF2-40B4-BE49-F238E27FC236}">
                            <a16:creationId xmlns:a16="http://schemas.microsoft.com/office/drawing/2014/main" id="{00000000-0008-0000-0200-00001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0" name="Group 249">
                    <a:extLst>
                      <a:ext uri="{FF2B5EF4-FFF2-40B4-BE49-F238E27FC236}">
                        <a16:creationId xmlns:a16="http://schemas.microsoft.com/office/drawing/2014/main" id="{00000000-0008-0000-0200-0000FA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68" name="Shape 5">
                      <a:extLst>
                        <a:ext uri="{FF2B5EF4-FFF2-40B4-BE49-F238E27FC236}">
                          <a16:creationId xmlns:a16="http://schemas.microsoft.com/office/drawing/2014/main" id="{00000000-0008-0000-0200-00000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69" name="Shape 8">
                      <a:extLst>
                        <a:ext uri="{FF2B5EF4-FFF2-40B4-BE49-F238E27FC236}">
                          <a16:creationId xmlns:a16="http://schemas.microsoft.com/office/drawing/2014/main" id="{00000000-0008-0000-0200-00000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0" name="Group 269">
                      <a:extLst>
                        <a:ext uri="{FF2B5EF4-FFF2-40B4-BE49-F238E27FC236}">
                          <a16:creationId xmlns:a16="http://schemas.microsoft.com/office/drawing/2014/main" id="{00000000-0008-0000-0200-00000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1" name="Shape 7">
                        <a:extLst>
                          <a:ext uri="{FF2B5EF4-FFF2-40B4-BE49-F238E27FC236}">
                            <a16:creationId xmlns:a16="http://schemas.microsoft.com/office/drawing/2014/main" id="{00000000-0008-0000-0200-00000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72" name="Group 271">
                        <a:extLst>
                          <a:ext uri="{FF2B5EF4-FFF2-40B4-BE49-F238E27FC236}">
                            <a16:creationId xmlns:a16="http://schemas.microsoft.com/office/drawing/2014/main" id="{00000000-0008-0000-0200-00001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74" name="Rectangle 273">
                          <a:extLst>
                            <a:ext uri="{FF2B5EF4-FFF2-40B4-BE49-F238E27FC236}">
                              <a16:creationId xmlns:a16="http://schemas.microsoft.com/office/drawing/2014/main" id="{00000000-0008-0000-0200-00001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75" name="Group 274">
                          <a:extLst>
                            <a:ext uri="{FF2B5EF4-FFF2-40B4-BE49-F238E27FC236}">
                              <a16:creationId xmlns:a16="http://schemas.microsoft.com/office/drawing/2014/main" id="{00000000-0008-0000-0200-00001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7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77" name="Rectangle 276">
                            <a:extLst>
                              <a:ext uri="{FF2B5EF4-FFF2-40B4-BE49-F238E27FC236}">
                                <a16:creationId xmlns:a16="http://schemas.microsoft.com/office/drawing/2014/main" id="{00000000-0008-0000-0200-00001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2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2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73" name="Shape 6">
                        <a:extLst>
                          <a:ext uri="{FF2B5EF4-FFF2-40B4-BE49-F238E27FC236}">
                            <a16:creationId xmlns:a16="http://schemas.microsoft.com/office/drawing/2014/main" id="{00000000-0008-0000-0200-00001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200-0000FB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55" name="Shape 5">
                      <a:extLst>
                        <a:ext uri="{FF2B5EF4-FFF2-40B4-BE49-F238E27FC236}">
                          <a16:creationId xmlns:a16="http://schemas.microsoft.com/office/drawing/2014/main" id="{00000000-0008-0000-0200-0000FF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6" name="Shape 8">
                      <a:extLst>
                        <a:ext uri="{FF2B5EF4-FFF2-40B4-BE49-F238E27FC236}">
                          <a16:creationId xmlns:a16="http://schemas.microsoft.com/office/drawing/2014/main" id="{00000000-0008-0000-0200-00000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57" name="Group 256">
                      <a:extLst>
                        <a:ext uri="{FF2B5EF4-FFF2-40B4-BE49-F238E27FC236}">
                          <a16:creationId xmlns:a16="http://schemas.microsoft.com/office/drawing/2014/main" id="{00000000-0008-0000-0200-00000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58" name="Shape 7">
                        <a:extLst>
                          <a:ext uri="{FF2B5EF4-FFF2-40B4-BE49-F238E27FC236}">
                            <a16:creationId xmlns:a16="http://schemas.microsoft.com/office/drawing/2014/main" id="{00000000-0008-0000-0200-00000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59" name="Group 258">
                        <a:extLst>
                          <a:ext uri="{FF2B5EF4-FFF2-40B4-BE49-F238E27FC236}">
                            <a16:creationId xmlns:a16="http://schemas.microsoft.com/office/drawing/2014/main" id="{00000000-0008-0000-0200-00000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61" name="Rectangle 260">
                          <a:extLst>
                            <a:ext uri="{FF2B5EF4-FFF2-40B4-BE49-F238E27FC236}">
                              <a16:creationId xmlns:a16="http://schemas.microsoft.com/office/drawing/2014/main" id="{00000000-0008-0000-02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62" name="Group 261">
                          <a:extLst>
                            <a:ext uri="{FF2B5EF4-FFF2-40B4-BE49-F238E27FC236}">
                              <a16:creationId xmlns:a16="http://schemas.microsoft.com/office/drawing/2014/main" id="{00000000-0008-0000-0200-00000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6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64" name="Rectangle 263">
                            <a:extLst>
                              <a:ext uri="{FF2B5EF4-FFF2-40B4-BE49-F238E27FC236}">
                                <a16:creationId xmlns:a16="http://schemas.microsoft.com/office/drawing/2014/main" id="{00000000-0008-0000-0200-00000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66" name="Straight Connector 265">
                            <a:extLst>
                              <a:ext uri="{FF2B5EF4-FFF2-40B4-BE49-F238E27FC236}">
                                <a16:creationId xmlns:a16="http://schemas.microsoft.com/office/drawing/2014/main" id="{00000000-0008-0000-0200-00000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7" name="Straight Connector 266">
                            <a:extLst>
                              <a:ext uri="{FF2B5EF4-FFF2-40B4-BE49-F238E27FC236}">
                                <a16:creationId xmlns:a16="http://schemas.microsoft.com/office/drawing/2014/main" id="{00000000-0008-0000-0200-00000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60" name="Shape 6">
                        <a:extLst>
                          <a:ext uri="{FF2B5EF4-FFF2-40B4-BE49-F238E27FC236}">
                            <a16:creationId xmlns:a16="http://schemas.microsoft.com/office/drawing/2014/main" id="{00000000-0008-0000-0200-00000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252" name="Shape 27">
                    <a:extLst>
                      <a:ext uri="{FF2B5EF4-FFF2-40B4-BE49-F238E27FC236}">
                        <a16:creationId xmlns:a16="http://schemas.microsoft.com/office/drawing/2014/main" id="{00000000-0008-0000-0200-0000FC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3" name="Shape 27">
                    <a:extLst>
                      <a:ext uri="{FF2B5EF4-FFF2-40B4-BE49-F238E27FC236}">
                        <a16:creationId xmlns:a16="http://schemas.microsoft.com/office/drawing/2014/main" id="{00000000-0008-0000-0200-0000FD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4" name="Shape 27">
                    <a:extLst>
                      <a:ext uri="{FF2B5EF4-FFF2-40B4-BE49-F238E27FC236}">
                        <a16:creationId xmlns:a16="http://schemas.microsoft.com/office/drawing/2014/main" id="{00000000-0008-0000-0200-0000FE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5" name="Straight Connector 244">
                  <a:extLst>
                    <a:ext uri="{FF2B5EF4-FFF2-40B4-BE49-F238E27FC236}">
                      <a16:creationId xmlns:a16="http://schemas.microsoft.com/office/drawing/2014/main" id="{00000000-0008-0000-0200-0000F5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6" name="Straight Connector 245">
                  <a:extLst>
                    <a:ext uri="{FF2B5EF4-FFF2-40B4-BE49-F238E27FC236}">
                      <a16:creationId xmlns:a16="http://schemas.microsoft.com/office/drawing/2014/main" id="{00000000-0008-0000-0200-0000F6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7" name="Straight Connector 246">
                  <a:extLst>
                    <a:ext uri="{FF2B5EF4-FFF2-40B4-BE49-F238E27FC236}">
                      <a16:creationId xmlns:a16="http://schemas.microsoft.com/office/drawing/2014/main" id="{00000000-0008-0000-0200-0000F7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8" name="Straight Connector 247">
                  <a:extLst>
                    <a:ext uri="{FF2B5EF4-FFF2-40B4-BE49-F238E27FC236}">
                      <a16:creationId xmlns:a16="http://schemas.microsoft.com/office/drawing/2014/main" id="{00000000-0008-0000-0200-0000F8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40" name="TextBox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41" name="TextBox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Connector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132080</xdr:colOff>
      <xdr:row>39</xdr:row>
      <xdr:rowOff>162559</xdr:rowOff>
    </xdr:from>
    <xdr:to>
      <xdr:col>65</xdr:col>
      <xdr:colOff>128638</xdr:colOff>
      <xdr:row>59</xdr:row>
      <xdr:rowOff>201630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12832080" y="8087359"/>
          <a:ext cx="3806558" cy="410307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64</xdr:col>
      <xdr:colOff>185756</xdr:colOff>
      <xdr:row>59</xdr:row>
      <xdr:rowOff>139994</xdr:rowOff>
    </xdr:from>
    <xdr:to>
      <xdr:col>66</xdr:col>
      <xdr:colOff>85630</xdr:colOff>
      <xdr:row>61</xdr:row>
      <xdr:rowOff>133125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6295306" y="12290805"/>
          <a:ext cx="403297" cy="405023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46</xdr:row>
      <xdr:rowOff>63500</xdr:rowOff>
    </xdr:from>
    <xdr:to>
      <xdr:col>23</xdr:col>
      <xdr:colOff>165100</xdr:colOff>
      <xdr:row>47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847681" y="94107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81882</xdr:colOff>
      <xdr:row>46</xdr:row>
      <xdr:rowOff>63500</xdr:rowOff>
    </xdr:from>
    <xdr:to>
      <xdr:col>24</xdr:col>
      <xdr:colOff>0</xdr:colOff>
      <xdr:row>47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923882" y="94107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172802</xdr:colOff>
      <xdr:row>46</xdr:row>
      <xdr:rowOff>73314</xdr:rowOff>
    </xdr:from>
    <xdr:to>
      <xdr:col>24</xdr:col>
      <xdr:colOff>90920</xdr:colOff>
      <xdr:row>47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6014802" y="94205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396" name="3PGate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GrpSpPr/>
      </xdr:nvGrpSpPr>
      <xdr:grpSpPr>
        <a:xfrm>
          <a:off x="5324801" y="8025755"/>
          <a:ext cx="260750" cy="213712"/>
          <a:chOff x="5324801" y="8025755"/>
          <a:chExt cx="260750" cy="213712"/>
        </a:xfrm>
      </xdr:grpSpPr>
      <xdr:cxnSp macro="">
        <xdr:nvCxnSpPr>
          <xdr:cNvPr id="363" name="2P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CxnSpPr/>
        </xdr:nvCxnSpPr>
        <xdr:spPr>
          <a:xfrm flipH="1">
            <a:off x="5324801" y="8025755"/>
            <a:ext cx="174894" cy="19920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2P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CxnSpPr/>
        </xdr:nvCxnSpPr>
        <xdr:spPr>
          <a:xfrm flipH="1">
            <a:off x="5415721" y="8040259"/>
            <a:ext cx="169830" cy="19920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236387</xdr:colOff>
      <xdr:row>36</xdr:row>
      <xdr:rowOff>21783</xdr:rowOff>
    </xdr:from>
    <xdr:to>
      <xdr:col>42</xdr:col>
      <xdr:colOff>246225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7" y="7336983"/>
          <a:ext cx="6359838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204109</xdr:colOff>
      <xdr:row>35</xdr:row>
      <xdr:rowOff>60713</xdr:rowOff>
    </xdr:from>
    <xdr:to>
      <xdr:col>44</xdr:col>
      <xdr:colOff>32398</xdr:colOff>
      <xdr:row>36</xdr:row>
      <xdr:rowOff>27288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GrpSpPr/>
      </xdr:nvGrpSpPr>
      <xdr:grpSpPr>
        <a:xfrm>
          <a:off x="10776001" y="7268821"/>
          <a:ext cx="331712" cy="172521"/>
          <a:chOff x="10817680" y="7023878"/>
          <a:chExt cx="333698" cy="170683"/>
        </a:xfrm>
      </xdr:grpSpPr>
      <xdr:cxnSp macro="">
        <xdr:nvCxnSpPr>
          <xdr:cNvPr id="367" name="Straight Connector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Straight Connector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0" name="Straight Connector 369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126475</xdr:colOff>
      <xdr:row>34</xdr:row>
      <xdr:rowOff>154277</xdr:rowOff>
    </xdr:from>
    <xdr:to>
      <xdr:col>43</xdr:col>
      <xdr:colOff>128243</xdr:colOff>
      <xdr:row>36</xdr:row>
      <xdr:rowOff>120224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286475" y="7063077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25</xdr:col>
      <xdr:colOff>75259</xdr:colOff>
      <xdr:row>14</xdr:row>
      <xdr:rowOff>105834</xdr:rowOff>
    </xdr:from>
    <xdr:to>
      <xdr:col>37</xdr:col>
      <xdr:colOff>117592</xdr:colOff>
      <xdr:row>34</xdr:row>
      <xdr:rowOff>188149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6368052" y="2989077"/>
          <a:ext cx="3062873" cy="4201234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82" name="Group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90" name="Group 389">
                <a:extLst>
                  <a:ext uri="{FF2B5EF4-FFF2-40B4-BE49-F238E27FC236}">
                    <a16:creationId xmlns:a16="http://schemas.microsoft.com/office/drawing/2014/main" id="{00000000-0008-0000-0200-000086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92" name="Shape 5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3" name="Shape 6">
                  <a:extLst>
                    <a:ext uri="{FF2B5EF4-FFF2-40B4-BE49-F238E27FC236}">
                      <a16:creationId xmlns:a16="http://schemas.microsoft.com/office/drawing/2014/main" id="{00000000-0008-0000-0200-000089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4" name="Shape 7">
                  <a:extLst>
                    <a:ext uri="{FF2B5EF4-FFF2-40B4-BE49-F238E27FC236}">
                      <a16:creationId xmlns:a16="http://schemas.microsoft.com/office/drawing/2014/main" id="{00000000-0008-0000-0200-00008A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5" name="Shape 8">
                  <a:extLst>
                    <a:ext uri="{FF2B5EF4-FFF2-40B4-BE49-F238E27FC236}">
                      <a16:creationId xmlns:a16="http://schemas.microsoft.com/office/drawing/2014/main" id="{00000000-0008-0000-0200-00008B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91" name="Rectangle 390">
                <a:extLst>
                  <a:ext uri="{FF2B5EF4-FFF2-40B4-BE49-F238E27FC236}">
                    <a16:creationId xmlns:a16="http://schemas.microsoft.com/office/drawing/2014/main" id="{00000000-0008-0000-0200-000087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84" name="Shape 27">
                <a:extLst>
                  <a:ext uri="{FF2B5EF4-FFF2-40B4-BE49-F238E27FC236}">
                    <a16:creationId xmlns:a16="http://schemas.microsoft.com/office/drawing/2014/main" id="{00000000-0008-0000-0200-000080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5" name="Shape 27">
                <a:extLst>
                  <a:ext uri="{FF2B5EF4-FFF2-40B4-BE49-F238E27FC236}">
                    <a16:creationId xmlns:a16="http://schemas.microsoft.com/office/drawing/2014/main" id="{00000000-0008-0000-0200-000081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6" name="Shape 26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87" name="Straight Connector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>
                <a:extLst>
                  <a:ext uri="{FF2B5EF4-FFF2-40B4-BE49-F238E27FC236}">
                    <a16:creationId xmlns:a16="http://schemas.microsoft.com/office/drawing/2014/main" id="{00000000-0008-0000-0200-000084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89" name="Rectangle 388">
                <a:extLst>
                  <a:ext uri="{FF2B5EF4-FFF2-40B4-BE49-F238E27FC236}">
                    <a16:creationId xmlns:a16="http://schemas.microsoft.com/office/drawing/2014/main" id="{00000000-0008-0000-0200-000085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33</xdr:col>
      <xdr:colOff>18417</xdr:colOff>
      <xdr:row>15</xdr:row>
      <xdr:rowOff>73900</xdr:rowOff>
    </xdr:from>
    <xdr:to>
      <xdr:col>34</xdr:col>
      <xdr:colOff>18173</xdr:colOff>
      <xdr:row>16</xdr:row>
      <xdr:rowOff>154086</xdr:rowOff>
    </xdr:to>
    <xdr:grpSp>
      <xdr:nvGrpSpPr>
        <xdr:cNvPr id="397" name="3PLoads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GrpSpPr/>
      </xdr:nvGrpSpPr>
      <xdr:grpSpPr>
        <a:xfrm>
          <a:off x="8324903" y="3163089"/>
          <a:ext cx="251468" cy="286132"/>
          <a:chOff x="7844688" y="3097141"/>
          <a:chExt cx="256533" cy="281443"/>
        </a:xfrm>
      </xdr:grpSpPr>
      <xdr:cxnSp macro="">
        <xdr:nvCxnSpPr>
          <xdr:cNvPr id="398" name="Straight Connector 39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9" name="Straight Connector 398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13657</xdr:colOff>
      <xdr:row>14</xdr:row>
      <xdr:rowOff>172118</xdr:rowOff>
    </xdr:from>
    <xdr:to>
      <xdr:col>34</xdr:col>
      <xdr:colOff>13654</xdr:colOff>
      <xdr:row>15</xdr:row>
      <xdr:rowOff>152888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H="1">
          <a:off x="8292176" y="3025698"/>
          <a:ext cx="250861" cy="18459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221606"/>
          <a:ext cx="207173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3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3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3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3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3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3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3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3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162220</xdr:rowOff>
    </xdr:from>
    <xdr:to>
      <xdr:col>66</xdr:col>
      <xdr:colOff>244818</xdr:colOff>
      <xdr:row>27</xdr:row>
      <xdr:rowOff>15301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516208" y="771820"/>
          <a:ext cx="16492610" cy="4729881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pSpPr/>
      </xdr:nvGrpSpPr>
      <xdr:grpSpPr>
        <a:xfrm>
          <a:off x="14380107" y="3894927"/>
          <a:ext cx="1019511" cy="918278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61</xdr:col>
      <xdr:colOff>96630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3320802" y="12760224"/>
          <a:ext cx="1226982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3319230" y="9096581"/>
          <a:ext cx="0" cy="36674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784778" y="2925646"/>
          <a:ext cx="360104" cy="2763952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93865</xdr:colOff>
      <xdr:row>14</xdr:row>
      <xdr:rowOff>77123</xdr:rowOff>
    </xdr:from>
    <xdr:to>
      <xdr:col>61</xdr:col>
      <xdr:colOff>93865</xdr:colOff>
      <xdr:row>62</xdr:row>
      <xdr:rowOff>165653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15587865" y="292192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96630</xdr:colOff>
      <xdr:row>14</xdr:row>
      <xdr:rowOff>90267</xdr:rowOff>
    </xdr:from>
    <xdr:to>
      <xdr:col>62</xdr:col>
      <xdr:colOff>69022</xdr:colOff>
      <xdr:row>14</xdr:row>
      <xdr:rowOff>90267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12542630" y="2935067"/>
          <a:ext cx="327439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12392227" y="5688003"/>
          <a:ext cx="1000503" cy="213067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3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3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3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3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3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3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77699</xdr:colOff>
      <xdr:row>14</xdr:row>
      <xdr:rowOff>110068</xdr:rowOff>
    </xdr:from>
    <xdr:to>
      <xdr:col>35</xdr:col>
      <xdr:colOff>132054</xdr:colOff>
      <xdr:row>21</xdr:row>
      <xdr:rowOff>64194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8205699" y="2954868"/>
          <a:ext cx="816355" cy="1376526"/>
          <a:chOff x="8797753" y="2514393"/>
          <a:chExt cx="834717" cy="1346131"/>
        </a:xfrm>
      </xdr:grpSpPr>
      <xdr:sp macro="" textlink="">
        <xdr:nvSpPr>
          <xdr:cNvPr id="117" name="Shape 1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8965572" y="3354923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>
            <a:off x="8797753" y="2514393"/>
            <a:ext cx="320161" cy="1129082"/>
            <a:chOff x="9589750" y="4139008"/>
            <a:chExt cx="310215" cy="1160577"/>
          </a:xfrm>
        </xdr:grpSpPr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1" name="Shape 27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2" name="Shape 26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/>
          </xdr:nvCxnSpPr>
          <xdr:spPr>
            <a:xfrm>
              <a:off x="9642667" y="4139008"/>
              <a:ext cx="0" cy="6063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6" name="Shape 2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7" name="Shape 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8" name="3PCables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0" name="Shape 26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259245" y="2960682"/>
          <a:ext cx="366225" cy="974625"/>
          <a:chOff x="9530059" y="4275667"/>
          <a:chExt cx="369906" cy="974625"/>
        </a:xfrm>
      </xdr:grpSpPr>
      <xdr:sp macro="" textlink="">
        <xdr:nvSpPr>
          <xdr:cNvPr id="133" name="Shape 2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4" name="Shape 27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5" name="Shape 26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6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179521</xdr:colOff>
      <xdr:row>16</xdr:row>
      <xdr:rowOff>141587</xdr:rowOff>
    </xdr:from>
    <xdr:to>
      <xdr:col>25</xdr:col>
      <xdr:colOff>176114</xdr:colOff>
      <xdr:row>18</xdr:row>
      <xdr:rowOff>6571</xdr:rowOff>
    </xdr:to>
    <xdr:grpSp>
      <xdr:nvGrpSpPr>
        <xdr:cNvPr id="139" name="3PInv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6275521" y="3392787"/>
          <a:ext cx="250593" cy="271384"/>
          <a:chOff x="3200401" y="7249224"/>
          <a:chExt cx="250595" cy="281901"/>
        </a:xfrm>
      </xdr:grpSpPr>
      <xdr:cxnSp macro="">
        <xdr:nvCxnSpPr>
          <xdr:cNvPr id="140" name="2P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3P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140822</xdr:colOff>
      <xdr:row>59</xdr:row>
      <xdr:rowOff>60543</xdr:rowOff>
    </xdr:from>
    <xdr:to>
      <xdr:col>56</xdr:col>
      <xdr:colOff>40696</xdr:colOff>
      <xdr:row>61</xdr:row>
      <xdr:rowOff>53672</xdr:rowOff>
    </xdr:to>
    <xdr:grpSp>
      <xdr:nvGrpSpPr>
        <xdr:cNvPr id="142" name="Ground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13856822" y="12049343"/>
          <a:ext cx="407874" cy="399529"/>
          <a:chOff x="10160000" y="2820276"/>
          <a:chExt cx="508000" cy="401148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6" name="Straight Connector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151" name="2P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/>
      </xdr:nvCxnSpPr>
      <xdr:spPr>
        <a:xfrm flipH="1">
          <a:off x="5847681" y="12661899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152" name="2P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281" name="3PGate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GrpSpPr/>
      </xdr:nvGrpSpPr>
      <xdr:grpSpPr>
        <a:xfrm>
          <a:off x="5372855" y="7921409"/>
          <a:ext cx="263038" cy="208220"/>
          <a:chOff x="5372855" y="7921409"/>
          <a:chExt cx="263038" cy="208220"/>
        </a:xfrm>
      </xdr:grpSpPr>
      <xdr:cxnSp macro="">
        <xdr:nvCxnSpPr>
          <xdr:cNvPr id="153" name="2P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flipH="1">
            <a:off x="5372855" y="7921409"/>
            <a:ext cx="174894" cy="19646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2P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 flipH="1">
            <a:off x="5463775" y="7933167"/>
            <a:ext cx="172118" cy="19646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236388</xdr:colOff>
      <xdr:row>36</xdr:row>
      <xdr:rowOff>21783</xdr:rowOff>
    </xdr:from>
    <xdr:to>
      <xdr:col>24</xdr:col>
      <xdr:colOff>138044</xdr:colOff>
      <xdr:row>36</xdr:row>
      <xdr:rowOff>21783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4554388" y="7336983"/>
          <a:ext cx="167965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93675</xdr:colOff>
      <xdr:row>35</xdr:row>
      <xdr:rowOff>60713</xdr:rowOff>
    </xdr:from>
    <xdr:to>
      <xdr:col>25</xdr:col>
      <xdr:colOff>170441</xdr:colOff>
      <xdr:row>36</xdr:row>
      <xdr:rowOff>27288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/>
      </xdr:nvGrpSpPr>
      <xdr:grpSpPr>
        <a:xfrm>
          <a:off x="6189675" y="7172713"/>
          <a:ext cx="330766" cy="169775"/>
          <a:chOff x="10817680" y="7023878"/>
          <a:chExt cx="333698" cy="170683"/>
        </a:xfrm>
      </xdr:grpSpPr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Straight Connector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236909</xdr:colOff>
      <xdr:row>34</xdr:row>
      <xdr:rowOff>168082</xdr:rowOff>
    </xdr:from>
    <xdr:to>
      <xdr:col>23</xdr:col>
      <xdr:colOff>238677</xdr:colOff>
      <xdr:row>36</xdr:row>
      <xdr:rowOff>134029</xdr:rowOff>
    </xdr:to>
    <xdr:sp macro="" textlink="">
      <xdr:nvSpPr>
        <xdr:cNvPr id="161" name="TboxL2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53169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29</xdr:col>
      <xdr:colOff>228271</xdr:colOff>
      <xdr:row>14</xdr:row>
      <xdr:rowOff>105834</xdr:rowOff>
    </xdr:from>
    <xdr:to>
      <xdr:col>42</xdr:col>
      <xdr:colOff>10484</xdr:colOff>
      <xdr:row>34</xdr:row>
      <xdr:rowOff>188149</xdr:rowOff>
    </xdr:to>
    <xdr:grpSp>
      <xdr:nvGrpSpPr>
        <xdr:cNvPr id="162" name="ExtraArray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7594271" y="2950634"/>
          <a:ext cx="3084213" cy="4146315"/>
          <a:chOff x="2828940" y="8100298"/>
          <a:chExt cx="3087854" cy="4317755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300-0000AC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180" name="Group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182" name="Shape 5">
                  <a:extLst>
                    <a:ext uri="{FF2B5EF4-FFF2-40B4-BE49-F238E27FC236}">
                      <a16:creationId xmlns:a16="http://schemas.microsoft.com/office/drawing/2014/main" id="{00000000-0008-0000-0300-0000B600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3" name="Shape 6">
                  <a:extLst>
                    <a:ext uri="{FF2B5EF4-FFF2-40B4-BE49-F238E27FC236}">
                      <a16:creationId xmlns:a16="http://schemas.microsoft.com/office/drawing/2014/main" id="{00000000-0008-0000-0300-0000B700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4" name="Shape 7">
                  <a:extLst>
                    <a:ext uri="{FF2B5EF4-FFF2-40B4-BE49-F238E27FC236}">
                      <a16:creationId xmlns:a16="http://schemas.microsoft.com/office/drawing/2014/main" id="{00000000-0008-0000-0300-0000B800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5" name="Shape 8">
                  <a:extLst>
                    <a:ext uri="{FF2B5EF4-FFF2-40B4-BE49-F238E27FC236}">
                      <a16:creationId xmlns:a16="http://schemas.microsoft.com/office/drawing/2014/main" id="{00000000-0008-0000-0300-0000B900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81" name="Rectangle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173" name="Group 172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174" name="Shape 27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5" name="Shape 27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6" name="Shape 26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167" name="Group 166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169" name="Shape 27">
                <a:extLst>
                  <a:ext uri="{FF2B5EF4-FFF2-40B4-BE49-F238E27FC236}">
                    <a16:creationId xmlns:a16="http://schemas.microsoft.com/office/drawing/2014/main" id="{00000000-0008-0000-0300-0000A900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0" name="Shape 27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1" name="Shape 26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68" name="Straight Connector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hehe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248125</xdr:colOff>
      <xdr:row>14</xdr:row>
      <xdr:rowOff>122410</xdr:rowOff>
    </xdr:from>
    <xdr:to>
      <xdr:col>34</xdr:col>
      <xdr:colOff>138044</xdr:colOff>
      <xdr:row>54</xdr:row>
      <xdr:rowOff>150600</xdr:rowOff>
    </xdr:to>
    <xdr:grpSp>
      <xdr:nvGrpSpPr>
        <xdr:cNvPr id="186" name="ExtraArray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GrpSpPr/>
      </xdr:nvGrpSpPr>
      <xdr:grpSpPr>
        <a:xfrm>
          <a:off x="6344125" y="2967210"/>
          <a:ext cx="2429919" cy="8156190"/>
          <a:chOff x="2181664" y="3516835"/>
          <a:chExt cx="2425759" cy="8485782"/>
        </a:xfrm>
      </xdr:grpSpPr>
      <xdr:grpSp>
        <xdr:nvGrpSpPr>
          <xdr:cNvPr id="187" name="Group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2213336" y="11458291"/>
            <a:ext cx="2394087" cy="544326"/>
            <a:chOff x="5760354" y="6917765"/>
            <a:chExt cx="2334284" cy="545353"/>
          </a:xfrm>
        </xdr:grpSpPr>
        <xdr:sp macro="" textlink="">
          <xdr:nvSpPr>
            <xdr:cNvPr id="195" name="Shape 27">
              <a:extLst>
                <a:ext uri="{FF2B5EF4-FFF2-40B4-BE49-F238E27FC236}">
                  <a16:creationId xmlns:a16="http://schemas.microsoft.com/office/drawing/2014/main" id="{00000000-0008-0000-0300-0000C3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6" name="Shape 27">
              <a:extLst>
                <a:ext uri="{FF2B5EF4-FFF2-40B4-BE49-F238E27FC236}">
                  <a16:creationId xmlns:a16="http://schemas.microsoft.com/office/drawing/2014/main" id="{00000000-0008-0000-0300-0000C4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7" name="Shape 26">
              <a:extLst>
                <a:ext uri="{FF2B5EF4-FFF2-40B4-BE49-F238E27FC236}">
                  <a16:creationId xmlns:a16="http://schemas.microsoft.com/office/drawing/2014/main" id="{00000000-0008-0000-0300-0000C5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98" name="Straight Connector 197">
              <a:extLst>
                <a:ext uri="{FF2B5EF4-FFF2-40B4-BE49-F238E27FC236}">
                  <a16:creationId xmlns:a16="http://schemas.microsoft.com/office/drawing/2014/main" id="{00000000-0008-0000-0300-0000C6000000}"/>
                </a:ext>
              </a:extLst>
            </xdr:cNvPr>
            <xdr:cNvCxnSpPr/>
          </xdr:nvCxnSpPr>
          <xdr:spPr>
            <a:xfrm flipH="1">
              <a:off x="5760354" y="7270910"/>
              <a:ext cx="1413107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300-0000C7000000}"/>
                </a:ext>
              </a:extLst>
            </xdr:cNvPr>
            <xdr:cNvCxnSpPr/>
          </xdr:nvCxnSpPr>
          <xdr:spPr>
            <a:xfrm flipH="1">
              <a:off x="7625909" y="7270208"/>
              <a:ext cx="468729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300-0000C8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GrpSpPr/>
        </xdr:nvGrpSpPr>
        <xdr:grpSpPr>
          <a:xfrm>
            <a:off x="2181664" y="5135238"/>
            <a:ext cx="269223" cy="6671323"/>
            <a:chOff x="3546016" y="4635668"/>
            <a:chExt cx="275786" cy="6628739"/>
          </a:xfrm>
        </xdr:grpSpPr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300-0000BE000000}"/>
                </a:ext>
              </a:extLst>
            </xdr:cNvPr>
            <xdr:cNvGrpSpPr/>
          </xdr:nvGrpSpPr>
          <xdr:grpSpPr>
            <a:xfrm>
              <a:off x="3546016" y="4635668"/>
              <a:ext cx="275786" cy="318558"/>
              <a:chOff x="3546016" y="4635668"/>
              <a:chExt cx="275786" cy="318558"/>
            </a:xfrm>
          </xdr:grpSpPr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3546016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3546859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6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 flipH="1">
                <a:off x="360910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91" name="Straight Connector 190">
              <a:extLst>
                <a:ext uri="{FF2B5EF4-FFF2-40B4-BE49-F238E27FC236}">
                  <a16:creationId xmlns:a16="http://schemas.microsoft.com/office/drawing/2014/main" id="{00000000-0008-0000-0300-0000BF000000}"/>
                </a:ext>
              </a:extLst>
            </xdr:cNvPr>
            <xdr:cNvCxnSpPr/>
          </xdr:nvCxnSpPr>
          <xdr:spPr>
            <a:xfrm>
              <a:off x="3594658" y="4967549"/>
              <a:ext cx="0" cy="629685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>
            <a:off x="2223243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167478</xdr:colOff>
      <xdr:row>16</xdr:row>
      <xdr:rowOff>34436</xdr:rowOff>
    </xdr:from>
    <xdr:to>
      <xdr:col>25</xdr:col>
      <xdr:colOff>167972</xdr:colOff>
      <xdr:row>17</xdr:row>
      <xdr:rowOff>15803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62634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170139</xdr:colOff>
      <xdr:row>52</xdr:row>
      <xdr:rowOff>54689</xdr:rowOff>
    </xdr:from>
    <xdr:to>
      <xdr:col>52</xdr:col>
      <xdr:colOff>243061</xdr:colOff>
      <xdr:row>57</xdr:row>
      <xdr:rowOff>1584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GrpSpPr/>
      </xdr:nvGrpSpPr>
      <xdr:grpSpPr>
        <a:xfrm>
          <a:off x="10584139" y="10621089"/>
          <a:ext cx="2866922" cy="962895"/>
          <a:chOff x="6501150" y="3629024"/>
          <a:chExt cx="3912850" cy="1216296"/>
        </a:xfrm>
      </xdr:grpSpPr>
      <xdr:grpSp>
        <xdr:nvGrpSpPr>
          <xdr:cNvPr id="203" name="Group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15" name="Group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18" name="Group 217">
                <a:extLst>
                  <a:ext uri="{FF2B5EF4-FFF2-40B4-BE49-F238E27FC236}">
                    <a16:creationId xmlns:a16="http://schemas.microsoft.com/office/drawing/2014/main" id="{00000000-0008-0000-0300-0000DA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20" name="Group 219">
                  <a:extLst>
                    <a:ext uri="{FF2B5EF4-FFF2-40B4-BE49-F238E27FC236}">
                      <a16:creationId xmlns:a16="http://schemas.microsoft.com/office/drawing/2014/main" id="{00000000-0008-0000-0300-0000DC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9" name="Shape 46">
                    <a:extLst>
                      <a:ext uri="{FF2B5EF4-FFF2-40B4-BE49-F238E27FC236}">
                        <a16:creationId xmlns:a16="http://schemas.microsoft.com/office/drawing/2014/main" id="{00000000-0008-0000-0300-0000E5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0" name="Rectangle 229">
                    <a:extLst>
                      <a:ext uri="{FF2B5EF4-FFF2-40B4-BE49-F238E27FC236}">
                        <a16:creationId xmlns:a16="http://schemas.microsoft.com/office/drawing/2014/main" id="{00000000-0008-0000-0300-0000E6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31" name="Shape 46">
                    <a:extLst>
                      <a:ext uri="{FF2B5EF4-FFF2-40B4-BE49-F238E27FC236}">
                        <a16:creationId xmlns:a16="http://schemas.microsoft.com/office/drawing/2014/main" id="{00000000-0008-0000-0300-0000E7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21" name="Group 220">
                  <a:extLst>
                    <a:ext uri="{FF2B5EF4-FFF2-40B4-BE49-F238E27FC236}">
                      <a16:creationId xmlns:a16="http://schemas.microsoft.com/office/drawing/2014/main" id="{00000000-0008-0000-0300-0000DD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26" name="Shape 46">
                    <a:extLst>
                      <a:ext uri="{FF2B5EF4-FFF2-40B4-BE49-F238E27FC236}">
                        <a16:creationId xmlns:a16="http://schemas.microsoft.com/office/drawing/2014/main" id="{00000000-0008-0000-0300-0000E2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27" name="Rectangle 226">
                    <a:extLst>
                      <a:ext uri="{FF2B5EF4-FFF2-40B4-BE49-F238E27FC236}">
                        <a16:creationId xmlns:a16="http://schemas.microsoft.com/office/drawing/2014/main" id="{00000000-0008-0000-0300-0000E3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28" name="Shape 46">
                    <a:extLst>
                      <a:ext uri="{FF2B5EF4-FFF2-40B4-BE49-F238E27FC236}">
                        <a16:creationId xmlns:a16="http://schemas.microsoft.com/office/drawing/2014/main" id="{00000000-0008-0000-0300-0000E4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22" name="Shape 27">
                  <a:extLst>
                    <a:ext uri="{FF2B5EF4-FFF2-40B4-BE49-F238E27FC236}">
                      <a16:creationId xmlns:a16="http://schemas.microsoft.com/office/drawing/2014/main" id="{00000000-0008-0000-0300-0000DE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3" name="Shape 27">
                  <a:extLst>
                    <a:ext uri="{FF2B5EF4-FFF2-40B4-BE49-F238E27FC236}">
                      <a16:creationId xmlns:a16="http://schemas.microsoft.com/office/drawing/2014/main" id="{00000000-0008-0000-0300-0000DF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4" name="Shape 27">
                  <a:extLst>
                    <a:ext uri="{FF2B5EF4-FFF2-40B4-BE49-F238E27FC236}">
                      <a16:creationId xmlns:a16="http://schemas.microsoft.com/office/drawing/2014/main" id="{00000000-0008-0000-0300-0000E0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5" name="Shape 27">
                  <a:extLst>
                    <a:ext uri="{FF2B5EF4-FFF2-40B4-BE49-F238E27FC236}">
                      <a16:creationId xmlns:a16="http://schemas.microsoft.com/office/drawing/2014/main" id="{00000000-0008-0000-0300-0000E1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19" name="Elbow Connector 218">
                <a:extLst>
                  <a:ext uri="{FF2B5EF4-FFF2-40B4-BE49-F238E27FC236}">
                    <a16:creationId xmlns:a16="http://schemas.microsoft.com/office/drawing/2014/main" id="{00000000-0008-0000-0300-0000DB000000}"/>
                  </a:ext>
                </a:extLst>
              </xdr:cNvPr>
              <xdr:cNvCxnSpPr>
                <a:stCxn id="227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6" name="Elbow Connector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CxnSpPr>
              <a:stCxn id="230" idx="1"/>
              <a:endCxn id="212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4" name="Group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GrpSpPr/>
        </xdr:nvGrpSpPr>
        <xdr:grpSpPr>
          <a:xfrm>
            <a:off x="6501150" y="3663974"/>
            <a:ext cx="475949" cy="696725"/>
            <a:chOff x="8351037" y="2242252"/>
            <a:chExt cx="478200" cy="692682"/>
          </a:xfrm>
        </xdr:grpSpPr>
        <xdr:grpSp>
          <xdr:nvGrpSpPr>
            <xdr:cNvPr id="205" name="Group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07" name="Shape 9">
                <a:extLst>
                  <a:ext uri="{FF2B5EF4-FFF2-40B4-BE49-F238E27FC236}">
                    <a16:creationId xmlns:a16="http://schemas.microsoft.com/office/drawing/2014/main" id="{00000000-0008-0000-0300-0000CF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8" name="Shape 38">
                <a:extLst>
                  <a:ext uri="{FF2B5EF4-FFF2-40B4-BE49-F238E27FC236}">
                    <a16:creationId xmlns:a16="http://schemas.microsoft.com/office/drawing/2014/main" id="{00000000-0008-0000-0300-0000D0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9" name="Shape 39">
                <a:extLst>
                  <a:ext uri="{FF2B5EF4-FFF2-40B4-BE49-F238E27FC236}">
                    <a16:creationId xmlns:a16="http://schemas.microsoft.com/office/drawing/2014/main" id="{00000000-0008-0000-0300-0000D1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0" name="Shape 13">
                <a:extLst>
                  <a:ext uri="{FF2B5EF4-FFF2-40B4-BE49-F238E27FC236}">
                    <a16:creationId xmlns:a16="http://schemas.microsoft.com/office/drawing/2014/main" id="{00000000-0008-0000-0300-0000D2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1" name="Shape 37">
                <a:extLst>
                  <a:ext uri="{FF2B5EF4-FFF2-40B4-BE49-F238E27FC236}">
                    <a16:creationId xmlns:a16="http://schemas.microsoft.com/office/drawing/2014/main" id="{00000000-0008-0000-0300-0000D3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2" name="Shape 9">
                <a:extLst>
                  <a:ext uri="{FF2B5EF4-FFF2-40B4-BE49-F238E27FC236}">
                    <a16:creationId xmlns:a16="http://schemas.microsoft.com/office/drawing/2014/main" id="{00000000-0008-0000-0300-0000D4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3" name="Shape 9">
                <a:extLst>
                  <a:ext uri="{FF2B5EF4-FFF2-40B4-BE49-F238E27FC236}">
                    <a16:creationId xmlns:a16="http://schemas.microsoft.com/office/drawing/2014/main" id="{00000000-0008-0000-0300-0000D5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4" name="Shape 9">
                <a:extLst>
                  <a:ext uri="{FF2B5EF4-FFF2-40B4-BE49-F238E27FC236}">
                    <a16:creationId xmlns:a16="http://schemas.microsoft.com/office/drawing/2014/main" id="{00000000-0008-0000-0300-0000D6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06" name="Rectangle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SpPr/>
          </xdr:nvSpPr>
          <xdr:spPr>
            <a:xfrm>
              <a:off x="8351037" y="2242252"/>
              <a:ext cx="478200" cy="6926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45</xdr:col>
      <xdr:colOff>100062</xdr:colOff>
      <xdr:row>45</xdr:row>
      <xdr:rowOff>173380</xdr:rowOff>
    </xdr:from>
    <xdr:to>
      <xdr:col>52</xdr:col>
      <xdr:colOff>181107</xdr:colOff>
      <xdr:row>54</xdr:row>
      <xdr:rowOff>151873</xdr:rowOff>
    </xdr:to>
    <xdr:grpSp>
      <xdr:nvGrpSpPr>
        <xdr:cNvPr id="232" name="Parra.A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GrpSpPr/>
      </xdr:nvGrpSpPr>
      <xdr:grpSpPr>
        <a:xfrm>
          <a:off x="11530062" y="9317380"/>
          <a:ext cx="1859045" cy="1807293"/>
          <a:chOff x="12303718" y="1681200"/>
          <a:chExt cx="2567441" cy="2504534"/>
        </a:xfrm>
      </xdr:grpSpPr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300-0000EB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300-0000F0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42" name="Group 241">
                  <a:extLst>
                    <a:ext uri="{FF2B5EF4-FFF2-40B4-BE49-F238E27FC236}">
                      <a16:creationId xmlns:a16="http://schemas.microsoft.com/office/drawing/2014/main" id="{00000000-0008-0000-0300-0000F2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44" name="Group 243">
                    <a:extLst>
                      <a:ext uri="{FF2B5EF4-FFF2-40B4-BE49-F238E27FC236}">
                        <a16:creationId xmlns:a16="http://schemas.microsoft.com/office/drawing/2014/main" id="{00000000-0008-0000-0300-0000F4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53" name="Shape 46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4" name="Rectangle 253">
                      <a:extLst>
                        <a:ext uri="{FF2B5EF4-FFF2-40B4-BE49-F238E27FC236}">
                          <a16:creationId xmlns:a16="http://schemas.microsoft.com/office/drawing/2014/main" id="{00000000-0008-0000-0300-0000FE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5" name="Shape 46">
                      <a:extLst>
                        <a:ext uri="{FF2B5EF4-FFF2-40B4-BE49-F238E27FC236}">
                          <a16:creationId xmlns:a16="http://schemas.microsoft.com/office/drawing/2014/main" id="{00000000-0008-0000-0300-0000F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45" name="Group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50" name="Shape 46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1" name="Rectangle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2" name="Shape 46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46" name="Shape 27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7" name="Shape 27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8" name="Shape 2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9" name="Shape 27">
                    <a:extLst>
                      <a:ext uri="{FF2B5EF4-FFF2-40B4-BE49-F238E27FC236}">
                        <a16:creationId xmlns:a16="http://schemas.microsoft.com/office/drawing/2014/main" id="{00000000-0008-0000-0300-0000F9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3" name="Elbow Connector 242">
                  <a:extLst>
                    <a:ext uri="{FF2B5EF4-FFF2-40B4-BE49-F238E27FC236}">
                      <a16:creationId xmlns:a16="http://schemas.microsoft.com/office/drawing/2014/main" id="{00000000-0008-0000-0300-0000F3000000}"/>
                    </a:ext>
                  </a:extLst>
                </xdr:cNvPr>
                <xdr:cNvCxnSpPr>
                  <a:stCxn id="251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41" name="Straight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>
                <a:stCxn id="254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36" name="Straight Connector 235">
              <a:extLst>
                <a:ext uri="{FF2B5EF4-FFF2-40B4-BE49-F238E27FC236}">
                  <a16:creationId xmlns:a16="http://schemas.microsoft.com/office/drawing/2014/main" id="{00000000-0008-0000-0300-0000EC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Straight Connector 236">
              <a:extLst>
                <a:ext uri="{FF2B5EF4-FFF2-40B4-BE49-F238E27FC236}">
                  <a16:creationId xmlns:a16="http://schemas.microsoft.com/office/drawing/2014/main" id="{00000000-0008-0000-0300-0000ED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Shape 27">
              <a:extLst>
                <a:ext uri="{FF2B5EF4-FFF2-40B4-BE49-F238E27FC236}">
                  <a16:creationId xmlns:a16="http://schemas.microsoft.com/office/drawing/2014/main" id="{00000000-0008-0000-0300-0000EE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9" name="Shape 27">
              <a:extLst>
                <a:ext uri="{FF2B5EF4-FFF2-40B4-BE49-F238E27FC236}">
                  <a16:creationId xmlns:a16="http://schemas.microsoft.com/office/drawing/2014/main" id="{00000000-0008-0000-0300-0000EF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4" name="Straight Connector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140705</xdr:colOff>
      <xdr:row>50</xdr:row>
      <xdr:rowOff>179456</xdr:rowOff>
    </xdr:from>
    <xdr:to>
      <xdr:col>41</xdr:col>
      <xdr:colOff>220869</xdr:colOff>
      <xdr:row>56</xdr:row>
      <xdr:rowOff>105987</xdr:rowOff>
    </xdr:to>
    <xdr:grpSp>
      <xdr:nvGrpSpPr>
        <xdr:cNvPr id="256" name="Group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8776705" y="10339456"/>
          <a:ext cx="1858164" cy="1145731"/>
          <a:chOff x="10582313" y="11394591"/>
          <a:chExt cx="2816444" cy="1647175"/>
        </a:xfrm>
      </xdr:grpSpPr>
      <xdr:grpSp>
        <xdr:nvGrpSpPr>
          <xdr:cNvPr id="257" name="Group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GrpSpPr/>
        </xdr:nvGrpSpPr>
        <xdr:grpSpPr>
          <a:xfrm>
            <a:off x="10582313" y="11394591"/>
            <a:ext cx="970386" cy="1647175"/>
            <a:chOff x="5588000" y="4800600"/>
            <a:chExt cx="762000" cy="1270001"/>
          </a:xfrm>
        </xdr:grpSpPr>
        <xdr:grpSp>
          <xdr:nvGrpSpPr>
            <xdr:cNvPr id="273" name="Group 272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275" name="Shape 5">
                <a:extLst>
                  <a:ext uri="{FF2B5EF4-FFF2-40B4-BE49-F238E27FC236}">
                    <a16:creationId xmlns:a16="http://schemas.microsoft.com/office/drawing/2014/main" id="{00000000-0008-0000-0300-00001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6" name="Shape 6">
                <a:extLst>
                  <a:ext uri="{FF2B5EF4-FFF2-40B4-BE49-F238E27FC236}">
                    <a16:creationId xmlns:a16="http://schemas.microsoft.com/office/drawing/2014/main" id="{00000000-0008-0000-0300-000014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7" name="Shape 7">
                <a:extLst>
                  <a:ext uri="{FF2B5EF4-FFF2-40B4-BE49-F238E27FC236}">
                    <a16:creationId xmlns:a16="http://schemas.microsoft.com/office/drawing/2014/main" id="{00000000-0008-0000-0300-000015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8" name="Shape 8">
                <a:extLst>
                  <a:ext uri="{FF2B5EF4-FFF2-40B4-BE49-F238E27FC236}">
                    <a16:creationId xmlns:a16="http://schemas.microsoft.com/office/drawing/2014/main" id="{00000000-0008-0000-0300-000016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74" name="Rectangle 273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58" name="Group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GrpSpPr/>
        </xdr:nvGrpSpPr>
        <xdr:grpSpPr>
          <a:xfrm>
            <a:off x="11988664" y="11859924"/>
            <a:ext cx="517581" cy="743782"/>
            <a:chOff x="8312729" y="2242252"/>
            <a:chExt cx="532713" cy="699032"/>
          </a:xfrm>
        </xdr:grpSpPr>
        <xdr:grpSp>
          <xdr:nvGrpSpPr>
            <xdr:cNvPr id="263" name="Group 262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65" name="Shape 9">
                <a:extLst>
                  <a:ext uri="{FF2B5EF4-FFF2-40B4-BE49-F238E27FC236}">
                    <a16:creationId xmlns:a16="http://schemas.microsoft.com/office/drawing/2014/main" id="{00000000-0008-0000-0300-000009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6" name="Shape 38">
                <a:extLst>
                  <a:ext uri="{FF2B5EF4-FFF2-40B4-BE49-F238E27FC236}">
                    <a16:creationId xmlns:a16="http://schemas.microsoft.com/office/drawing/2014/main" id="{00000000-0008-0000-0300-00000A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7" name="Shape 39">
                <a:extLst>
                  <a:ext uri="{FF2B5EF4-FFF2-40B4-BE49-F238E27FC236}">
                    <a16:creationId xmlns:a16="http://schemas.microsoft.com/office/drawing/2014/main" id="{00000000-0008-0000-0300-00000B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8" name="Shape 13">
                <a:extLst>
                  <a:ext uri="{FF2B5EF4-FFF2-40B4-BE49-F238E27FC236}">
                    <a16:creationId xmlns:a16="http://schemas.microsoft.com/office/drawing/2014/main" id="{00000000-0008-0000-0300-00000C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9" name="Shape 37">
                <a:extLst>
                  <a:ext uri="{FF2B5EF4-FFF2-40B4-BE49-F238E27FC236}">
                    <a16:creationId xmlns:a16="http://schemas.microsoft.com/office/drawing/2014/main" id="{00000000-0008-0000-0300-00000D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0" name="Shape 9">
                <a:extLst>
                  <a:ext uri="{FF2B5EF4-FFF2-40B4-BE49-F238E27FC236}">
                    <a16:creationId xmlns:a16="http://schemas.microsoft.com/office/drawing/2014/main" id="{00000000-0008-0000-0300-00000E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1" name="Shape 9">
                <a:extLst>
                  <a:ext uri="{FF2B5EF4-FFF2-40B4-BE49-F238E27FC236}">
                    <a16:creationId xmlns:a16="http://schemas.microsoft.com/office/drawing/2014/main" id="{00000000-0008-0000-0300-00000F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2" name="Shape 9">
                <a:extLst>
                  <a:ext uri="{FF2B5EF4-FFF2-40B4-BE49-F238E27FC236}">
                    <a16:creationId xmlns:a16="http://schemas.microsoft.com/office/drawing/2014/main" id="{00000000-0008-0000-0300-000010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/>
          </xdr:nvSpPr>
          <xdr:spPr>
            <a:xfrm>
              <a:off x="8312729" y="2242252"/>
              <a:ext cx="532713" cy="69903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flipH="1">
            <a:off x="12409382" y="12246383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Straight Connector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CxnSpPr/>
        </xdr:nvCxnSpPr>
        <xdr:spPr>
          <a:xfrm flipH="1">
            <a:off x="12409740" y="12472114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Straight Connector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CxnSpPr/>
        </xdr:nvCxnSpPr>
        <xdr:spPr>
          <a:xfrm flipH="1">
            <a:off x="11537670" y="12454584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CxnSpPr/>
        </xdr:nvCxnSpPr>
        <xdr:spPr>
          <a:xfrm flipH="1">
            <a:off x="11529084" y="12247457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241371</xdr:colOff>
      <xdr:row>45</xdr:row>
      <xdr:rowOff>96630</xdr:rowOff>
    </xdr:from>
    <xdr:to>
      <xdr:col>55</xdr:col>
      <xdr:colOff>81281</xdr:colOff>
      <xdr:row>59</xdr:row>
      <xdr:rowOff>50800</xdr:rowOff>
    </xdr:to>
    <xdr:sp macro="" textlink="">
      <xdr:nvSpPr>
        <xdr:cNvPr id="279" name="Dash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/>
      </xdr:nvSpPr>
      <xdr:spPr>
        <a:xfrm>
          <a:off x="8623371" y="9240630"/>
          <a:ext cx="5427910" cy="279897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49</xdr:col>
      <xdr:colOff>137160</xdr:colOff>
      <xdr:row>20</xdr:row>
      <xdr:rowOff>55880</xdr:rowOff>
    </xdr:from>
    <xdr:to>
      <xdr:col>50</xdr:col>
      <xdr:colOff>167640</xdr:colOff>
      <xdr:row>24</xdr:row>
      <xdr:rowOff>106680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 rot="16200000">
          <a:off x="12293600" y="4409440"/>
          <a:ext cx="863600" cy="284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32</xdr:col>
      <xdr:colOff>10187</xdr:colOff>
      <xdr:row>15</xdr:row>
      <xdr:rowOff>90787</xdr:rowOff>
    </xdr:from>
    <xdr:to>
      <xdr:col>33</xdr:col>
      <xdr:colOff>6780</xdr:colOff>
      <xdr:row>16</xdr:row>
      <xdr:rowOff>158971</xdr:rowOff>
    </xdr:to>
    <xdr:grpSp>
      <xdr:nvGrpSpPr>
        <xdr:cNvPr id="282" name="3PLoads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GrpSpPr/>
      </xdr:nvGrpSpPr>
      <xdr:grpSpPr>
        <a:xfrm>
          <a:off x="8138187" y="3138787"/>
          <a:ext cx="250593" cy="271384"/>
          <a:chOff x="3200401" y="7249224"/>
          <a:chExt cx="250595" cy="281901"/>
        </a:xfrm>
      </xdr:grpSpPr>
      <xdr:cxnSp macro="">
        <xdr:nvCxnSpPr>
          <xdr:cNvPr id="283" name="2P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3P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243678</xdr:colOff>
      <xdr:row>15</xdr:row>
      <xdr:rowOff>570</xdr:rowOff>
    </xdr:from>
    <xdr:to>
      <xdr:col>32</xdr:col>
      <xdr:colOff>244172</xdr:colOff>
      <xdr:row>15</xdr:row>
      <xdr:rowOff>185137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CxnSpPr/>
      </xdr:nvCxnSpPr>
      <xdr:spPr>
        <a:xfrm flipH="1">
          <a:off x="8117678" y="3048570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4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4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4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4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4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4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4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4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4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4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4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4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4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4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4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162221</xdr:rowOff>
    </xdr:from>
    <xdr:to>
      <xdr:col>21</xdr:col>
      <xdr:colOff>226786</xdr:colOff>
      <xdr:row>27</xdr:row>
      <xdr:rowOff>192768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516208" y="771821"/>
          <a:ext cx="5044578" cy="4907347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64</xdr:col>
      <xdr:colOff>147837</xdr:colOff>
      <xdr:row>20</xdr:row>
      <xdr:rowOff>95778</xdr:rowOff>
    </xdr:from>
    <xdr:to>
      <xdr:col>68</xdr:col>
      <xdr:colOff>151348</xdr:colOff>
      <xdr:row>23</xdr:row>
      <xdr:rowOff>159929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16488504" y="4159778"/>
          <a:ext cx="1019511" cy="673751"/>
          <a:chOff x="10475279" y="4657597"/>
          <a:chExt cx="1019511" cy="673774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flipH="1">
            <a:off x="10475279" y="4676123"/>
            <a:ext cx="0" cy="292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56</xdr:col>
      <xdr:colOff>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>
          <a:off x="3320802" y="12760224"/>
          <a:ext cx="1093367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6" name="Shape 2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7" name="Shape 2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endCxn id="66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71" name="Shape 26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 flipH="1">
          <a:off x="3272883" y="4494607"/>
          <a:ext cx="224760" cy="219092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4" name="Shape 27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>
          <a:off x="3247447" y="9266651"/>
          <a:ext cx="0" cy="373704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163518</xdr:colOff>
      <xdr:row>14</xdr:row>
      <xdr:rowOff>88900</xdr:rowOff>
    </xdr:from>
    <xdr:to>
      <xdr:col>60</xdr:col>
      <xdr:colOff>15622</xdr:colOff>
      <xdr:row>27</xdr:row>
      <xdr:rowOff>165098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pSpPr/>
      </xdr:nvGrpSpPr>
      <xdr:grpSpPr>
        <a:xfrm>
          <a:off x="14980185" y="2933700"/>
          <a:ext cx="360104" cy="2717798"/>
          <a:chOff x="9530059" y="4262519"/>
          <a:chExt cx="369906" cy="2718320"/>
        </a:xfrm>
      </xdr:grpSpPr>
      <xdr:sp macro="" textlink="">
        <xdr:nvSpPr>
          <xdr:cNvPr id="84" name="Shape 27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5" name="Shape 2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6" name="Shape 26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7" name="Shape 2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>
          <a:xfrm>
            <a:off x="9634878" y="4262519"/>
            <a:ext cx="0" cy="4671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246265</xdr:colOff>
      <xdr:row>14</xdr:row>
      <xdr:rowOff>87283</xdr:rowOff>
    </xdr:from>
    <xdr:to>
      <xdr:col>55</xdr:col>
      <xdr:colOff>246265</xdr:colOff>
      <xdr:row>62</xdr:row>
      <xdr:rowOff>175813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CxnSpPr/>
      </xdr:nvCxnSpPr>
      <xdr:spPr>
        <a:xfrm>
          <a:off x="14246745" y="293208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167750</xdr:colOff>
      <xdr:row>14</xdr:row>
      <xdr:rowOff>90267</xdr:rowOff>
    </xdr:from>
    <xdr:to>
      <xdr:col>65</xdr:col>
      <xdr:colOff>147674</xdr:colOff>
      <xdr:row>14</xdr:row>
      <xdr:rowOff>90267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CxnSpPr/>
      </xdr:nvCxnSpPr>
      <xdr:spPr>
        <a:xfrm>
          <a:off x="13812866" y="2984686"/>
          <a:ext cx="274143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24967</xdr:colOff>
      <xdr:row>27</xdr:row>
      <xdr:rowOff>163503</xdr:rowOff>
    </xdr:from>
    <xdr:to>
      <xdr:col>61</xdr:col>
      <xdr:colOff>9470</xdr:colOff>
      <xdr:row>38</xdr:row>
      <xdr:rowOff>58974</xdr:rowOff>
    </xdr:to>
    <xdr:grpSp>
      <xdr:nvGrpSpPr>
        <xdr:cNvPr id="295" name="Group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GrpSpPr/>
      </xdr:nvGrpSpPr>
      <xdr:grpSpPr>
        <a:xfrm>
          <a:off x="14587634" y="5649903"/>
          <a:ext cx="1000503" cy="2130671"/>
          <a:chOff x="9331439" y="5595260"/>
          <a:chExt cx="1009223" cy="2113883"/>
        </a:xfrm>
      </xdr:grpSpPr>
      <xdr:grpSp>
        <xdr:nvGrpSpPr>
          <xdr:cNvPr id="296" name="Group 295" descr="Inverter">
            <a:extLst>
              <a:ext uri="{FF2B5EF4-FFF2-40B4-BE49-F238E27FC236}">
                <a16:creationId xmlns:a16="http://schemas.microsoft.com/office/drawing/2014/main" id="{00000000-0008-0000-0400-00002801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311" name="Group 310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317" name="Shape 5">
                <a:extLst>
                  <a:ext uri="{FF2B5EF4-FFF2-40B4-BE49-F238E27FC236}">
                    <a16:creationId xmlns:a16="http://schemas.microsoft.com/office/drawing/2014/main" id="{00000000-0008-0000-0400-00003D01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8" name="Shape 6">
                <a:extLst>
                  <a:ext uri="{FF2B5EF4-FFF2-40B4-BE49-F238E27FC236}">
                    <a16:creationId xmlns:a16="http://schemas.microsoft.com/office/drawing/2014/main" id="{00000000-0008-0000-0400-00003E01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9" name="Shape 7">
                <a:extLst>
                  <a:ext uri="{FF2B5EF4-FFF2-40B4-BE49-F238E27FC236}">
                    <a16:creationId xmlns:a16="http://schemas.microsoft.com/office/drawing/2014/main" id="{00000000-0008-0000-0400-00003F01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20" name="Shape 8">
                <a:extLst>
                  <a:ext uri="{FF2B5EF4-FFF2-40B4-BE49-F238E27FC236}">
                    <a16:creationId xmlns:a16="http://schemas.microsoft.com/office/drawing/2014/main" id="{00000000-0008-0000-0400-00004001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12" name="Rectangle 311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3" name="Rectangle 312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4" name="Rectangle 313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5" name="Rectangle 314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6" name="Rectangle 315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97" name="Group 296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303" name="Shape 9">
              <a:extLst>
                <a:ext uri="{FF2B5EF4-FFF2-40B4-BE49-F238E27FC236}">
                  <a16:creationId xmlns:a16="http://schemas.microsoft.com/office/drawing/2014/main" id="{00000000-0008-0000-0400-00002F01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4" name="Shape 38">
              <a:extLst>
                <a:ext uri="{FF2B5EF4-FFF2-40B4-BE49-F238E27FC236}">
                  <a16:creationId xmlns:a16="http://schemas.microsoft.com/office/drawing/2014/main" id="{00000000-0008-0000-0400-00003001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5" name="Shape 39">
              <a:extLst>
                <a:ext uri="{FF2B5EF4-FFF2-40B4-BE49-F238E27FC236}">
                  <a16:creationId xmlns:a16="http://schemas.microsoft.com/office/drawing/2014/main" id="{00000000-0008-0000-0400-00003101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6" name="Shape 13">
              <a:extLst>
                <a:ext uri="{FF2B5EF4-FFF2-40B4-BE49-F238E27FC236}">
                  <a16:creationId xmlns:a16="http://schemas.microsoft.com/office/drawing/2014/main" id="{00000000-0008-0000-0400-00003201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7" name="Shape 37">
              <a:extLst>
                <a:ext uri="{FF2B5EF4-FFF2-40B4-BE49-F238E27FC236}">
                  <a16:creationId xmlns:a16="http://schemas.microsoft.com/office/drawing/2014/main" id="{00000000-0008-0000-0400-000033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8" name="Shape 9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9" name="Shape 9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0" name="Shape 9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299" name="Shape 18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0" name="Shape 18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1" name="Shape 18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2" name="Shape 18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168263</xdr:colOff>
      <xdr:row>14</xdr:row>
      <xdr:rowOff>102055</xdr:rowOff>
    </xdr:from>
    <xdr:to>
      <xdr:col>36</xdr:col>
      <xdr:colOff>222617</xdr:colOff>
      <xdr:row>21</xdr:row>
      <xdr:rowOff>35770</xdr:rowOff>
    </xdr:to>
    <xdr:grpSp>
      <xdr:nvGrpSpPr>
        <xdr:cNvPr id="457" name="Group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GrpSpPr/>
      </xdr:nvGrpSpPr>
      <xdr:grpSpPr>
        <a:xfrm>
          <a:off x="8550263" y="2946855"/>
          <a:ext cx="816354" cy="1356115"/>
          <a:chOff x="8797753" y="2534345"/>
          <a:chExt cx="834716" cy="1326180"/>
        </a:xfrm>
      </xdr:grpSpPr>
      <xdr:sp macro="" textlink="">
        <xdr:nvSpPr>
          <xdr:cNvPr id="321" name="Shape 18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 txBox="1"/>
        </xdr:nvSpPr>
        <xdr:spPr>
          <a:xfrm>
            <a:off x="8965571" y="3354924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GrpSpPr/>
        </xdr:nvGrpSpPr>
        <xdr:grpSpPr>
          <a:xfrm>
            <a:off x="8797753" y="2534345"/>
            <a:ext cx="320161" cy="1109132"/>
            <a:chOff x="9589750" y="4159515"/>
            <a:chExt cx="310215" cy="1140070"/>
          </a:xfrm>
        </xdr:grpSpPr>
        <xdr:sp macro="" textlink="">
          <xdr:nvSpPr>
            <xdr:cNvPr id="328" name="Shape 27">
              <a:extLst>
                <a:ext uri="{FF2B5EF4-FFF2-40B4-BE49-F238E27FC236}">
                  <a16:creationId xmlns:a16="http://schemas.microsoft.com/office/drawing/2014/main" id="{00000000-0008-0000-0400-00004801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9" name="Shape 27">
              <a:extLst>
                <a:ext uri="{FF2B5EF4-FFF2-40B4-BE49-F238E27FC236}">
                  <a16:creationId xmlns:a16="http://schemas.microsoft.com/office/drawing/2014/main" id="{00000000-0008-0000-0400-00004901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30" name="Shape 26">
              <a:extLst>
                <a:ext uri="{FF2B5EF4-FFF2-40B4-BE49-F238E27FC236}">
                  <a16:creationId xmlns:a16="http://schemas.microsoft.com/office/drawing/2014/main" id="{00000000-0008-0000-0400-00004A01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32" name="Straight Connector 331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CxnSpPr/>
          </xdr:nvCxnSpPr>
          <xdr:spPr>
            <a:xfrm>
              <a:off x="9642667" y="4159515"/>
              <a:ext cx="0" cy="58580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335" name="Shape 27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333349" y="5162621"/>
          <a:ext cx="97377" cy="9834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336" name="Shape 27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329523" y="4939862"/>
          <a:ext cx="97377" cy="983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337" name="Shape 2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 flipH="1">
          <a:off x="3426151" y="5024269"/>
          <a:ext cx="220766" cy="175294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64" name="3PCables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324" name="Shape 26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38" name="Shape 26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CxnSpPr/>
      </xdr:nvCxnSpPr>
      <xdr:spPr>
        <a:xfrm>
          <a:off x="3392328" y="5241963"/>
          <a:ext cx="0" cy="6895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26975</xdr:colOff>
      <xdr:row>14</xdr:row>
      <xdr:rowOff>101600</xdr:rowOff>
    </xdr:from>
    <xdr:to>
      <xdr:col>65</xdr:col>
      <xdr:colOff>139200</xdr:colOff>
      <xdr:row>20</xdr:row>
      <xdr:rowOff>158327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GrpSpPr/>
      </xdr:nvGrpSpPr>
      <xdr:grpSpPr>
        <a:xfrm>
          <a:off x="16367642" y="2946400"/>
          <a:ext cx="366225" cy="1275927"/>
          <a:chOff x="9530059" y="3974365"/>
          <a:chExt cx="369906" cy="1275927"/>
        </a:xfrm>
      </xdr:grpSpPr>
      <xdr:sp macro="" textlink="">
        <xdr:nvSpPr>
          <xdr:cNvPr id="360" name="Shape 27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1" name="Shape 27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2" name="Shape 26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3" name="Shape 26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364" name="Straight Connector 363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CxnSpPr/>
        </xdr:nvCxnSpPr>
        <xdr:spPr>
          <a:xfrm>
            <a:off x="9642667" y="3974365"/>
            <a:ext cx="0" cy="77095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116021</xdr:colOff>
      <xdr:row>16</xdr:row>
      <xdr:rowOff>141587</xdr:rowOff>
    </xdr:from>
    <xdr:to>
      <xdr:col>26</xdr:col>
      <xdr:colOff>112614</xdr:colOff>
      <xdr:row>18</xdr:row>
      <xdr:rowOff>6571</xdr:rowOff>
    </xdr:to>
    <xdr:grpSp>
      <xdr:nvGrpSpPr>
        <xdr:cNvPr id="576" name="3PInv1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GrpSpPr/>
      </xdr:nvGrpSpPr>
      <xdr:grpSpPr>
        <a:xfrm>
          <a:off x="6466021" y="3392787"/>
          <a:ext cx="250593" cy="271384"/>
          <a:chOff x="3200401" y="7249224"/>
          <a:chExt cx="250595" cy="281901"/>
        </a:xfrm>
      </xdr:grpSpPr>
      <xdr:cxnSp macro="">
        <xdr:nvCxnSpPr>
          <xdr:cNvPr id="577" name="2P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3P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150982</xdr:colOff>
      <xdr:row>58</xdr:row>
      <xdr:rowOff>30063</xdr:rowOff>
    </xdr:from>
    <xdr:to>
      <xdr:col>55</xdr:col>
      <xdr:colOff>10160</xdr:colOff>
      <xdr:row>59</xdr:row>
      <xdr:rowOff>162560</xdr:rowOff>
    </xdr:to>
    <xdr:grpSp>
      <xdr:nvGrpSpPr>
        <xdr:cNvPr id="697" name="Ground1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GrpSpPr/>
      </xdr:nvGrpSpPr>
      <xdr:grpSpPr>
        <a:xfrm>
          <a:off x="13697649" y="11815663"/>
          <a:ext cx="367178" cy="335697"/>
          <a:chOff x="10160000" y="2820276"/>
          <a:chExt cx="508000" cy="401148"/>
        </a:xfrm>
      </xdr:grpSpPr>
      <xdr:grpSp>
        <xdr:nvGrpSpPr>
          <xdr:cNvPr id="698" name="Group 697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400-0000BC02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400-0000BD02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400-0000BE02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99" name="Straight Connector 698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CxnSpPr/>
      </xdr:nvCxnSpPr>
      <xdr:spPr>
        <a:xfrm>
          <a:off x="5842001" y="3067405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369" name="2P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CxnSpPr/>
      </xdr:nvCxnSpPr>
      <xdr:spPr>
        <a:xfrm flipH="1">
          <a:off x="5988452" y="12396270"/>
          <a:ext cx="159419" cy="17947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75" name="2P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/>
      </xdr:nvCxnSpPr>
      <xdr:spPr>
        <a:xfrm flipH="1">
          <a:off x="5354949" y="7847569"/>
          <a:ext cx="159419" cy="1818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76" name="2P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CxnSpPr/>
      </xdr:nvCxnSpPr>
      <xdr:spPr>
        <a:xfrm flipH="1">
          <a:off x="5431150" y="7847569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77" name="2P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/>
      </xdr:nvCxnSpPr>
      <xdr:spPr>
        <a:xfrm flipH="1">
          <a:off x="5522070" y="7857383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25</xdr:col>
      <xdr:colOff>63500</xdr:colOff>
      <xdr:row>36</xdr:row>
      <xdr:rowOff>21783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CxnSpPr/>
      </xdr:nvCxnSpPr>
      <xdr:spPr>
        <a:xfrm flipH="1">
          <a:off x="4554388" y="7336983"/>
          <a:ext cx="1859112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68275</xdr:colOff>
      <xdr:row>35</xdr:row>
      <xdr:rowOff>60713</xdr:rowOff>
    </xdr:from>
    <xdr:to>
      <xdr:col>26</xdr:col>
      <xdr:colOff>145041</xdr:colOff>
      <xdr:row>36</xdr:row>
      <xdr:rowOff>27288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GrpSpPr/>
      </xdr:nvGrpSpPr>
      <xdr:grpSpPr>
        <a:xfrm>
          <a:off x="6418275" y="7172713"/>
          <a:ext cx="330766" cy="169775"/>
          <a:chOff x="10817680" y="7023878"/>
          <a:chExt cx="333698" cy="170683"/>
        </a:xfrm>
      </xdr:grpSpPr>
      <xdr:cxnSp macro="">
        <xdr:nvCxnSpPr>
          <xdr:cNvPr id="385" name="Straight Connector 384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6" name="Straight Connector 385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Straight Connector 387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Straight Connector 388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21009</xdr:colOff>
      <xdr:row>34</xdr:row>
      <xdr:rowOff>168082</xdr:rowOff>
    </xdr:from>
    <xdr:to>
      <xdr:col>26</xdr:col>
      <xdr:colOff>22777</xdr:colOff>
      <xdr:row>36</xdr:row>
      <xdr:rowOff>134029</xdr:rowOff>
    </xdr:to>
    <xdr:sp macro="" textlink="">
      <xdr:nvSpPr>
        <xdr:cNvPr id="401" name="TboxL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8630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30</xdr:col>
      <xdr:colOff>253671</xdr:colOff>
      <xdr:row>14</xdr:row>
      <xdr:rowOff>118534</xdr:rowOff>
    </xdr:from>
    <xdr:to>
      <xdr:col>43</xdr:col>
      <xdr:colOff>35884</xdr:colOff>
      <xdr:row>34</xdr:row>
      <xdr:rowOff>200849</xdr:rowOff>
    </xdr:to>
    <xdr:grpSp>
      <xdr:nvGrpSpPr>
        <xdr:cNvPr id="372" name="ExtraArray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GrpSpPr/>
      </xdr:nvGrpSpPr>
      <xdr:grpSpPr>
        <a:xfrm>
          <a:off x="7873671" y="2963334"/>
          <a:ext cx="3168880" cy="4146315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94" name="Group 393">
              <a:extLst>
                <a:ext uri="{FF2B5EF4-FFF2-40B4-BE49-F238E27FC236}">
                  <a16:creationId xmlns:a16="http://schemas.microsoft.com/office/drawing/2014/main" id="{00000000-0008-0000-0400-00008A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403" name="Group 402">
                <a:extLst>
                  <a:ext uri="{FF2B5EF4-FFF2-40B4-BE49-F238E27FC236}">
                    <a16:creationId xmlns:a16="http://schemas.microsoft.com/office/drawing/2014/main" id="{00000000-0008-0000-0400-000093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405" name="Shape 5">
                  <a:extLst>
                    <a:ext uri="{FF2B5EF4-FFF2-40B4-BE49-F238E27FC236}">
                      <a16:creationId xmlns:a16="http://schemas.microsoft.com/office/drawing/2014/main" id="{00000000-0008-0000-0400-000095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6" name="Shape 6">
                  <a:extLst>
                    <a:ext uri="{FF2B5EF4-FFF2-40B4-BE49-F238E27FC236}">
                      <a16:creationId xmlns:a16="http://schemas.microsoft.com/office/drawing/2014/main" id="{00000000-0008-0000-0400-000096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7" name="Shape 7">
                  <a:extLst>
                    <a:ext uri="{FF2B5EF4-FFF2-40B4-BE49-F238E27FC236}">
                      <a16:creationId xmlns:a16="http://schemas.microsoft.com/office/drawing/2014/main" id="{00000000-0008-0000-0400-000097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8" name="Shape 8">
                  <a:extLst>
                    <a:ext uri="{FF2B5EF4-FFF2-40B4-BE49-F238E27FC236}">
                      <a16:creationId xmlns:a16="http://schemas.microsoft.com/office/drawing/2014/main" id="{00000000-0008-0000-0400-000098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04" name="Rectangle 403">
                <a:extLst>
                  <a:ext uri="{FF2B5EF4-FFF2-40B4-BE49-F238E27FC236}">
                    <a16:creationId xmlns:a16="http://schemas.microsoft.com/office/drawing/2014/main" id="{00000000-0008-0000-0400-000094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95" name="Group 394">
              <a:extLst>
                <a:ext uri="{FF2B5EF4-FFF2-40B4-BE49-F238E27FC236}">
                  <a16:creationId xmlns:a16="http://schemas.microsoft.com/office/drawing/2014/main" id="{00000000-0008-0000-0400-00008B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96" name="Shape 27">
                <a:extLst>
                  <a:ext uri="{FF2B5EF4-FFF2-40B4-BE49-F238E27FC236}">
                    <a16:creationId xmlns:a16="http://schemas.microsoft.com/office/drawing/2014/main" id="{00000000-0008-0000-0400-00008C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7" name="Shape 27">
                <a:extLst>
                  <a:ext uri="{FF2B5EF4-FFF2-40B4-BE49-F238E27FC236}">
                    <a16:creationId xmlns:a16="http://schemas.microsoft.com/office/drawing/2014/main" id="{00000000-0008-0000-0400-00008D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8" name="Shape 26">
                <a:extLst>
                  <a:ext uri="{FF2B5EF4-FFF2-40B4-BE49-F238E27FC236}">
                    <a16:creationId xmlns:a16="http://schemas.microsoft.com/office/drawing/2014/main" id="{00000000-0008-0000-0400-00008E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99" name="Straight Connector 398">
                <a:extLst>
                  <a:ext uri="{FF2B5EF4-FFF2-40B4-BE49-F238E27FC236}">
                    <a16:creationId xmlns:a16="http://schemas.microsoft.com/office/drawing/2014/main" id="{00000000-0008-0000-0400-00008F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0" name="Straight Connector 399">
                <a:extLst>
                  <a:ext uri="{FF2B5EF4-FFF2-40B4-BE49-F238E27FC236}">
                    <a16:creationId xmlns:a16="http://schemas.microsoft.com/office/drawing/2014/main" id="{00000000-0008-0000-0400-000090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00000000-0008-0000-0400-000092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9" name="Group 378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87" name="Group 386">
              <a:extLst>
                <a:ext uri="{FF2B5EF4-FFF2-40B4-BE49-F238E27FC236}">
                  <a16:creationId xmlns:a16="http://schemas.microsoft.com/office/drawing/2014/main" id="{00000000-0008-0000-0400-000083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91" name="Shape 27">
                <a:extLst>
                  <a:ext uri="{FF2B5EF4-FFF2-40B4-BE49-F238E27FC236}">
                    <a16:creationId xmlns:a16="http://schemas.microsoft.com/office/drawing/2014/main" id="{00000000-0008-0000-0400-000087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2" name="Shape 27">
                <a:extLst>
                  <a:ext uri="{FF2B5EF4-FFF2-40B4-BE49-F238E27FC236}">
                    <a16:creationId xmlns:a16="http://schemas.microsoft.com/office/drawing/2014/main" id="{00000000-0008-0000-0400-000088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3" name="Shape 26">
                <a:extLst>
                  <a:ext uri="{FF2B5EF4-FFF2-40B4-BE49-F238E27FC236}">
                    <a16:creationId xmlns:a16="http://schemas.microsoft.com/office/drawing/2014/main" id="{00000000-0008-0000-0400-000089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90" name="Straight Connector 389">
              <a:extLst>
                <a:ext uri="{FF2B5EF4-FFF2-40B4-BE49-F238E27FC236}">
                  <a16:creationId xmlns:a16="http://schemas.microsoft.com/office/drawing/2014/main" id="{00000000-0008-0000-0400-000086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81" name="Straight Connector 380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4" name="hehe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25</xdr:col>
      <xdr:colOff>184623</xdr:colOff>
      <xdr:row>14</xdr:row>
      <xdr:rowOff>122410</xdr:rowOff>
    </xdr:from>
    <xdr:to>
      <xdr:col>33</xdr:col>
      <xdr:colOff>113115</xdr:colOff>
      <xdr:row>52</xdr:row>
      <xdr:rowOff>68314</xdr:rowOff>
    </xdr:to>
    <xdr:grpSp>
      <xdr:nvGrpSpPr>
        <xdr:cNvPr id="409" name="ExtraArray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GrpSpPr/>
      </xdr:nvGrpSpPr>
      <xdr:grpSpPr>
        <a:xfrm>
          <a:off x="6534623" y="2967210"/>
          <a:ext cx="1960492" cy="7667504"/>
          <a:chOff x="2371806" y="3516835"/>
          <a:chExt cx="1956811" cy="7978355"/>
        </a:xfrm>
      </xdr:grpSpPr>
      <xdr:grpSp>
        <xdr:nvGrpSpPr>
          <xdr:cNvPr id="420" name="Group 419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GrpSpPr/>
        </xdr:nvGrpSpPr>
        <xdr:grpSpPr>
          <a:xfrm>
            <a:off x="2415698" y="11010818"/>
            <a:ext cx="1912919" cy="484372"/>
            <a:chOff x="5957660" y="6469460"/>
            <a:chExt cx="1865135" cy="485287"/>
          </a:xfrm>
        </xdr:grpSpPr>
        <xdr:sp macro="" textlink="">
          <xdr:nvSpPr>
            <xdr:cNvPr id="421" name="Shape 27">
              <a:extLst>
                <a:ext uri="{FF2B5EF4-FFF2-40B4-BE49-F238E27FC236}">
                  <a16:creationId xmlns:a16="http://schemas.microsoft.com/office/drawing/2014/main" id="{00000000-0008-0000-0400-0000A5010000}"/>
                </a:ext>
              </a:extLst>
            </xdr:cNvPr>
            <xdr:cNvSpPr/>
          </xdr:nvSpPr>
          <xdr:spPr>
            <a:xfrm>
              <a:off x="6975466" y="671654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2" name="Shape 27">
              <a:extLst>
                <a:ext uri="{FF2B5EF4-FFF2-40B4-BE49-F238E27FC236}">
                  <a16:creationId xmlns:a16="http://schemas.microsoft.com/office/drawing/2014/main" id="{00000000-0008-0000-0400-0000A6010000}"/>
                </a:ext>
              </a:extLst>
            </xdr:cNvPr>
            <xdr:cNvSpPr/>
          </xdr:nvSpPr>
          <xdr:spPr>
            <a:xfrm>
              <a:off x="7385664" y="6714697"/>
              <a:ext cx="80343" cy="8376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3" name="Shape 26">
              <a:extLst>
                <a:ext uri="{FF2B5EF4-FFF2-40B4-BE49-F238E27FC236}">
                  <a16:creationId xmlns:a16="http://schemas.microsoft.com/office/drawing/2014/main" id="{00000000-0008-0000-0400-0000A7010000}"/>
                </a:ext>
              </a:extLst>
            </xdr:cNvPr>
            <xdr:cNvSpPr/>
          </xdr:nvSpPr>
          <xdr:spPr>
            <a:xfrm flipH="1" flipV="1">
              <a:off x="7101962" y="6571814"/>
              <a:ext cx="295425" cy="18045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4" name="Straight Connector 423">
              <a:extLst>
                <a:ext uri="{FF2B5EF4-FFF2-40B4-BE49-F238E27FC236}">
                  <a16:creationId xmlns:a16="http://schemas.microsoft.com/office/drawing/2014/main" id="{00000000-0008-0000-0400-0000A8010000}"/>
                </a:ext>
              </a:extLst>
            </xdr:cNvPr>
            <xdr:cNvCxnSpPr/>
          </xdr:nvCxnSpPr>
          <xdr:spPr>
            <a:xfrm flipH="1">
              <a:off x="5957660" y="6762540"/>
              <a:ext cx="10180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Straight Connector 424">
              <a:extLst>
                <a:ext uri="{FF2B5EF4-FFF2-40B4-BE49-F238E27FC236}">
                  <a16:creationId xmlns:a16="http://schemas.microsoft.com/office/drawing/2014/main" id="{00000000-0008-0000-0400-0000A9010000}"/>
                </a:ext>
              </a:extLst>
            </xdr:cNvPr>
            <xdr:cNvCxnSpPr/>
          </xdr:nvCxnSpPr>
          <xdr:spPr>
            <a:xfrm flipH="1">
              <a:off x="7471920" y="6756545"/>
              <a:ext cx="35087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6" name="Rectangle 425">
              <a:extLst>
                <a:ext uri="{FF2B5EF4-FFF2-40B4-BE49-F238E27FC236}">
                  <a16:creationId xmlns:a16="http://schemas.microsoft.com/office/drawing/2014/main" id="{00000000-0008-0000-0400-0000AA010000}"/>
                </a:ext>
              </a:extLst>
            </xdr:cNvPr>
            <xdr:cNvSpPr/>
          </xdr:nvSpPr>
          <xdr:spPr>
            <a:xfrm>
              <a:off x="6866438" y="6469460"/>
              <a:ext cx="668597" cy="48528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11" name="Group 410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GrpSpPr/>
        </xdr:nvGrpSpPr>
        <xdr:grpSpPr>
          <a:xfrm>
            <a:off x="2371806" y="5135238"/>
            <a:ext cx="269229" cy="6168161"/>
            <a:chOff x="3740790" y="4635668"/>
            <a:chExt cx="275792" cy="6128789"/>
          </a:xfrm>
        </xdr:grpSpPr>
        <xdr:grpSp>
          <xdr:nvGrpSpPr>
            <xdr:cNvPr id="414" name="Group 413">
              <a:extLst>
                <a:ext uri="{FF2B5EF4-FFF2-40B4-BE49-F238E27FC236}">
                  <a16:creationId xmlns:a16="http://schemas.microsoft.com/office/drawing/2014/main" id="{00000000-0008-0000-0400-00009E010000}"/>
                </a:ext>
              </a:extLst>
            </xdr:cNvPr>
            <xdr:cNvGrpSpPr/>
          </xdr:nvGrpSpPr>
          <xdr:grpSpPr>
            <a:xfrm>
              <a:off x="3740790" y="4635668"/>
              <a:ext cx="275792" cy="318558"/>
              <a:chOff x="3740790" y="4635668"/>
              <a:chExt cx="275792" cy="318558"/>
            </a:xfrm>
          </xdr:grpSpPr>
          <xdr:sp macro="" textlink="">
            <xdr:nvSpPr>
              <xdr:cNvPr id="416" name="Shape 27">
                <a:extLst>
                  <a:ext uri="{FF2B5EF4-FFF2-40B4-BE49-F238E27FC236}">
                    <a16:creationId xmlns:a16="http://schemas.microsoft.com/office/drawing/2014/main" id="{00000000-0008-0000-0400-0000A0010000}"/>
                  </a:ext>
                </a:extLst>
              </xdr:cNvPr>
              <xdr:cNvSpPr/>
            </xdr:nvSpPr>
            <xdr:spPr>
              <a:xfrm>
                <a:off x="3740790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7" name="Shape 27">
                <a:extLst>
                  <a:ext uri="{FF2B5EF4-FFF2-40B4-BE49-F238E27FC236}">
                    <a16:creationId xmlns:a16="http://schemas.microsoft.com/office/drawing/2014/main" id="{00000000-0008-0000-0400-0000A1010000}"/>
                  </a:ext>
                </a:extLst>
              </xdr:cNvPr>
              <xdr:cNvSpPr/>
            </xdr:nvSpPr>
            <xdr:spPr>
              <a:xfrm>
                <a:off x="3741633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8" name="Shape 26">
                <a:extLst>
                  <a:ext uri="{FF2B5EF4-FFF2-40B4-BE49-F238E27FC236}">
                    <a16:creationId xmlns:a16="http://schemas.microsoft.com/office/drawing/2014/main" id="{00000000-0008-0000-0400-0000A2010000}"/>
                  </a:ext>
                </a:extLst>
              </xdr:cNvPr>
              <xdr:cNvSpPr/>
            </xdr:nvSpPr>
            <xdr:spPr>
              <a:xfrm flipH="1">
                <a:off x="380388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15" name="Straight Connector 414">
              <a:extLst>
                <a:ext uri="{FF2B5EF4-FFF2-40B4-BE49-F238E27FC236}">
                  <a16:creationId xmlns:a16="http://schemas.microsoft.com/office/drawing/2014/main" id="{00000000-0008-0000-0400-00009F010000}"/>
                </a:ext>
              </a:extLst>
            </xdr:cNvPr>
            <xdr:cNvCxnSpPr/>
          </xdr:nvCxnSpPr>
          <xdr:spPr>
            <a:xfrm>
              <a:off x="3776449" y="4967549"/>
              <a:ext cx="0" cy="579690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12" name="Straight Connector 411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CxnSpPr/>
        </xdr:nvCxnSpPr>
        <xdr:spPr>
          <a:xfrm>
            <a:off x="2400708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103978</xdr:colOff>
      <xdr:row>16</xdr:row>
      <xdr:rowOff>34436</xdr:rowOff>
    </xdr:from>
    <xdr:to>
      <xdr:col>26</xdr:col>
      <xdr:colOff>104472</xdr:colOff>
      <xdr:row>17</xdr:row>
      <xdr:rowOff>15803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CxnSpPr/>
      </xdr:nvCxnSpPr>
      <xdr:spPr>
        <a:xfrm flipH="1">
          <a:off x="64539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249780</xdr:colOff>
      <xdr:row>39</xdr:row>
      <xdr:rowOff>167316</xdr:rowOff>
    </xdr:from>
    <xdr:to>
      <xdr:col>54</xdr:col>
      <xdr:colOff>77626</xdr:colOff>
      <xdr:row>58</xdr:row>
      <xdr:rowOff>55556</xdr:rowOff>
    </xdr:to>
    <xdr:sp macro="" textlink="">
      <xdr:nvSpPr>
        <xdr:cNvPr id="289" name="Dash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377780" y="8092116"/>
          <a:ext cx="5446326" cy="374904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120202</xdr:colOff>
      <xdr:row>46</xdr:row>
      <xdr:rowOff>132080</xdr:rowOff>
    </xdr:from>
    <xdr:to>
      <xdr:col>41</xdr:col>
      <xdr:colOff>196518</xdr:colOff>
      <xdr:row>55</xdr:row>
      <xdr:rowOff>82548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GrpSpPr/>
      </xdr:nvGrpSpPr>
      <xdr:grpSpPr>
        <a:xfrm>
          <a:off x="8502202" y="9479280"/>
          <a:ext cx="2159116" cy="1779268"/>
          <a:chOff x="8419329" y="6896468"/>
          <a:chExt cx="2600452" cy="2754628"/>
        </a:xfrm>
      </xdr:grpSpPr>
      <xdr:grpSp>
        <xdr:nvGrpSpPr>
          <xdr:cNvPr id="293" name="Group 292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GrpSpPr/>
        </xdr:nvGrpSpPr>
        <xdr:grpSpPr>
          <a:xfrm>
            <a:off x="8419329" y="6896468"/>
            <a:ext cx="996893" cy="2754628"/>
            <a:chOff x="5588000" y="4800600"/>
            <a:chExt cx="762000" cy="1270001"/>
          </a:xfrm>
        </xdr:grpSpPr>
        <xdr:grpSp>
          <xdr:nvGrpSpPr>
            <xdr:cNvPr id="410" name="Group 409">
              <a:extLst>
                <a:ext uri="{FF2B5EF4-FFF2-40B4-BE49-F238E27FC236}">
                  <a16:creationId xmlns:a16="http://schemas.microsoft.com/office/drawing/2014/main" id="{00000000-0008-0000-0400-00009A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419" name="Shape 5">
                <a:extLst>
                  <a:ext uri="{FF2B5EF4-FFF2-40B4-BE49-F238E27FC236}">
                    <a16:creationId xmlns:a16="http://schemas.microsoft.com/office/drawing/2014/main" id="{00000000-0008-0000-0400-0000A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7" name="Shape 6">
                <a:extLst>
                  <a:ext uri="{FF2B5EF4-FFF2-40B4-BE49-F238E27FC236}">
                    <a16:creationId xmlns:a16="http://schemas.microsoft.com/office/drawing/2014/main" id="{00000000-0008-0000-0400-0000AB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8" name="Shape 7">
                <a:extLst>
                  <a:ext uri="{FF2B5EF4-FFF2-40B4-BE49-F238E27FC236}">
                    <a16:creationId xmlns:a16="http://schemas.microsoft.com/office/drawing/2014/main" id="{00000000-0008-0000-0400-0000AC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9" name="Shape 8">
                <a:extLst>
                  <a:ext uri="{FF2B5EF4-FFF2-40B4-BE49-F238E27FC236}">
                    <a16:creationId xmlns:a16="http://schemas.microsoft.com/office/drawing/2014/main" id="{00000000-0008-0000-0400-0000AD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400-00009D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323" name="Group 322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GrpSpPr/>
        </xdr:nvGrpSpPr>
        <xdr:grpSpPr>
          <a:xfrm>
            <a:off x="9884485" y="6912966"/>
            <a:ext cx="521438" cy="839837"/>
            <a:chOff x="8312729" y="2242252"/>
            <a:chExt cx="516507" cy="808182"/>
          </a:xfrm>
        </xdr:grpSpPr>
        <xdr:grpSp>
          <xdr:nvGrpSpPr>
            <xdr:cNvPr id="355" name="Group 354">
              <a:extLst>
                <a:ext uri="{FF2B5EF4-FFF2-40B4-BE49-F238E27FC236}">
                  <a16:creationId xmlns:a16="http://schemas.microsoft.com/office/drawing/2014/main" id="{00000000-0008-0000-0400-000063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57" name="Shape 9">
                <a:extLst>
                  <a:ext uri="{FF2B5EF4-FFF2-40B4-BE49-F238E27FC236}">
                    <a16:creationId xmlns:a16="http://schemas.microsoft.com/office/drawing/2014/main" id="{00000000-0008-0000-0400-000065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8" name="Shape 38">
                <a:extLst>
                  <a:ext uri="{FF2B5EF4-FFF2-40B4-BE49-F238E27FC236}">
                    <a16:creationId xmlns:a16="http://schemas.microsoft.com/office/drawing/2014/main" id="{00000000-0008-0000-0400-000066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6" name="Shape 39">
                <a:extLst>
                  <a:ext uri="{FF2B5EF4-FFF2-40B4-BE49-F238E27FC236}">
                    <a16:creationId xmlns:a16="http://schemas.microsoft.com/office/drawing/2014/main" id="{00000000-0008-0000-0400-00006E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7" name="Shape 13">
                <a:extLst>
                  <a:ext uri="{FF2B5EF4-FFF2-40B4-BE49-F238E27FC236}">
                    <a16:creationId xmlns:a16="http://schemas.microsoft.com/office/drawing/2014/main" id="{00000000-0008-0000-0400-00006F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8" name="Shape 37">
                <a:extLst>
                  <a:ext uri="{FF2B5EF4-FFF2-40B4-BE49-F238E27FC236}">
                    <a16:creationId xmlns:a16="http://schemas.microsoft.com/office/drawing/2014/main" id="{00000000-0008-0000-0400-000070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0" name="Shape 9">
                <a:extLst>
                  <a:ext uri="{FF2B5EF4-FFF2-40B4-BE49-F238E27FC236}">
                    <a16:creationId xmlns:a16="http://schemas.microsoft.com/office/drawing/2014/main" id="{00000000-0008-0000-0400-000072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1" name="Shape 9">
                <a:extLst>
                  <a:ext uri="{FF2B5EF4-FFF2-40B4-BE49-F238E27FC236}">
                    <a16:creationId xmlns:a16="http://schemas.microsoft.com/office/drawing/2014/main" id="{00000000-0008-0000-0400-000073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4" name="Shape 9">
                <a:extLst>
                  <a:ext uri="{FF2B5EF4-FFF2-40B4-BE49-F238E27FC236}">
                    <a16:creationId xmlns:a16="http://schemas.microsoft.com/office/drawing/2014/main" id="{00000000-0008-0000-0400-000076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56" name="Rectangle 355">
              <a:extLst>
                <a:ext uri="{FF2B5EF4-FFF2-40B4-BE49-F238E27FC236}">
                  <a16:creationId xmlns:a16="http://schemas.microsoft.com/office/drawing/2014/main" id="{00000000-0008-0000-0400-000064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25" name="Straight Connector 324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CxnSpPr/>
        </xdr:nvCxnSpPr>
        <xdr:spPr>
          <a:xfrm flipH="1">
            <a:off x="10318691" y="7289385"/>
            <a:ext cx="646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CxnSpPr/>
        </xdr:nvCxnSpPr>
        <xdr:spPr>
          <a:xfrm flipH="1">
            <a:off x="10319049" y="7510096"/>
            <a:ext cx="65846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1" name="Straight Connector 330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CxnSpPr/>
        </xdr:nvCxnSpPr>
        <xdr:spPr>
          <a:xfrm flipH="1">
            <a:off x="9413893" y="7492565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4" name="Straight Connector 333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CxnSpPr/>
        </xdr:nvCxnSpPr>
        <xdr:spPr>
          <a:xfrm flipH="1">
            <a:off x="9405307" y="7290460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40" name="Group 339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GrpSpPr/>
        </xdr:nvGrpSpPr>
        <xdr:grpSpPr>
          <a:xfrm>
            <a:off x="9902730" y="8722441"/>
            <a:ext cx="521438" cy="837332"/>
            <a:chOff x="8312729" y="2242252"/>
            <a:chExt cx="516507" cy="808182"/>
          </a:xfrm>
        </xdr:grpSpPr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47" name="Shape 9">
                <a:extLst>
                  <a:ext uri="{FF2B5EF4-FFF2-40B4-BE49-F238E27FC236}">
                    <a16:creationId xmlns:a16="http://schemas.microsoft.com/office/drawing/2014/main" id="{00000000-0008-0000-0400-00005B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8" name="Shape 38">
                <a:extLst>
                  <a:ext uri="{FF2B5EF4-FFF2-40B4-BE49-F238E27FC236}">
                    <a16:creationId xmlns:a16="http://schemas.microsoft.com/office/drawing/2014/main" id="{00000000-0008-0000-0400-00005C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9" name="Shape 39">
                <a:extLst>
                  <a:ext uri="{FF2B5EF4-FFF2-40B4-BE49-F238E27FC236}">
                    <a16:creationId xmlns:a16="http://schemas.microsoft.com/office/drawing/2014/main" id="{00000000-0008-0000-0400-00005D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0" name="Shape 13">
                <a:extLst>
                  <a:ext uri="{FF2B5EF4-FFF2-40B4-BE49-F238E27FC236}">
                    <a16:creationId xmlns:a16="http://schemas.microsoft.com/office/drawing/2014/main" id="{00000000-0008-0000-0400-00005E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1" name="Shape 37">
                <a:extLst>
                  <a:ext uri="{FF2B5EF4-FFF2-40B4-BE49-F238E27FC236}">
                    <a16:creationId xmlns:a16="http://schemas.microsoft.com/office/drawing/2014/main" id="{00000000-0008-0000-0400-00005F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2" name="Shape 9">
                <a:extLst>
                  <a:ext uri="{FF2B5EF4-FFF2-40B4-BE49-F238E27FC236}">
                    <a16:creationId xmlns:a16="http://schemas.microsoft.com/office/drawing/2014/main" id="{00000000-0008-0000-0400-000060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3" name="Shape 9">
                <a:extLst>
                  <a:ext uri="{FF2B5EF4-FFF2-40B4-BE49-F238E27FC236}">
                    <a16:creationId xmlns:a16="http://schemas.microsoft.com/office/drawing/2014/main" id="{00000000-0008-0000-0400-000061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4" name="Shape 9">
                <a:extLst>
                  <a:ext uri="{FF2B5EF4-FFF2-40B4-BE49-F238E27FC236}">
                    <a16:creationId xmlns:a16="http://schemas.microsoft.com/office/drawing/2014/main" id="{00000000-0008-0000-0400-000062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46" name="Rectangle 345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41" name="Straight Connector 340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CxnSpPr/>
        </xdr:nvCxnSpPr>
        <xdr:spPr>
          <a:xfrm flipH="1">
            <a:off x="9417197" y="9316981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2" name="Straight Connector 341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CxnSpPr/>
        </xdr:nvCxnSpPr>
        <xdr:spPr>
          <a:xfrm flipH="1">
            <a:off x="9423552" y="9100669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3" name="Straight Connector 342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CxnSpPr/>
        </xdr:nvCxnSpPr>
        <xdr:spPr>
          <a:xfrm flipH="1">
            <a:off x="10334080" y="9303134"/>
            <a:ext cx="68570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4" name="Straight Connector 343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CxnSpPr/>
        </xdr:nvCxnSpPr>
        <xdr:spPr>
          <a:xfrm flipH="1">
            <a:off x="10343024" y="9101029"/>
            <a:ext cx="6599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113304</xdr:colOff>
      <xdr:row>52</xdr:row>
      <xdr:rowOff>85255</xdr:rowOff>
    </xdr:from>
    <xdr:to>
      <xdr:col>42</xdr:col>
      <xdr:colOff>198986</xdr:colOff>
      <xdr:row>55</xdr:row>
      <xdr:rowOff>45261</xdr:rowOff>
    </xdr:to>
    <xdr:grpSp>
      <xdr:nvGrpSpPr>
        <xdr:cNvPr id="430" name="Group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GrpSpPr/>
      </xdr:nvGrpSpPr>
      <xdr:grpSpPr>
        <a:xfrm>
          <a:off x="10578104" y="10651655"/>
          <a:ext cx="373549" cy="569606"/>
          <a:chOff x="8312729" y="2242252"/>
          <a:chExt cx="516507" cy="808182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433" name="Shape 9">
              <a:extLst>
                <a:ext uri="{FF2B5EF4-FFF2-40B4-BE49-F238E27FC236}">
                  <a16:creationId xmlns:a16="http://schemas.microsoft.com/office/drawing/2014/main" id="{00000000-0008-0000-0400-0000B101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5" name="Shape 38">
              <a:extLst>
                <a:ext uri="{FF2B5EF4-FFF2-40B4-BE49-F238E27FC236}">
                  <a16:creationId xmlns:a16="http://schemas.microsoft.com/office/drawing/2014/main" id="{00000000-0008-0000-0400-0000B301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6" name="Shape 39">
              <a:extLst>
                <a:ext uri="{FF2B5EF4-FFF2-40B4-BE49-F238E27FC236}">
                  <a16:creationId xmlns:a16="http://schemas.microsoft.com/office/drawing/2014/main" id="{00000000-0008-0000-0400-0000B401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7" name="Shape 13">
              <a:extLst>
                <a:ext uri="{FF2B5EF4-FFF2-40B4-BE49-F238E27FC236}">
                  <a16:creationId xmlns:a16="http://schemas.microsoft.com/office/drawing/2014/main" id="{00000000-0008-0000-0400-0000B501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8" name="Shape 37">
              <a:extLst>
                <a:ext uri="{FF2B5EF4-FFF2-40B4-BE49-F238E27FC236}">
                  <a16:creationId xmlns:a16="http://schemas.microsoft.com/office/drawing/2014/main" id="{00000000-0008-0000-0400-0000B6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9" name="Shape 9">
              <a:extLst>
                <a:ext uri="{FF2B5EF4-FFF2-40B4-BE49-F238E27FC236}">
                  <a16:creationId xmlns:a16="http://schemas.microsoft.com/office/drawing/2014/main" id="{00000000-0008-0000-0400-0000B701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0" name="Shape 9">
              <a:extLst>
                <a:ext uri="{FF2B5EF4-FFF2-40B4-BE49-F238E27FC236}">
                  <a16:creationId xmlns:a16="http://schemas.microsoft.com/office/drawing/2014/main" id="{00000000-0008-0000-0400-0000B8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1" name="Shape 9">
              <a:extLst>
                <a:ext uri="{FF2B5EF4-FFF2-40B4-BE49-F238E27FC236}">
                  <a16:creationId xmlns:a16="http://schemas.microsoft.com/office/drawing/2014/main" id="{00000000-0008-0000-0400-0000B9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432" name="Rectangle 431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111837</xdr:colOff>
      <xdr:row>52</xdr:row>
      <xdr:rowOff>60961</xdr:rowOff>
    </xdr:from>
    <xdr:to>
      <xdr:col>52</xdr:col>
      <xdr:colOff>30788</xdr:colOff>
      <xdr:row>57</xdr:row>
      <xdr:rowOff>24829</xdr:rowOff>
    </xdr:to>
    <xdr:grpSp>
      <xdr:nvGrpSpPr>
        <xdr:cNvPr id="442" name="Group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GrpSpPr/>
      </xdr:nvGrpSpPr>
      <xdr:grpSpPr>
        <a:xfrm>
          <a:off x="10864504" y="10627361"/>
          <a:ext cx="2458951" cy="979868"/>
          <a:chOff x="6865001" y="3624645"/>
          <a:chExt cx="3603023" cy="1387858"/>
        </a:xfrm>
      </xdr:grpSpPr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GrpSpPr/>
        </xdr:nvGrpSpPr>
        <xdr:grpSpPr>
          <a:xfrm>
            <a:off x="8637589" y="3624645"/>
            <a:ext cx="1830435" cy="1387858"/>
            <a:chOff x="8637589" y="3624645"/>
            <a:chExt cx="1830435" cy="1387858"/>
          </a:xfrm>
        </xdr:grpSpPr>
        <xdr:grpSp>
          <xdr:nvGrpSpPr>
            <xdr:cNvPr id="446" name="Group 445">
              <a:extLst>
                <a:ext uri="{FF2B5EF4-FFF2-40B4-BE49-F238E27FC236}">
                  <a16:creationId xmlns:a16="http://schemas.microsoft.com/office/drawing/2014/main" id="{00000000-0008-0000-0400-0000BE01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453" name="Group 452">
                <a:extLst>
                  <a:ext uri="{FF2B5EF4-FFF2-40B4-BE49-F238E27FC236}">
                    <a16:creationId xmlns:a16="http://schemas.microsoft.com/office/drawing/2014/main" id="{00000000-0008-0000-0400-0000C501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463" name="Shape 46">
                  <a:extLst>
                    <a:ext uri="{FF2B5EF4-FFF2-40B4-BE49-F238E27FC236}">
                      <a16:creationId xmlns:a16="http://schemas.microsoft.com/office/drawing/2014/main" id="{00000000-0008-0000-0400-0000CF01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4" name="Rectangle 463">
                  <a:extLst>
                    <a:ext uri="{FF2B5EF4-FFF2-40B4-BE49-F238E27FC236}">
                      <a16:creationId xmlns:a16="http://schemas.microsoft.com/office/drawing/2014/main" id="{00000000-0008-0000-0400-0000D001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5" name="Shape 46">
                  <a:extLst>
                    <a:ext uri="{FF2B5EF4-FFF2-40B4-BE49-F238E27FC236}">
                      <a16:creationId xmlns:a16="http://schemas.microsoft.com/office/drawing/2014/main" id="{00000000-0008-0000-0400-0000D101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454" name="Group 453">
                <a:extLst>
                  <a:ext uri="{FF2B5EF4-FFF2-40B4-BE49-F238E27FC236}">
                    <a16:creationId xmlns:a16="http://schemas.microsoft.com/office/drawing/2014/main" id="{00000000-0008-0000-0400-0000C601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460" name="Shape 46">
                  <a:extLst>
                    <a:ext uri="{FF2B5EF4-FFF2-40B4-BE49-F238E27FC236}">
                      <a16:creationId xmlns:a16="http://schemas.microsoft.com/office/drawing/2014/main" id="{00000000-0008-0000-0400-0000CC01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1" name="Rectangle 460">
                  <a:extLst>
                    <a:ext uri="{FF2B5EF4-FFF2-40B4-BE49-F238E27FC236}">
                      <a16:creationId xmlns:a16="http://schemas.microsoft.com/office/drawing/2014/main" id="{00000000-0008-0000-0400-0000CD01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2" name="Shape 46">
                  <a:extLst>
                    <a:ext uri="{FF2B5EF4-FFF2-40B4-BE49-F238E27FC236}">
                      <a16:creationId xmlns:a16="http://schemas.microsoft.com/office/drawing/2014/main" id="{00000000-0008-0000-0400-0000CE01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55" name="Shape 27">
                <a:extLst>
                  <a:ext uri="{FF2B5EF4-FFF2-40B4-BE49-F238E27FC236}">
                    <a16:creationId xmlns:a16="http://schemas.microsoft.com/office/drawing/2014/main" id="{00000000-0008-0000-0400-0000C701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6" name="Shape 27">
                <a:extLst>
                  <a:ext uri="{FF2B5EF4-FFF2-40B4-BE49-F238E27FC236}">
                    <a16:creationId xmlns:a16="http://schemas.microsoft.com/office/drawing/2014/main" id="{00000000-0008-0000-0400-0000C801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8" name="Shape 27">
                <a:extLst>
                  <a:ext uri="{FF2B5EF4-FFF2-40B4-BE49-F238E27FC236}">
                    <a16:creationId xmlns:a16="http://schemas.microsoft.com/office/drawing/2014/main" id="{00000000-0008-0000-0400-0000CA01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9" name="Shape 27">
                <a:extLst>
                  <a:ext uri="{FF2B5EF4-FFF2-40B4-BE49-F238E27FC236}">
                    <a16:creationId xmlns:a16="http://schemas.microsoft.com/office/drawing/2014/main" id="{00000000-0008-0000-0400-0000CB01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47" name="Elbow Connector 446">
              <a:extLst>
                <a:ext uri="{FF2B5EF4-FFF2-40B4-BE49-F238E27FC236}">
                  <a16:creationId xmlns:a16="http://schemas.microsoft.com/office/drawing/2014/main" id="{00000000-0008-0000-0400-0000BF010000}"/>
                </a:ext>
              </a:extLst>
            </xdr:cNvPr>
            <xdr:cNvCxnSpPr>
              <a:stCxn id="461" idx="3"/>
            </xdr:cNvCxnSpPr>
          </xdr:nvCxnSpPr>
          <xdr:spPr>
            <a:xfrm>
              <a:off x="10162347" y="4031581"/>
              <a:ext cx="305677" cy="980922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44" name="Elbow Connector 443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CxnSpPr>
            <a:stCxn id="441" idx="0"/>
          </xdr:cNvCxnSpPr>
        </xdr:nvCxnSpPr>
        <xdr:spPr>
          <a:xfrm>
            <a:off x="6865001" y="4226960"/>
            <a:ext cx="3553380" cy="756162"/>
          </a:xfrm>
          <a:prstGeom prst="bentConnector3">
            <a:avLst>
              <a:gd name="adj1" fmla="val 423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CxnSpPr>
            <a:cxnSpLocks/>
            <a:stCxn id="464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64720</xdr:colOff>
      <xdr:row>46</xdr:row>
      <xdr:rowOff>91439</xdr:rowOff>
    </xdr:from>
    <xdr:to>
      <xdr:col>51</xdr:col>
      <xdr:colOff>250913</xdr:colOff>
      <xdr:row>50</xdr:row>
      <xdr:rowOff>191452</xdr:rowOff>
    </xdr:to>
    <xdr:grpSp>
      <xdr:nvGrpSpPr>
        <xdr:cNvPr id="466" name="Group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GrpSpPr/>
      </xdr:nvGrpSpPr>
      <xdr:grpSpPr>
        <a:xfrm>
          <a:off x="10529520" y="9438639"/>
          <a:ext cx="2760060" cy="912813"/>
          <a:chOff x="6463027" y="3629024"/>
          <a:chExt cx="3950973" cy="1216296"/>
        </a:xfrm>
      </xdr:grpSpPr>
      <xdr:grpSp>
        <xdr:nvGrpSpPr>
          <xdr:cNvPr id="468" name="Group 467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480" name="Group 479">
              <a:extLst>
                <a:ext uri="{FF2B5EF4-FFF2-40B4-BE49-F238E27FC236}">
                  <a16:creationId xmlns:a16="http://schemas.microsoft.com/office/drawing/2014/main" id="{00000000-0008-0000-0400-0000E001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483" name="Group 482">
                <a:extLst>
                  <a:ext uri="{FF2B5EF4-FFF2-40B4-BE49-F238E27FC236}">
                    <a16:creationId xmlns:a16="http://schemas.microsoft.com/office/drawing/2014/main" id="{00000000-0008-0000-0400-0000E3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485" name="Group 484">
                  <a:extLst>
                    <a:ext uri="{FF2B5EF4-FFF2-40B4-BE49-F238E27FC236}">
                      <a16:creationId xmlns:a16="http://schemas.microsoft.com/office/drawing/2014/main" id="{00000000-0008-0000-0400-0000E5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494" name="Shape 46">
                    <a:extLst>
                      <a:ext uri="{FF2B5EF4-FFF2-40B4-BE49-F238E27FC236}">
                        <a16:creationId xmlns:a16="http://schemas.microsoft.com/office/drawing/2014/main" id="{00000000-0008-0000-0400-0000E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5" name="Rectangle 494">
                    <a:extLst>
                      <a:ext uri="{FF2B5EF4-FFF2-40B4-BE49-F238E27FC236}">
                        <a16:creationId xmlns:a16="http://schemas.microsoft.com/office/drawing/2014/main" id="{00000000-0008-0000-0400-0000EF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6" name="Shape 46">
                    <a:extLst>
                      <a:ext uri="{FF2B5EF4-FFF2-40B4-BE49-F238E27FC236}">
                        <a16:creationId xmlns:a16="http://schemas.microsoft.com/office/drawing/2014/main" id="{00000000-0008-0000-0400-0000F0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486" name="Group 485">
                  <a:extLst>
                    <a:ext uri="{FF2B5EF4-FFF2-40B4-BE49-F238E27FC236}">
                      <a16:creationId xmlns:a16="http://schemas.microsoft.com/office/drawing/2014/main" id="{00000000-0008-0000-0400-0000E6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491" name="Shape 46">
                    <a:extLst>
                      <a:ext uri="{FF2B5EF4-FFF2-40B4-BE49-F238E27FC236}">
                        <a16:creationId xmlns:a16="http://schemas.microsoft.com/office/drawing/2014/main" id="{00000000-0008-0000-0400-0000E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2" name="Rectangle 491">
                    <a:extLst>
                      <a:ext uri="{FF2B5EF4-FFF2-40B4-BE49-F238E27FC236}">
                        <a16:creationId xmlns:a16="http://schemas.microsoft.com/office/drawing/2014/main" id="{00000000-0008-0000-0400-0000E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3" name="Shape 46">
                    <a:extLst>
                      <a:ext uri="{FF2B5EF4-FFF2-40B4-BE49-F238E27FC236}">
                        <a16:creationId xmlns:a16="http://schemas.microsoft.com/office/drawing/2014/main" id="{00000000-0008-0000-0400-0000E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487" name="Shape 27">
                  <a:extLst>
                    <a:ext uri="{FF2B5EF4-FFF2-40B4-BE49-F238E27FC236}">
                      <a16:creationId xmlns:a16="http://schemas.microsoft.com/office/drawing/2014/main" id="{00000000-0008-0000-0400-0000E7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8" name="Shape 27">
                  <a:extLst>
                    <a:ext uri="{FF2B5EF4-FFF2-40B4-BE49-F238E27FC236}">
                      <a16:creationId xmlns:a16="http://schemas.microsoft.com/office/drawing/2014/main" id="{00000000-0008-0000-0400-0000E8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9" name="Shape 27">
                  <a:extLst>
                    <a:ext uri="{FF2B5EF4-FFF2-40B4-BE49-F238E27FC236}">
                      <a16:creationId xmlns:a16="http://schemas.microsoft.com/office/drawing/2014/main" id="{00000000-0008-0000-0400-0000E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90" name="Shape 27">
                  <a:extLst>
                    <a:ext uri="{FF2B5EF4-FFF2-40B4-BE49-F238E27FC236}">
                      <a16:creationId xmlns:a16="http://schemas.microsoft.com/office/drawing/2014/main" id="{00000000-0008-0000-0400-0000E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84" name="Elbow Connector 483">
                <a:extLst>
                  <a:ext uri="{FF2B5EF4-FFF2-40B4-BE49-F238E27FC236}">
                    <a16:creationId xmlns:a16="http://schemas.microsoft.com/office/drawing/2014/main" id="{00000000-0008-0000-0400-0000E4010000}"/>
                  </a:ext>
                </a:extLst>
              </xdr:cNvPr>
              <xdr:cNvCxnSpPr>
                <a:stCxn id="492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81" name="Elbow Connector 480">
              <a:extLst>
                <a:ext uri="{FF2B5EF4-FFF2-40B4-BE49-F238E27FC236}">
                  <a16:creationId xmlns:a16="http://schemas.microsoft.com/office/drawing/2014/main" id="{00000000-0008-0000-0400-0000E101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2" name="Straight Connector 481">
              <a:extLst>
                <a:ext uri="{FF2B5EF4-FFF2-40B4-BE49-F238E27FC236}">
                  <a16:creationId xmlns:a16="http://schemas.microsoft.com/office/drawing/2014/main" id="{00000000-0008-0000-0400-0000E2010000}"/>
                </a:ext>
              </a:extLst>
            </xdr:cNvPr>
            <xdr:cNvCxnSpPr>
              <a:stCxn id="495" idx="1"/>
              <a:endCxn id="477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470" name="Group 469">
              <a:extLst>
                <a:ext uri="{FF2B5EF4-FFF2-40B4-BE49-F238E27FC236}">
                  <a16:creationId xmlns:a16="http://schemas.microsoft.com/office/drawing/2014/main" id="{00000000-0008-0000-0400-0000D6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472" name="Shape 9">
                <a:extLst>
                  <a:ext uri="{FF2B5EF4-FFF2-40B4-BE49-F238E27FC236}">
                    <a16:creationId xmlns:a16="http://schemas.microsoft.com/office/drawing/2014/main" id="{00000000-0008-0000-0400-0000D8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3" name="Shape 38">
                <a:extLst>
                  <a:ext uri="{FF2B5EF4-FFF2-40B4-BE49-F238E27FC236}">
                    <a16:creationId xmlns:a16="http://schemas.microsoft.com/office/drawing/2014/main" id="{00000000-0008-0000-0400-0000D9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4" name="Shape 39">
                <a:extLst>
                  <a:ext uri="{FF2B5EF4-FFF2-40B4-BE49-F238E27FC236}">
                    <a16:creationId xmlns:a16="http://schemas.microsoft.com/office/drawing/2014/main" id="{00000000-0008-0000-0400-0000DA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5" name="Shape 13">
                <a:extLst>
                  <a:ext uri="{FF2B5EF4-FFF2-40B4-BE49-F238E27FC236}">
                    <a16:creationId xmlns:a16="http://schemas.microsoft.com/office/drawing/2014/main" id="{00000000-0008-0000-0400-0000DB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6" name="Shape 37">
                <a:extLst>
                  <a:ext uri="{FF2B5EF4-FFF2-40B4-BE49-F238E27FC236}">
                    <a16:creationId xmlns:a16="http://schemas.microsoft.com/office/drawing/2014/main" id="{00000000-0008-0000-0400-0000DC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7" name="Shape 9">
                <a:extLst>
                  <a:ext uri="{FF2B5EF4-FFF2-40B4-BE49-F238E27FC236}">
                    <a16:creationId xmlns:a16="http://schemas.microsoft.com/office/drawing/2014/main" id="{00000000-0008-0000-0400-0000DD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8" name="Shape 9">
                <a:extLst>
                  <a:ext uri="{FF2B5EF4-FFF2-40B4-BE49-F238E27FC236}">
                    <a16:creationId xmlns:a16="http://schemas.microsoft.com/office/drawing/2014/main" id="{00000000-0008-0000-0400-0000DE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9" name="Shape 9">
                <a:extLst>
                  <a:ext uri="{FF2B5EF4-FFF2-40B4-BE49-F238E27FC236}">
                    <a16:creationId xmlns:a16="http://schemas.microsoft.com/office/drawing/2014/main" id="{00000000-0008-0000-0400-0000DF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400-0000D7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44</xdr:col>
      <xdr:colOff>216255</xdr:colOff>
      <xdr:row>40</xdr:row>
      <xdr:rowOff>91440</xdr:rowOff>
    </xdr:from>
    <xdr:to>
      <xdr:col>52</xdr:col>
      <xdr:colOff>46146</xdr:colOff>
      <xdr:row>48</xdr:row>
      <xdr:rowOff>166857</xdr:rowOff>
    </xdr:to>
    <xdr:grpSp>
      <xdr:nvGrpSpPr>
        <xdr:cNvPr id="497" name="Parra.A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GrpSpPr/>
      </xdr:nvGrpSpPr>
      <xdr:grpSpPr>
        <a:xfrm>
          <a:off x="11476922" y="8219440"/>
          <a:ext cx="1861891" cy="1701017"/>
          <a:chOff x="12083808" y="1681201"/>
          <a:chExt cx="2800369" cy="2508138"/>
        </a:xfrm>
      </xdr:grpSpPr>
      <xdr:grpSp>
        <xdr:nvGrpSpPr>
          <xdr:cNvPr id="498" name="Group 497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GrpSpPr/>
        </xdr:nvGrpSpPr>
        <xdr:grpSpPr>
          <a:xfrm>
            <a:off x="12083808" y="1681201"/>
            <a:ext cx="2800369" cy="2508138"/>
            <a:chOff x="8135888" y="6041149"/>
            <a:chExt cx="2800382" cy="2340562"/>
          </a:xfrm>
        </xdr:grpSpPr>
        <xdr:grpSp>
          <xdr:nvGrpSpPr>
            <xdr:cNvPr id="500" name="Group 499">
              <a:extLst>
                <a:ext uri="{FF2B5EF4-FFF2-40B4-BE49-F238E27FC236}">
                  <a16:creationId xmlns:a16="http://schemas.microsoft.com/office/drawing/2014/main" id="{00000000-0008-0000-0400-0000F4010000}"/>
                </a:ext>
              </a:extLst>
            </xdr:cNvPr>
            <xdr:cNvGrpSpPr/>
          </xdr:nvGrpSpPr>
          <xdr:grpSpPr>
            <a:xfrm>
              <a:off x="8162425" y="6041149"/>
              <a:ext cx="2773845" cy="1263099"/>
              <a:chOff x="7655301" y="3624645"/>
              <a:chExt cx="2773845" cy="1263099"/>
            </a:xfrm>
          </xdr:grpSpPr>
          <xdr:grpSp>
            <xdr:nvGrpSpPr>
              <xdr:cNvPr id="505" name="Group 504">
                <a:extLst>
                  <a:ext uri="{FF2B5EF4-FFF2-40B4-BE49-F238E27FC236}">
                    <a16:creationId xmlns:a16="http://schemas.microsoft.com/office/drawing/2014/main" id="{00000000-0008-0000-0400-0000F9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91557" cy="1263099"/>
                <a:chOff x="8637589" y="3624645"/>
                <a:chExt cx="1791557" cy="1263099"/>
              </a:xfrm>
            </xdr:grpSpPr>
            <xdr:grpSp>
              <xdr:nvGrpSpPr>
                <xdr:cNvPr id="507" name="Group 506">
                  <a:extLst>
                    <a:ext uri="{FF2B5EF4-FFF2-40B4-BE49-F238E27FC236}">
                      <a16:creationId xmlns:a16="http://schemas.microsoft.com/office/drawing/2014/main" id="{00000000-0008-0000-0400-0000FB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09" name="Group 508">
                    <a:extLst>
                      <a:ext uri="{FF2B5EF4-FFF2-40B4-BE49-F238E27FC236}">
                        <a16:creationId xmlns:a16="http://schemas.microsoft.com/office/drawing/2014/main" id="{00000000-0008-0000-0400-0000FD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518" name="Shape 46">
                      <a:extLst>
                        <a:ext uri="{FF2B5EF4-FFF2-40B4-BE49-F238E27FC236}">
                          <a16:creationId xmlns:a16="http://schemas.microsoft.com/office/drawing/2014/main" id="{00000000-0008-0000-0400-000006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9" name="Rectangle 518">
                      <a:extLst>
                        <a:ext uri="{FF2B5EF4-FFF2-40B4-BE49-F238E27FC236}">
                          <a16:creationId xmlns:a16="http://schemas.microsoft.com/office/drawing/2014/main" id="{00000000-0008-0000-0400-000007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20" name="Shape 46">
                      <a:extLst>
                        <a:ext uri="{FF2B5EF4-FFF2-40B4-BE49-F238E27FC236}">
                          <a16:creationId xmlns:a16="http://schemas.microsoft.com/office/drawing/2014/main" id="{00000000-0008-0000-0400-000008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10" name="Group 509">
                    <a:extLst>
                      <a:ext uri="{FF2B5EF4-FFF2-40B4-BE49-F238E27FC236}">
                        <a16:creationId xmlns:a16="http://schemas.microsoft.com/office/drawing/2014/main" id="{00000000-0008-0000-0400-0000FE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515" name="Shape 46">
                      <a:extLst>
                        <a:ext uri="{FF2B5EF4-FFF2-40B4-BE49-F238E27FC236}">
                          <a16:creationId xmlns:a16="http://schemas.microsoft.com/office/drawing/2014/main" id="{00000000-0008-0000-0400-000003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6" name="Rectangle 515">
                      <a:extLst>
                        <a:ext uri="{FF2B5EF4-FFF2-40B4-BE49-F238E27FC236}">
                          <a16:creationId xmlns:a16="http://schemas.microsoft.com/office/drawing/2014/main" id="{00000000-0008-0000-0400-000004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17" name="Shape 46">
                      <a:extLst>
                        <a:ext uri="{FF2B5EF4-FFF2-40B4-BE49-F238E27FC236}">
                          <a16:creationId xmlns:a16="http://schemas.microsoft.com/office/drawing/2014/main" id="{00000000-0008-0000-0400-000005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11" name="Shape 27">
                    <a:extLst>
                      <a:ext uri="{FF2B5EF4-FFF2-40B4-BE49-F238E27FC236}">
                        <a16:creationId xmlns:a16="http://schemas.microsoft.com/office/drawing/2014/main" id="{00000000-0008-0000-0400-0000FF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2" name="Shape 27">
                    <a:extLst>
                      <a:ext uri="{FF2B5EF4-FFF2-40B4-BE49-F238E27FC236}">
                        <a16:creationId xmlns:a16="http://schemas.microsoft.com/office/drawing/2014/main" id="{00000000-0008-0000-0400-000000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3" name="Shape 27">
                    <a:extLst>
                      <a:ext uri="{FF2B5EF4-FFF2-40B4-BE49-F238E27FC236}">
                        <a16:creationId xmlns:a16="http://schemas.microsoft.com/office/drawing/2014/main" id="{00000000-0008-0000-0400-000001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4" name="Shape 27">
                    <a:extLst>
                      <a:ext uri="{FF2B5EF4-FFF2-40B4-BE49-F238E27FC236}">
                        <a16:creationId xmlns:a16="http://schemas.microsoft.com/office/drawing/2014/main" id="{00000000-0008-0000-0400-000002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08" name="Elbow Connector 507">
                  <a:extLst>
                    <a:ext uri="{FF2B5EF4-FFF2-40B4-BE49-F238E27FC236}">
                      <a16:creationId xmlns:a16="http://schemas.microsoft.com/office/drawing/2014/main" id="{00000000-0008-0000-0400-0000FC010000}"/>
                    </a:ext>
                  </a:extLst>
                </xdr:cNvPr>
                <xdr:cNvCxnSpPr>
                  <a:stCxn id="516" idx="3"/>
                </xdr:cNvCxnSpPr>
              </xdr:nvCxnSpPr>
              <xdr:spPr>
                <a:xfrm>
                  <a:off x="10162349" y="4031581"/>
                  <a:ext cx="266797" cy="856163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06" name="Straight Connector 505">
                <a:extLst>
                  <a:ext uri="{FF2B5EF4-FFF2-40B4-BE49-F238E27FC236}">
                    <a16:creationId xmlns:a16="http://schemas.microsoft.com/office/drawing/2014/main" id="{00000000-0008-0000-0400-0000FA010000}"/>
                  </a:ext>
                </a:extLst>
              </xdr:cNvPr>
              <xdr:cNvCxnSpPr>
                <a:stCxn id="519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1" name="Straight Connector 500">
              <a:extLst>
                <a:ext uri="{FF2B5EF4-FFF2-40B4-BE49-F238E27FC236}">
                  <a16:creationId xmlns:a16="http://schemas.microsoft.com/office/drawing/2014/main" id="{00000000-0008-0000-0400-0000F5010000}"/>
                </a:ext>
              </a:extLst>
            </xdr:cNvPr>
            <xdr:cNvCxnSpPr/>
          </xdr:nvCxnSpPr>
          <xdr:spPr>
            <a:xfrm>
              <a:off x="8386972" y="7282731"/>
              <a:ext cx="0" cy="106393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2" name="Straight Connector 501">
              <a:extLst>
                <a:ext uri="{FF2B5EF4-FFF2-40B4-BE49-F238E27FC236}">
                  <a16:creationId xmlns:a16="http://schemas.microsoft.com/office/drawing/2014/main" id="{00000000-0008-0000-0400-0000F601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3" name="Shape 27">
              <a:extLst>
                <a:ext uri="{FF2B5EF4-FFF2-40B4-BE49-F238E27FC236}">
                  <a16:creationId xmlns:a16="http://schemas.microsoft.com/office/drawing/2014/main" id="{00000000-0008-0000-0400-0000F7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4" name="Shape 27">
              <a:extLst>
                <a:ext uri="{FF2B5EF4-FFF2-40B4-BE49-F238E27FC236}">
                  <a16:creationId xmlns:a16="http://schemas.microsoft.com/office/drawing/2014/main" id="{00000000-0008-0000-0400-0000F8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CxnSpPr/>
        </xdr:nvCxnSpPr>
        <xdr:spPr>
          <a:xfrm flipH="1">
            <a:off x="12333861" y="3015818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25400</xdr:colOff>
      <xdr:row>19</xdr:row>
      <xdr:rowOff>12700</xdr:rowOff>
    </xdr:from>
    <xdr:to>
      <xdr:col>59</xdr:col>
      <xdr:colOff>241300</xdr:colOff>
      <xdr:row>24</xdr:row>
      <xdr:rowOff>50800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 rot="16200000">
          <a:off x="14541500" y="41656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33</xdr:col>
      <xdr:colOff>99000</xdr:colOff>
      <xdr:row>14</xdr:row>
      <xdr:rowOff>180410</xdr:rowOff>
    </xdr:from>
    <xdr:to>
      <xdr:col>34</xdr:col>
      <xdr:colOff>71602</xdr:colOff>
      <xdr:row>16</xdr:row>
      <xdr:rowOff>148660</xdr:rowOff>
    </xdr:to>
    <xdr:grpSp>
      <xdr:nvGrpSpPr>
        <xdr:cNvPr id="449" name="3PLoads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GrpSpPr/>
      </xdr:nvGrpSpPr>
      <xdr:grpSpPr>
        <a:xfrm>
          <a:off x="8481000" y="3025210"/>
          <a:ext cx="226602" cy="374650"/>
          <a:chOff x="3201903" y="4462268"/>
          <a:chExt cx="227837" cy="369303"/>
        </a:xfrm>
      </xdr:grpSpPr>
      <xdr:sp macro="" textlink="">
        <xdr:nvSpPr>
          <xdr:cNvPr id="450" name="Shape 26">
            <a:extLst>
              <a:ext uri="{FF2B5EF4-FFF2-40B4-BE49-F238E27FC236}">
                <a16:creationId xmlns:a16="http://schemas.microsoft.com/office/drawing/2014/main" id="{00000000-0008-0000-0400-0000C2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451" name="Shape 26">
            <a:extLst>
              <a:ext uri="{FF2B5EF4-FFF2-40B4-BE49-F238E27FC236}">
                <a16:creationId xmlns:a16="http://schemas.microsoft.com/office/drawing/2014/main" id="{00000000-0008-0000-0400-0000C3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116690</xdr:colOff>
      <xdr:row>15</xdr:row>
      <xdr:rowOff>39350</xdr:rowOff>
    </xdr:from>
    <xdr:to>
      <xdr:col>34</xdr:col>
      <xdr:colOff>81801</xdr:colOff>
      <xdr:row>16</xdr:row>
      <xdr:rowOff>51936</xdr:rowOff>
    </xdr:to>
    <xdr:sp macro="" textlink="">
      <xdr:nvSpPr>
        <xdr:cNvPr id="452" name="Shape 26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/>
      </xdr:nvSpPr>
      <xdr:spPr>
        <a:xfrm flipH="1">
          <a:off x="8349011" y="3100957"/>
          <a:ext cx="214576" cy="216693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135208</xdr:colOff>
      <xdr:row>3</xdr:row>
      <xdr:rowOff>161313</xdr:rowOff>
    </xdr:from>
    <xdr:to>
      <xdr:col>67</xdr:col>
      <xdr:colOff>152400</xdr:colOff>
      <xdr:row>24</xdr:row>
      <xdr:rowOff>25400</xdr:rowOff>
    </xdr:to>
    <xdr:sp macro="" textlink="">
      <xdr:nvSpPr>
        <xdr:cNvPr id="521" name="Rectangle 520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/>
      </xdr:nvSpPr>
      <xdr:spPr>
        <a:xfrm>
          <a:off x="5723208" y="770913"/>
          <a:ext cx="11523392" cy="413128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103403</xdr:colOff>
      <xdr:row>62</xdr:row>
      <xdr:rowOff>51117</xdr:rowOff>
    </xdr:from>
    <xdr:to>
      <xdr:col>24</xdr:col>
      <xdr:colOff>21521</xdr:colOff>
      <xdr:row>63</xdr:row>
      <xdr:rowOff>44379</xdr:rowOff>
    </xdr:to>
    <xdr:cxnSp macro="">
      <xdr:nvCxnSpPr>
        <xdr:cNvPr id="522" name="2P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CxnSpPr/>
      </xdr:nvCxnSpPr>
      <xdr:spPr>
        <a:xfrm flipH="1">
          <a:off x="5945403" y="1264951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154200</xdr:colOff>
      <xdr:row>62</xdr:row>
      <xdr:rowOff>51111</xdr:rowOff>
    </xdr:from>
    <xdr:to>
      <xdr:col>23</xdr:col>
      <xdr:colOff>72318</xdr:colOff>
      <xdr:row>63</xdr:row>
      <xdr:rowOff>44373</xdr:rowOff>
    </xdr:to>
    <xdr:cxnSp macro="">
      <xdr:nvCxnSpPr>
        <xdr:cNvPr id="523" name="2P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CxnSpPr/>
      </xdr:nvCxnSpPr>
      <xdr:spPr>
        <a:xfrm flipH="1">
          <a:off x="5742200" y="12649511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8"/>
  <sheetViews>
    <sheetView topLeftCell="A54" zoomScale="99" workbookViewId="0">
      <selection activeCell="F35" sqref="F35"/>
    </sheetView>
  </sheetViews>
  <sheetFormatPr baseColWidth="10" defaultRowHeight="16" x14ac:dyDescent="0.2"/>
  <cols>
    <col min="1" max="1" width="22.1640625" style="87" customWidth="1"/>
    <col min="2" max="2" width="37.1640625" style="30" customWidth="1"/>
    <col min="3" max="3" width="19.1640625" style="30" customWidth="1"/>
    <col min="4" max="4" width="19.83203125" style="30" customWidth="1"/>
    <col min="5" max="5" width="16.6640625" style="64" customWidth="1"/>
    <col min="6" max="6" width="18" style="69" customWidth="1"/>
    <col min="7" max="7" width="21.1640625" style="69" customWidth="1"/>
    <col min="8" max="8" width="15.5" style="87" customWidth="1"/>
  </cols>
  <sheetData>
    <row r="1" spans="1:8" x14ac:dyDescent="0.2">
      <c r="A1" s="153" t="s">
        <v>64</v>
      </c>
      <c r="B1" s="153"/>
      <c r="C1" s="93"/>
    </row>
    <row r="2" spans="1:8" x14ac:dyDescent="0.2">
      <c r="A2" s="65" t="s">
        <v>65</v>
      </c>
      <c r="B2" s="65">
        <v>26181</v>
      </c>
      <c r="C2" s="90"/>
    </row>
    <row r="3" spans="1:8" ht="17" x14ac:dyDescent="0.2">
      <c r="A3" s="66" t="s">
        <v>67</v>
      </c>
      <c r="B3" s="65" t="s">
        <v>63</v>
      </c>
      <c r="C3" s="90"/>
    </row>
    <row r="4" spans="1:8" ht="24" customHeight="1" x14ac:dyDescent="0.2">
      <c r="A4" s="65" t="s">
        <v>66</v>
      </c>
      <c r="B4" s="65" t="s">
        <v>77</v>
      </c>
      <c r="C4" s="90"/>
    </row>
    <row r="5" spans="1:8" x14ac:dyDescent="0.2">
      <c r="A5" s="65" t="s">
        <v>49</v>
      </c>
      <c r="B5" s="65">
        <v>1</v>
      </c>
      <c r="C5" s="90"/>
    </row>
    <row r="6" spans="1:8" x14ac:dyDescent="0.2">
      <c r="A6" s="93"/>
      <c r="B6" s="93"/>
      <c r="C6" s="86"/>
    </row>
    <row r="7" spans="1:8" x14ac:dyDescent="0.2">
      <c r="A7" s="93"/>
      <c r="B7" s="93"/>
    </row>
    <row r="8" spans="1:8" x14ac:dyDescent="0.2">
      <c r="A8" s="93"/>
      <c r="B8" s="93"/>
    </row>
    <row r="10" spans="1:8" x14ac:dyDescent="0.2">
      <c r="A10" s="154" t="s">
        <v>73</v>
      </c>
      <c r="B10" s="155"/>
      <c r="C10" s="86"/>
      <c r="D10" s="86"/>
      <c r="E10" s="88"/>
      <c r="F10" s="90"/>
    </row>
    <row r="11" spans="1:8" x14ac:dyDescent="0.2">
      <c r="A11" s="89" t="s">
        <v>68</v>
      </c>
      <c r="B11" s="68" t="s">
        <v>58</v>
      </c>
      <c r="C11" s="86"/>
      <c r="D11" s="86"/>
      <c r="E11" s="88"/>
      <c r="F11" s="90"/>
      <c r="G11" s="90"/>
      <c r="H11" s="90"/>
    </row>
    <row r="12" spans="1:8" x14ac:dyDescent="0.2">
      <c r="A12" s="89" t="s">
        <v>69</v>
      </c>
      <c r="B12" s="68" t="s">
        <v>62</v>
      </c>
      <c r="C12" s="86"/>
      <c r="D12" s="86"/>
      <c r="E12" s="88"/>
      <c r="F12" s="90"/>
      <c r="G12" s="90"/>
      <c r="H12" s="90"/>
    </row>
    <row r="13" spans="1:8" x14ac:dyDescent="0.2">
      <c r="A13" s="89" t="s">
        <v>70</v>
      </c>
      <c r="B13" s="68">
        <v>18</v>
      </c>
      <c r="C13" s="91"/>
      <c r="D13" s="91"/>
      <c r="E13" s="91"/>
      <c r="F13" s="85"/>
      <c r="G13" s="85"/>
      <c r="H13" s="86"/>
    </row>
    <row r="14" spans="1:8" x14ac:dyDescent="0.2">
      <c r="A14" s="65" t="s">
        <v>74</v>
      </c>
      <c r="B14" s="68">
        <v>365</v>
      </c>
    </row>
    <row r="15" spans="1:8" x14ac:dyDescent="0.2">
      <c r="A15" s="65" t="s">
        <v>75</v>
      </c>
      <c r="B15" s="67">
        <v>41.7</v>
      </c>
      <c r="D15" s="153" t="s">
        <v>78</v>
      </c>
      <c r="E15" s="153"/>
    </row>
    <row r="16" spans="1:8" x14ac:dyDescent="0.2">
      <c r="A16" s="65" t="s">
        <v>76</v>
      </c>
      <c r="B16" s="67">
        <v>10.88</v>
      </c>
      <c r="C16" s="92"/>
      <c r="D16" s="65" t="s">
        <v>71</v>
      </c>
      <c r="E16" s="65" t="s">
        <v>79</v>
      </c>
      <c r="F16" s="92"/>
    </row>
    <row r="17" spans="1:6" x14ac:dyDescent="0.2">
      <c r="B17" s="92"/>
      <c r="C17" s="92"/>
      <c r="D17" s="65" t="s">
        <v>72</v>
      </c>
      <c r="E17" s="65" t="s">
        <v>80</v>
      </c>
      <c r="F17" s="92"/>
    </row>
    <row r="18" spans="1:6" x14ac:dyDescent="0.2">
      <c r="A18" s="153" t="s">
        <v>78</v>
      </c>
      <c r="B18" s="153"/>
      <c r="C18" s="92"/>
      <c r="D18" s="65" t="s">
        <v>144</v>
      </c>
      <c r="E18" s="65">
        <v>1</v>
      </c>
      <c r="F18" s="92"/>
    </row>
    <row r="19" spans="1:6" x14ac:dyDescent="0.2">
      <c r="A19" s="65" t="s">
        <v>71</v>
      </c>
      <c r="B19" s="65" t="s">
        <v>79</v>
      </c>
      <c r="C19" s="92"/>
      <c r="D19" s="65" t="s">
        <v>145</v>
      </c>
      <c r="E19" s="65">
        <v>22</v>
      </c>
      <c r="F19" s="92"/>
    </row>
    <row r="20" spans="1:6" ht="16" customHeight="1" x14ac:dyDescent="0.2">
      <c r="A20" s="65" t="s">
        <v>72</v>
      </c>
      <c r="B20" s="65" t="s">
        <v>80</v>
      </c>
      <c r="C20" s="92"/>
      <c r="D20" s="65" t="s">
        <v>37</v>
      </c>
      <c r="E20" s="65">
        <v>4</v>
      </c>
      <c r="F20" s="92"/>
    </row>
    <row r="21" spans="1:6" ht="16" customHeight="1" x14ac:dyDescent="0.2">
      <c r="A21" s="65" t="s">
        <v>37</v>
      </c>
      <c r="B21" s="65">
        <v>4</v>
      </c>
      <c r="C21" s="92"/>
      <c r="D21" s="65" t="s">
        <v>146</v>
      </c>
      <c r="E21" s="65">
        <v>12</v>
      </c>
      <c r="F21" s="92"/>
    </row>
    <row r="22" spans="1:6" x14ac:dyDescent="0.2">
      <c r="A22" s="65" t="s">
        <v>94</v>
      </c>
      <c r="B22" s="65">
        <v>12</v>
      </c>
      <c r="C22" s="92"/>
      <c r="D22" s="65" t="s">
        <v>147</v>
      </c>
      <c r="E22" s="65"/>
      <c r="F22" s="92"/>
    </row>
    <row r="23" spans="1:6" x14ac:dyDescent="0.2">
      <c r="A23" s="65" t="s">
        <v>95</v>
      </c>
      <c r="B23" s="65"/>
      <c r="C23" s="92"/>
      <c r="D23" s="65" t="s">
        <v>148</v>
      </c>
      <c r="E23" s="65">
        <v>12</v>
      </c>
      <c r="F23" s="92"/>
    </row>
    <row r="24" spans="1:6" x14ac:dyDescent="0.2">
      <c r="A24" s="65" t="s">
        <v>96</v>
      </c>
      <c r="B24" s="65">
        <v>12</v>
      </c>
      <c r="C24" s="92"/>
      <c r="D24" s="143" t="s">
        <v>149</v>
      </c>
      <c r="E24" s="143"/>
      <c r="F24" s="92"/>
    </row>
    <row r="25" spans="1:6" x14ac:dyDescent="0.2">
      <c r="A25" s="112" t="s">
        <v>86</v>
      </c>
      <c r="B25" s="112"/>
      <c r="C25" s="92"/>
      <c r="D25" s="142"/>
      <c r="E25" s="142"/>
      <c r="F25" s="92"/>
    </row>
    <row r="26" spans="1:6" x14ac:dyDescent="0.2">
      <c r="A26" s="93"/>
      <c r="B26" s="93"/>
    </row>
    <row r="27" spans="1:6" x14ac:dyDescent="0.2">
      <c r="A27" s="156" t="s">
        <v>81</v>
      </c>
      <c r="B27" s="157"/>
    </row>
    <row r="28" spans="1:6" x14ac:dyDescent="0.2">
      <c r="A28" s="65" t="s">
        <v>82</v>
      </c>
      <c r="B28" s="65"/>
    </row>
    <row r="29" spans="1:6" x14ac:dyDescent="0.2">
      <c r="A29" s="65" t="s">
        <v>83</v>
      </c>
      <c r="B29" s="65"/>
    </row>
    <row r="30" spans="1:6" x14ac:dyDescent="0.2">
      <c r="A30" s="65" t="s">
        <v>84</v>
      </c>
      <c r="B30" s="65"/>
    </row>
    <row r="31" spans="1:6" x14ac:dyDescent="0.2">
      <c r="A31" s="65" t="s">
        <v>85</v>
      </c>
      <c r="B31" s="65">
        <v>4</v>
      </c>
    </row>
    <row r="32" spans="1:6" x14ac:dyDescent="0.2">
      <c r="A32" s="65" t="s">
        <v>93</v>
      </c>
      <c r="B32" s="65"/>
    </row>
    <row r="33" spans="1:2" x14ac:dyDescent="0.2">
      <c r="A33" s="65" t="s">
        <v>100</v>
      </c>
      <c r="B33" s="65"/>
    </row>
    <row r="34" spans="1:2" x14ac:dyDescent="0.2">
      <c r="A34" s="65" t="s">
        <v>163</v>
      </c>
      <c r="B34" s="65"/>
    </row>
    <row r="35" spans="1:2" x14ac:dyDescent="0.2">
      <c r="A35" s="153" t="s">
        <v>97</v>
      </c>
      <c r="B35" s="153"/>
    </row>
    <row r="36" spans="1:2" x14ac:dyDescent="0.2">
      <c r="A36" s="65" t="s">
        <v>98</v>
      </c>
      <c r="B36" s="65"/>
    </row>
    <row r="37" spans="1:2" x14ac:dyDescent="0.2">
      <c r="A37" s="65" t="s">
        <v>99</v>
      </c>
      <c r="B37" s="65"/>
    </row>
    <row r="38" spans="1:2" x14ac:dyDescent="0.2">
      <c r="A38" s="65" t="s">
        <v>162</v>
      </c>
      <c r="B38" s="65"/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41" sqref="C41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3"/>
      <c r="C29" s="63"/>
      <c r="D29" s="63"/>
      <c r="E29" s="63"/>
      <c r="F29" s="63"/>
      <c r="G29" s="63"/>
    </row>
    <row r="30" spans="2:7" ht="17" thickBot="1" x14ac:dyDescent="0.25">
      <c r="B30" s="31" t="s">
        <v>45</v>
      </c>
      <c r="C30" s="32" t="str">
        <f>Param!B3</f>
        <v xml:space="preserve">Miller, Ian </v>
      </c>
      <c r="D30" s="31" t="s">
        <v>46</v>
      </c>
      <c r="E30" s="158" t="str">
        <f>Param!B4</f>
        <v>154 Princeton Ave  Adamstown Heights</v>
      </c>
      <c r="F30" s="159"/>
      <c r="G30" s="160"/>
    </row>
    <row r="31" spans="2:7" ht="17" thickBot="1" x14ac:dyDescent="0.25">
      <c r="B31" s="161" t="str">
        <f>IF(Param!B12&lt;&gt;0,"Service Main","Service+Consumer Main")</f>
        <v>Service Main</v>
      </c>
      <c r="C31" s="162"/>
      <c r="D31" s="161" t="s">
        <v>47</v>
      </c>
      <c r="E31" s="162"/>
      <c r="F31" s="163" t="s">
        <v>48</v>
      </c>
      <c r="G31" s="164"/>
    </row>
    <row r="32" spans="2:7" x14ac:dyDescent="0.2">
      <c r="B32" s="33" t="s">
        <v>49</v>
      </c>
      <c r="C32" s="34">
        <f>Param!B33</f>
        <v>0</v>
      </c>
      <c r="D32" s="33" t="s">
        <v>49</v>
      </c>
      <c r="E32" s="34">
        <f>Param!B33</f>
        <v>0</v>
      </c>
      <c r="F32" s="35" t="s">
        <v>49</v>
      </c>
      <c r="G32" s="36">
        <f>Param!B33</f>
        <v>0</v>
      </c>
    </row>
    <row r="33" spans="2:7" x14ac:dyDescent="0.2">
      <c r="B33" s="33" t="s">
        <v>50</v>
      </c>
      <c r="C33" s="37" t="s">
        <v>51</v>
      </c>
      <c r="D33" s="33" t="s">
        <v>50</v>
      </c>
      <c r="E33" s="38" t="s">
        <v>51</v>
      </c>
      <c r="F33" s="39" t="s">
        <v>50</v>
      </c>
      <c r="G33" s="40" t="s">
        <v>51</v>
      </c>
    </row>
    <row r="34" spans="2:7" x14ac:dyDescent="0.2">
      <c r="B34" s="41" t="s">
        <v>52</v>
      </c>
      <c r="C34" s="42">
        <v>16</v>
      </c>
      <c r="D34" s="41" t="s">
        <v>52</v>
      </c>
      <c r="E34" s="42">
        <v>16</v>
      </c>
      <c r="F34" s="41" t="s">
        <v>52</v>
      </c>
      <c r="G34" s="43">
        <f>Param!B31</f>
        <v>4</v>
      </c>
    </row>
    <row r="35" spans="2:7" x14ac:dyDescent="0.2">
      <c r="B35" s="44" t="s">
        <v>53</v>
      </c>
      <c r="C35" s="45">
        <f>Param!B28</f>
        <v>0</v>
      </c>
      <c r="D35" s="44" t="s">
        <v>53</v>
      </c>
      <c r="E35" s="46">
        <f>Param!B29</f>
        <v>0</v>
      </c>
      <c r="F35" s="44" t="s">
        <v>53</v>
      </c>
      <c r="G35" s="46">
        <f>Param!B30</f>
        <v>0</v>
      </c>
    </row>
    <row r="36" spans="2:7" x14ac:dyDescent="0.2">
      <c r="B36" s="44" t="s">
        <v>54</v>
      </c>
      <c r="C36" s="47">
        <f>Param!B32</f>
        <v>0</v>
      </c>
      <c r="D36" s="44" t="s">
        <v>54</v>
      </c>
      <c r="E36" s="48">
        <f>Param!B32</f>
        <v>0</v>
      </c>
      <c r="F36" s="44" t="s">
        <v>54</v>
      </c>
      <c r="G36" s="48">
        <f>Param!B32</f>
        <v>0</v>
      </c>
    </row>
    <row r="37" spans="2:7" ht="17" thickBot="1" x14ac:dyDescent="0.25">
      <c r="B37" s="49" t="s">
        <v>55</v>
      </c>
      <c r="C37" s="50" cm="1">
        <f t="array" ref="C37">AmPerPcntVd(C34,C32)</f>
        <v>1643</v>
      </c>
      <c r="D37" s="51" t="s">
        <v>55</v>
      </c>
      <c r="E37" s="50" cm="1">
        <f t="array" ref="E37">AmPerPcntVd(E34,E32)</f>
        <v>1643</v>
      </c>
      <c r="F37" s="51" t="s">
        <v>55</v>
      </c>
      <c r="G37" s="52" cm="1">
        <f t="array" ref="G37">AmPerPcntVd(G34,G32)</f>
        <v>412</v>
      </c>
    </row>
    <row r="38" spans="2:7" ht="17" thickBot="1" x14ac:dyDescent="0.25">
      <c r="B38" s="53" t="s">
        <v>56</v>
      </c>
      <c r="C38" s="54" cm="1">
        <f t="array" ref="C38">VoltageDrop(C36,C34,C35,C32)/100</f>
        <v>0</v>
      </c>
      <c r="D38" s="55" t="s">
        <v>56</v>
      </c>
      <c r="E38" s="54" cm="1">
        <f t="array" ref="E38">VoltageDrop(E36,E34,E35,E32)/100</f>
        <v>0</v>
      </c>
      <c r="F38" s="55" t="s">
        <v>56</v>
      </c>
      <c r="G38" s="62" cm="1">
        <f t="array" ref="G38">VoltageDrop(G36,G34,G35,G32)/100</f>
        <v>0</v>
      </c>
    </row>
    <row r="39" spans="2:7" ht="17" thickBot="1" x14ac:dyDescent="0.25">
      <c r="B39" s="53" t="s">
        <v>57</v>
      </c>
      <c r="C39" s="56">
        <f>C38*IF(C32=1,230,400)</f>
        <v>0</v>
      </c>
      <c r="D39" s="53" t="s">
        <v>57</v>
      </c>
      <c r="E39" s="56">
        <f>E38*IF(E32=1,230,400)</f>
        <v>0</v>
      </c>
      <c r="F39" s="53" t="s">
        <v>57</v>
      </c>
      <c r="G39" s="61">
        <f>G38*IF(G32=1,230,400)</f>
        <v>0</v>
      </c>
    </row>
    <row r="40" spans="2:7" x14ac:dyDescent="0.2">
      <c r="B40" s="165" t="s">
        <v>29</v>
      </c>
      <c r="C40" s="57" t="str">
        <f>_xlfn.CONCAT(Param!B34)</f>
        <v/>
      </c>
      <c r="D40" s="58"/>
      <c r="E40" s="58"/>
      <c r="F40" s="167">
        <f>C38+G38+E38</f>
        <v>0</v>
      </c>
      <c r="G40" s="169">
        <f>G39+E39+C39</f>
        <v>0</v>
      </c>
    </row>
    <row r="41" spans="2:7" ht="17" thickBot="1" x14ac:dyDescent="0.25">
      <c r="B41" s="166"/>
      <c r="C41" s="59"/>
      <c r="D41" s="60"/>
      <c r="E41" s="60"/>
      <c r="F41" s="168"/>
      <c r="G41" s="170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20" priority="7" operator="greaterThan">
      <formula>0.01</formula>
    </cfRule>
    <cfRule type="cellIs" dxfId="19" priority="8" operator="lessThanOrEqual">
      <formula>0.01</formula>
    </cfRule>
  </conditionalFormatting>
  <conditionalFormatting sqref="C30 E30 C32:C33 C35:C36 E35:E36 G35:G36 E32:E33 G32:G33">
    <cfRule type="containsBlanks" dxfId="18" priority="9">
      <formula>LEN(TRIM(C30))=0</formula>
    </cfRule>
  </conditionalFormatting>
  <conditionalFormatting sqref="C39">
    <cfRule type="cellIs" dxfId="17" priority="5" operator="greaterThan">
      <formula>0.01</formula>
    </cfRule>
    <cfRule type="cellIs" dxfId="16" priority="6" operator="lessThanOrEqual">
      <formula>0.01</formula>
    </cfRule>
  </conditionalFormatting>
  <conditionalFormatting sqref="E39 K39">
    <cfRule type="cellIs" dxfId="15" priority="3" operator="greaterThan">
      <formula>0.01</formula>
    </cfRule>
    <cfRule type="cellIs" dxfId="14" priority="4" operator="lessThanOrEqual">
      <formula>0.01</formula>
    </cfRule>
  </conditionalFormatting>
  <conditionalFormatting sqref="G39 M39">
    <cfRule type="cellIs" dxfId="13" priority="1" operator="greaterThan">
      <formula>0.01</formula>
    </cfRule>
    <cfRule type="cellIs" dxfId="12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abSelected="1" topLeftCell="AQ22" zoomScale="111" zoomScaleNormal="227" workbookViewId="0">
      <selection activeCell="CA72" sqref="CA72"/>
    </sheetView>
  </sheetViews>
  <sheetFormatPr baseColWidth="10" defaultRowHeight="16" x14ac:dyDescent="0.2"/>
  <cols>
    <col min="1" max="73" width="3.33203125" style="119" customWidth="1"/>
    <col min="74" max="74" width="4.1640625" style="119" bestFit="1" customWidth="1"/>
    <col min="75" max="83" width="3.33203125" style="119" customWidth="1"/>
    <col min="84" max="16384" width="10.83203125" style="11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177" t="str">
        <f>Param!B12</f>
        <v>LG NeON 2</v>
      </c>
      <c r="BW7" s="177"/>
      <c r="BX7" s="177"/>
      <c r="BY7" s="177"/>
      <c r="BZ7" s="178"/>
    </row>
    <row r="8" spans="4:81" x14ac:dyDescent="0.2">
      <c r="BR8" s="24" t="s">
        <v>158</v>
      </c>
      <c r="BS8" s="145"/>
      <c r="BT8" s="145"/>
      <c r="BU8" s="145"/>
      <c r="BV8" s="145"/>
      <c r="BW8" s="179">
        <f>Param!B13</f>
        <v>18</v>
      </c>
      <c r="BX8" s="179"/>
      <c r="BY8" s="179"/>
      <c r="BZ8" s="180"/>
    </row>
    <row r="9" spans="4:81" x14ac:dyDescent="0.2">
      <c r="BR9" s="24" t="s">
        <v>43</v>
      </c>
      <c r="BS9" s="18"/>
      <c r="BT9" s="18"/>
      <c r="BU9" s="18"/>
      <c r="BV9" s="18"/>
      <c r="BW9" s="18"/>
      <c r="BX9" s="213">
        <f>Param!B14</f>
        <v>365</v>
      </c>
      <c r="BY9" s="213"/>
      <c r="BZ9" s="21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4">
        <f>Param!B15</f>
        <v>41.7</v>
      </c>
      <c r="BY10" s="214"/>
      <c r="BZ10" s="21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81">
        <f>Param!B16</f>
        <v>10.88</v>
      </c>
      <c r="BY11" s="181"/>
      <c r="BZ11" s="182"/>
      <c r="CA11" s="212"/>
      <c r="CB11" s="212"/>
      <c r="CC11" s="212"/>
    </row>
    <row r="12" spans="4:81" x14ac:dyDescent="0.2">
      <c r="BR12" s="28" t="s">
        <v>159</v>
      </c>
      <c r="BS12" s="19"/>
      <c r="BT12" s="19"/>
      <c r="BU12" s="19"/>
      <c r="BV12" s="183" t="str">
        <f>_xlfn.CONCAT(Param!B14*BW8/1000, " kWdc")</f>
        <v>6.57 kWdc</v>
      </c>
      <c r="BW12" s="183"/>
      <c r="BX12" s="183"/>
      <c r="BY12" s="183"/>
      <c r="BZ12" s="184"/>
      <c r="CC12" s="78"/>
    </row>
    <row r="13" spans="4:81" x14ac:dyDescent="0.2">
      <c r="Y13" s="100" t="s">
        <v>133</v>
      </c>
      <c r="AQ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79">
        <v>1</v>
      </c>
      <c r="BW15" s="179"/>
      <c r="BX15" s="179"/>
      <c r="BY15" s="179"/>
      <c r="BZ15" s="180"/>
      <c r="CC15" s="78"/>
    </row>
    <row r="16" spans="4:81" x14ac:dyDescent="0.2">
      <c r="BR16" s="24" t="s">
        <v>39</v>
      </c>
      <c r="BS16" s="18"/>
      <c r="BT16" s="18"/>
      <c r="BU16" s="18"/>
      <c r="BV16" s="185" t="s">
        <v>103</v>
      </c>
      <c r="BW16" s="185"/>
      <c r="BX16" s="185"/>
      <c r="BY16" s="185"/>
      <c r="BZ16" s="186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177" t="s">
        <v>104</v>
      </c>
      <c r="BW17" s="177"/>
      <c r="BX17" s="177"/>
      <c r="BY17" s="177"/>
      <c r="BZ17" s="178"/>
      <c r="CA17" s="78"/>
      <c r="CB17" s="78"/>
      <c r="CC17" s="78"/>
    </row>
    <row r="18" spans="10:81" ht="16" customHeight="1" x14ac:dyDescent="0.2">
      <c r="AE18" s="119" t="str">
        <f>IF(Param!B25="","","Q Relay")</f>
        <v/>
      </c>
      <c r="AU18" s="119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217">
        <f>5</f>
        <v>5</v>
      </c>
      <c r="BX18" s="217"/>
      <c r="BY18" s="214" t="s">
        <v>106</v>
      </c>
      <c r="BZ18" s="216"/>
      <c r="CA18" s="18"/>
      <c r="CB18" s="18"/>
      <c r="CC18" s="18"/>
    </row>
    <row r="19" spans="10:81" ht="16" customHeight="1" x14ac:dyDescent="0.2">
      <c r="AA19" s="119" t="str">
        <f>IF(Param!B36&lt;&gt;"","Main","")</f>
        <v/>
      </c>
      <c r="AU19" s="119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218">
        <v>13.5</v>
      </c>
      <c r="BX19" s="218"/>
      <c r="BY19" s="181" t="s">
        <v>108</v>
      </c>
      <c r="BZ19" s="182"/>
      <c r="CA19" s="18"/>
      <c r="CB19" s="18"/>
      <c r="CC19" s="18"/>
    </row>
    <row r="20" spans="10:81" x14ac:dyDescent="0.2">
      <c r="Y20" s="79"/>
      <c r="AA20" s="119" t="str">
        <f>IF(Param!B36&lt;&gt;"","Switch","")</f>
        <v/>
      </c>
      <c r="AE20" s="119" t="str">
        <f>IF(Param!B25="","","Envoy  Supply ")</f>
        <v/>
      </c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44"/>
      <c r="BU20" s="18"/>
      <c r="BV20" s="18"/>
      <c r="BW20" s="118"/>
      <c r="BX20" s="146">
        <v>32</v>
      </c>
      <c r="BY20" s="188" t="s">
        <v>109</v>
      </c>
      <c r="BZ20" s="178"/>
      <c r="CA20" s="18"/>
      <c r="CB20" s="18"/>
      <c r="CC20" s="18"/>
    </row>
    <row r="21" spans="10:81" x14ac:dyDescent="0.2">
      <c r="AE21" s="119" t="str">
        <f>IF(Param!B25="","","Switch")</f>
        <v/>
      </c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47">
        <v>50</v>
      </c>
      <c r="BY21" s="189" t="s">
        <v>112</v>
      </c>
      <c r="BZ21" s="190"/>
      <c r="CA21" s="213"/>
      <c r="CB21" s="213"/>
      <c r="CC21" s="213"/>
    </row>
    <row r="22" spans="10:81" x14ac:dyDescent="0.2">
      <c r="BR22" s="145"/>
      <c r="BS22" s="145"/>
      <c r="BT22" s="145"/>
      <c r="BU22" s="145"/>
      <c r="BV22" s="145"/>
      <c r="BW22" s="145"/>
      <c r="BX22" s="145"/>
      <c r="BY22" s="145"/>
      <c r="BZ22" s="145"/>
      <c r="CA22" s="214"/>
      <c r="CB22" s="214"/>
      <c r="CC22" s="214"/>
    </row>
    <row r="23" spans="10:81" x14ac:dyDescent="0.2">
      <c r="AJ23" s="7"/>
      <c r="AN23" s="119" t="s">
        <v>113</v>
      </c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81"/>
      <c r="CB23" s="181"/>
      <c r="CC23" s="181"/>
    </row>
    <row r="24" spans="10:81" x14ac:dyDescent="0.2">
      <c r="AN24" s="119" t="s">
        <v>114</v>
      </c>
      <c r="BR24" s="24" t="s">
        <v>115</v>
      </c>
      <c r="BS24" s="18"/>
      <c r="BT24" s="18"/>
      <c r="BU24" s="18"/>
      <c r="BW24" s="118"/>
      <c r="BX24" s="185">
        <f>Param!B13</f>
        <v>18</v>
      </c>
      <c r="BY24" s="185"/>
      <c r="BZ24" s="186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18"/>
      <c r="BX25" s="185" t="str">
        <f>Param!B19</f>
        <v>SMA</v>
      </c>
      <c r="BY25" s="185"/>
      <c r="BZ25" s="186"/>
      <c r="CC25" s="17"/>
    </row>
    <row r="26" spans="10:81" x14ac:dyDescent="0.2">
      <c r="J26" s="119" t="s">
        <v>113</v>
      </c>
      <c r="BR26" s="22" t="s">
        <v>38</v>
      </c>
      <c r="BS26" s="21"/>
      <c r="BT26" s="18"/>
      <c r="BU26" s="18"/>
      <c r="BW26" s="118"/>
      <c r="BX26" s="187" t="str">
        <f>Param!B20</f>
        <v>SB4.0-1AV-40</v>
      </c>
      <c r="BY26" s="187"/>
      <c r="BZ26" s="186"/>
      <c r="CC26" s="17"/>
    </row>
    <row r="27" spans="10:81" x14ac:dyDescent="0.2">
      <c r="BR27" s="22" t="s">
        <v>160</v>
      </c>
      <c r="BS27" s="150"/>
      <c r="BT27" s="150"/>
      <c r="BU27" s="150"/>
      <c r="BV27" s="150"/>
      <c r="BW27" s="150"/>
      <c r="BX27" s="173" t="str">
        <f>_xlfn.CONCAT(Param!B21," kWac")</f>
        <v>4 kWac</v>
      </c>
      <c r="BY27" s="173"/>
      <c r="BZ27" s="174"/>
      <c r="CC27" s="123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20" t="s">
        <v>116</v>
      </c>
      <c r="BS28" s="19"/>
      <c r="BT28" s="19"/>
      <c r="BU28" s="19"/>
      <c r="BV28" s="19"/>
      <c r="BW28" s="19"/>
      <c r="BX28" s="171" t="str">
        <f>_xlfn.CONCAT(Param!B22*Param!B13," kWac")</f>
        <v>216 kWac</v>
      </c>
      <c r="BY28" s="171"/>
      <c r="BZ28" s="172"/>
      <c r="CC28" s="123"/>
    </row>
    <row r="29" spans="10:81" x14ac:dyDescent="0.2">
      <c r="L29" s="16"/>
      <c r="M29" s="15"/>
      <c r="AB29" s="100" t="str">
        <f>IF(Param!B36&lt;&gt;"","Existing array","")</f>
        <v/>
      </c>
      <c r="BB29" s="119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120"/>
      <c r="BU29" s="120"/>
      <c r="BV29" s="121"/>
      <c r="BW29" s="121"/>
      <c r="BX29" s="122"/>
      <c r="BY29" s="122"/>
      <c r="BZ29" s="122"/>
      <c r="CA29" s="122"/>
      <c r="CB29" s="123"/>
      <c r="CC29" s="123"/>
    </row>
    <row r="30" spans="10:81" x14ac:dyDescent="0.2">
      <c r="AB30" s="11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120"/>
      <c r="BU30" s="120"/>
      <c r="BV30" s="121"/>
      <c r="BW30" s="121"/>
      <c r="BX30" s="122"/>
      <c r="BY30" s="122"/>
      <c r="BZ30" s="122"/>
      <c r="CA30" s="122"/>
      <c r="CB30" s="123"/>
      <c r="CC30" s="123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7"/>
      <c r="BU31" s="207"/>
      <c r="BV31" s="179"/>
      <c r="BW31" s="179"/>
      <c r="BX31" s="179"/>
      <c r="BY31" s="179"/>
      <c r="BZ31" s="179"/>
      <c r="CA31" s="179"/>
      <c r="CB31" s="208"/>
      <c r="CC31" s="208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0"/>
      <c r="BS32" s="10"/>
      <c r="BT32" s="207"/>
      <c r="BU32" s="207"/>
      <c r="BV32" s="179"/>
      <c r="BW32" s="179"/>
      <c r="BX32" s="179"/>
      <c r="BY32" s="179"/>
      <c r="BZ32" s="179"/>
      <c r="CA32" s="179"/>
      <c r="CB32" s="208"/>
      <c r="CC32" s="208"/>
    </row>
    <row r="33" spans="28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10"/>
      <c r="BS33" s="10"/>
      <c r="BT33" s="207"/>
      <c r="BU33" s="207"/>
      <c r="BV33" s="179"/>
      <c r="BW33" s="179"/>
      <c r="BX33" s="179"/>
      <c r="BY33" s="179"/>
      <c r="BZ33" s="179"/>
      <c r="CA33" s="179"/>
      <c r="CB33" s="208"/>
      <c r="CC33" s="208"/>
    </row>
    <row r="34" spans="28:82" x14ac:dyDescent="0.2">
      <c r="AB34" s="119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09" t="s">
        <v>87</v>
      </c>
      <c r="BS34" s="210"/>
      <c r="BT34" s="210"/>
      <c r="BU34" s="210" t="s">
        <v>88</v>
      </c>
      <c r="BV34" s="211"/>
      <c r="BW34" s="210" t="s">
        <v>89</v>
      </c>
      <c r="BX34" s="210"/>
      <c r="BY34" s="210" t="s">
        <v>90</v>
      </c>
      <c r="BZ34" s="210"/>
      <c r="CA34" s="210" t="s">
        <v>91</v>
      </c>
      <c r="CB34" s="211"/>
      <c r="CC34" s="123"/>
    </row>
    <row r="35" spans="28:82" x14ac:dyDescent="0.2">
      <c r="AB35" s="119" t="str">
        <f>IF(Param!B36&lt;&gt;"","Ac Isolator","")</f>
        <v/>
      </c>
      <c r="AG35" s="11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05" t="s">
        <v>92</v>
      </c>
      <c r="BS35" s="206"/>
      <c r="BT35" s="206"/>
      <c r="BU35" s="206" t="s">
        <v>119</v>
      </c>
      <c r="BV35" s="180"/>
      <c r="BW35" s="179">
        <f>Param!B22*Param!B21</f>
        <v>48</v>
      </c>
      <c r="BX35" s="179"/>
      <c r="BY35" s="179">
        <f>Param!B23*Param!B21</f>
        <v>0</v>
      </c>
      <c r="BZ35" s="179"/>
      <c r="CA35" s="179">
        <f>Param!B24*Param!B21</f>
        <v>48</v>
      </c>
      <c r="CB35" s="180"/>
      <c r="CC35" s="123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05" t="s">
        <v>120</v>
      </c>
      <c r="BS36" s="206"/>
      <c r="BT36" s="206"/>
      <c r="BU36" s="206" t="s">
        <v>121</v>
      </c>
      <c r="BV36" s="180"/>
      <c r="BW36" s="206">
        <v>5</v>
      </c>
      <c r="BX36" s="206"/>
      <c r="BY36" s="206"/>
      <c r="BZ36" s="206"/>
      <c r="CA36" s="206"/>
      <c r="CB36" s="180"/>
      <c r="CC36" s="123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96" t="s">
        <v>122</v>
      </c>
      <c r="BS37" s="197"/>
      <c r="BT37" s="197"/>
      <c r="BU37" s="197"/>
      <c r="BV37" s="198"/>
      <c r="BW37" s="196">
        <f>SUM(BW35:BX36)</f>
        <v>53</v>
      </c>
      <c r="BX37" s="197"/>
      <c r="BY37" s="197">
        <f t="shared" ref="BY37" si="0">SUM(BY35:BZ36)</f>
        <v>0</v>
      </c>
      <c r="BZ37" s="197"/>
      <c r="CA37" s="197">
        <f t="shared" ref="CA37" si="1">SUM(CA35:CB36)</f>
        <v>48</v>
      </c>
      <c r="CB37" s="198"/>
      <c r="CC37" s="123"/>
    </row>
    <row r="38" spans="28:82" x14ac:dyDescent="0.2">
      <c r="CC38" s="123"/>
    </row>
    <row r="40" spans="28:82" x14ac:dyDescent="0.2">
      <c r="AT40" s="204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</row>
    <row r="41" spans="28:82" x14ac:dyDescent="0.2">
      <c r="AT41" s="204"/>
      <c r="AZ41" s="100" t="s">
        <v>92</v>
      </c>
      <c r="BR41" s="179"/>
      <c r="BS41" s="179"/>
      <c r="BT41" s="179"/>
      <c r="BU41" s="179"/>
      <c r="BV41" s="179"/>
      <c r="BW41" s="179"/>
      <c r="BX41" s="179"/>
      <c r="BY41" s="179"/>
      <c r="BZ41" s="179"/>
      <c r="CA41" s="179"/>
      <c r="CB41" s="179"/>
    </row>
    <row r="42" spans="28:82" x14ac:dyDescent="0.2">
      <c r="BK42" s="120"/>
      <c r="BR42" s="179"/>
      <c r="BS42" s="179"/>
      <c r="BT42" s="179"/>
      <c r="BU42" s="179"/>
      <c r="BV42" s="179"/>
      <c r="BW42" s="179"/>
      <c r="BX42" s="179"/>
      <c r="BY42" s="179"/>
      <c r="BZ42" s="179"/>
      <c r="CA42" s="179"/>
      <c r="CB42" s="179"/>
    </row>
    <row r="43" spans="28:82" x14ac:dyDescent="0.2">
      <c r="AT43" s="100"/>
      <c r="BK43" s="119" t="str">
        <f>IF(Param!B22&lt;&gt;"", _xlfn.CONCAT(Param!B22," Panels"),"")</f>
        <v>12 Panels</v>
      </c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35</v>
      </c>
      <c r="BS46" s="70"/>
      <c r="BV46" s="109" t="s">
        <v>34</v>
      </c>
      <c r="BW46" s="119" t="s">
        <v>33</v>
      </c>
    </row>
    <row r="47" spans="28:82" x14ac:dyDescent="0.2">
      <c r="BR47" s="71" t="s">
        <v>32</v>
      </c>
      <c r="BS47" s="79"/>
      <c r="BV47" s="110">
        <f>BV48</f>
        <v>18</v>
      </c>
      <c r="BW47" s="71" t="str">
        <f>_xlfn.CONCAT(, BV7, " ", BX8, "W")</f>
        <v>LG NeON 2 W</v>
      </c>
      <c r="BY47" s="79"/>
      <c r="BZ47" s="79"/>
    </row>
    <row r="48" spans="28:82" x14ac:dyDescent="0.2">
      <c r="BR48" s="71" t="s">
        <v>123</v>
      </c>
      <c r="BS48" s="79"/>
      <c r="BV48" s="109">
        <f>BW8</f>
        <v>18</v>
      </c>
      <c r="BW48" s="71" t="str">
        <f>_xlfn.CONCAT(BU35," ")</f>
        <v xml:space="preserve">IQ7+ </v>
      </c>
      <c r="BY48" s="79"/>
      <c r="BZ48" s="79"/>
    </row>
    <row r="49" spans="45:82" x14ac:dyDescent="0.2">
      <c r="BR49" s="71" t="s">
        <v>124</v>
      </c>
      <c r="BS49" s="79"/>
      <c r="BV49" s="109">
        <v>1</v>
      </c>
      <c r="BW49" s="202" t="s">
        <v>125</v>
      </c>
      <c r="BX49" s="203"/>
      <c r="BY49" s="203"/>
      <c r="BZ49" s="203"/>
      <c r="CA49" s="203"/>
      <c r="CB49" s="203"/>
      <c r="CC49" s="203"/>
      <c r="CD49" s="203"/>
    </row>
    <row r="50" spans="45:82" x14ac:dyDescent="0.2">
      <c r="BK50" s="119" t="str">
        <f>IF(Param!B23&lt;&gt;"", _xlfn.CONCAT(Param!B23," Panels"),"")</f>
        <v/>
      </c>
      <c r="BR50" s="71" t="s">
        <v>126</v>
      </c>
      <c r="BS50" s="79"/>
      <c r="BV50" s="109">
        <v>1</v>
      </c>
      <c r="BW50" s="71" t="s">
        <v>127</v>
      </c>
      <c r="BY50" s="79"/>
      <c r="BZ50" s="79"/>
    </row>
    <row r="51" spans="45:82" x14ac:dyDescent="0.2">
      <c r="BR51" s="71" t="s">
        <v>128</v>
      </c>
      <c r="BS51" s="79"/>
      <c r="BV51" s="109">
        <v>2</v>
      </c>
      <c r="BW51" s="71" t="s">
        <v>129</v>
      </c>
      <c r="BY51" s="79"/>
      <c r="BZ51" s="79"/>
    </row>
    <row r="52" spans="45:82" x14ac:dyDescent="0.2">
      <c r="BR52" s="71" t="s">
        <v>130</v>
      </c>
      <c r="BS52" s="79"/>
      <c r="BV52" s="109">
        <v>1</v>
      </c>
      <c r="BW52" s="71" t="s">
        <v>131</v>
      </c>
      <c r="BY52" s="79"/>
      <c r="BZ52" s="79"/>
    </row>
    <row r="53" spans="45:82" x14ac:dyDescent="0.2">
      <c r="AS53" s="119" t="str">
        <f>IF(Param!B22&lt;&gt;"",_xlfn.CONCAT(Param!B31,"mm 4C+E"),_xlfn.CONCAT(Param!B31,"mm 2C+E"))</f>
        <v>4mm 4C+E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45:82" x14ac:dyDescent="0.2">
      <c r="BX54" s="74"/>
    </row>
    <row r="55" spans="45:82" x14ac:dyDescent="0.2">
      <c r="AT55" s="100"/>
      <c r="BX55" s="77"/>
    </row>
    <row r="56" spans="45:82" x14ac:dyDescent="0.2">
      <c r="BK56" s="119" t="str">
        <f>IF(Param!B24&lt;&gt;"", _xlfn.CONCAT(Param!B24," Panels"),"")</f>
        <v>12 Panels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45:82" x14ac:dyDescent="0.2"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45:82" x14ac:dyDescent="0.2"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45:82" x14ac:dyDescent="0.2">
      <c r="AZ59" s="179"/>
      <c r="BA59" s="179"/>
      <c r="BB59" s="179"/>
      <c r="BC59" s="179"/>
      <c r="BD59" s="179"/>
      <c r="BE59" s="179"/>
      <c r="BF59" s="179"/>
      <c r="BG59" s="179"/>
      <c r="BH59" s="179"/>
      <c r="BI59" s="179"/>
      <c r="BJ59" s="179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45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45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45:82" x14ac:dyDescent="0.2">
      <c r="AZ62" s="10"/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45:82" x14ac:dyDescent="0.2">
      <c r="AZ63" s="10"/>
      <c r="BA63" s="10"/>
      <c r="BD63" s="9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45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19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C67" s="119" t="str">
        <f>IF(Param!B38&lt;&gt;"",_xlfn.CONCAT("Note: ",Param!B38),"")</f>
        <v/>
      </c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1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1" t="s">
        <v>14</v>
      </c>
      <c r="AZ69" s="191"/>
      <c r="BA69" s="192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">
        <v>58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5">
        <f>SUM(BW37:CB37)</f>
        <v>101</v>
      </c>
      <c r="CC69" s="195"/>
      <c r="CD69" s="195"/>
    </row>
    <row r="70" spans="2:82" x14ac:dyDescent="0.2">
      <c r="J70" s="5"/>
      <c r="K70" s="75"/>
      <c r="W70" s="5"/>
      <c r="X70" s="76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1" t="s">
        <v>11</v>
      </c>
      <c r="AZ71" s="191"/>
      <c r="BA71" s="192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6"/>
      <c r="BO72" s="197"/>
      <c r="BP72" s="198"/>
      <c r="BQ72" s="196"/>
      <c r="BR72" s="197"/>
      <c r="BS72" s="198"/>
      <c r="BT72" s="196"/>
      <c r="BU72" s="197"/>
      <c r="BV72" s="197"/>
      <c r="BW72" s="1"/>
      <c r="BX72" s="199">
        <f ca="1">TODAY()</f>
        <v>44247</v>
      </c>
      <c r="BY72" s="200"/>
      <c r="BZ72" s="201"/>
      <c r="CA72" s="6"/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1" t="s">
        <v>2</v>
      </c>
      <c r="AZ73" s="191"/>
      <c r="BA73" s="192"/>
      <c r="BB73" s="193">
        <f>Param!B2</f>
        <v>26181</v>
      </c>
      <c r="BC73" s="194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161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90">
    <mergeCell ref="CA11:CC11"/>
    <mergeCell ref="CA21:CC21"/>
    <mergeCell ref="CA22:CC22"/>
    <mergeCell ref="CA23:CC23"/>
    <mergeCell ref="BX9:BZ9"/>
    <mergeCell ref="BX10:BZ10"/>
    <mergeCell ref="BY18:BZ18"/>
    <mergeCell ref="BY19:BZ19"/>
    <mergeCell ref="BV16:BZ16"/>
    <mergeCell ref="BV17:BZ17"/>
    <mergeCell ref="BV15:BZ15"/>
    <mergeCell ref="BW18:BX18"/>
    <mergeCell ref="BW19:BX19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BR34:BT34"/>
    <mergeCell ref="BU34:BV34"/>
    <mergeCell ref="BW34:BX34"/>
    <mergeCell ref="BY34:BZ34"/>
    <mergeCell ref="CA34:CB34"/>
    <mergeCell ref="BT33:BU33"/>
    <mergeCell ref="BV33:BW33"/>
    <mergeCell ref="BX33:BY33"/>
    <mergeCell ref="BZ33:CA33"/>
    <mergeCell ref="CB33:CC33"/>
    <mergeCell ref="BR36:BT36"/>
    <mergeCell ref="BU36:BV36"/>
    <mergeCell ref="BW36:BX36"/>
    <mergeCell ref="BY36:BZ36"/>
    <mergeCell ref="CA36:CB36"/>
    <mergeCell ref="BR35:BT35"/>
    <mergeCell ref="BU35:BV35"/>
    <mergeCell ref="BW35:BX35"/>
    <mergeCell ref="BY35:BZ35"/>
    <mergeCell ref="CA35:CB35"/>
    <mergeCell ref="BR37:BV37"/>
    <mergeCell ref="BW37:BX37"/>
    <mergeCell ref="BY37:BZ37"/>
    <mergeCell ref="CA37:CB37"/>
    <mergeCell ref="CA40:CB40"/>
    <mergeCell ref="AT40:AT41"/>
    <mergeCell ref="BR40:BT40"/>
    <mergeCell ref="BU40:BV40"/>
    <mergeCell ref="BW40:BX40"/>
    <mergeCell ref="BY40:BZ40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BW49:CD49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X28:BZ28"/>
    <mergeCell ref="BX27:BZ27"/>
    <mergeCell ref="BV6:BZ6"/>
    <mergeCell ref="BV7:BZ7"/>
    <mergeCell ref="BW8:BZ8"/>
    <mergeCell ref="BX11:BZ11"/>
    <mergeCell ref="BV12:BZ12"/>
    <mergeCell ref="BX24:BZ24"/>
    <mergeCell ref="BX25:BZ25"/>
    <mergeCell ref="BX26:BZ26"/>
    <mergeCell ref="BY20:BZ20"/>
    <mergeCell ref="BY21:BZ21"/>
  </mergeCells>
  <conditionalFormatting sqref="BH62:BI65">
    <cfRule type="cellIs" dxfId="11" priority="4" operator="greaterThan">
      <formula>600</formula>
    </cfRule>
  </conditionalFormatting>
  <conditionalFormatting sqref="CA24">
    <cfRule type="cellIs" dxfId="10" priority="1" operator="greaterThan">
      <formula>600</formula>
    </cfRule>
  </conditionalFormatting>
  <conditionalFormatting sqref="BZ31:CA33">
    <cfRule type="cellIs" dxfId="9" priority="3" operator="greaterThan">
      <formula>600</formula>
    </cfRule>
  </conditionalFormatting>
  <conditionalFormatting sqref="BZ29:CA30">
    <cfRule type="cellIs" dxfId="8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A165-32AA-834D-AA1A-9A8089B21294}">
  <sheetPr codeName="Feuil6">
    <pageSetUpPr fitToPage="1"/>
  </sheetPr>
  <dimension ref="B5:CD74"/>
  <sheetViews>
    <sheetView showGridLines="0" topLeftCell="Q13" zoomScale="150" zoomScaleNormal="227" workbookViewId="0">
      <selection activeCell="AC34" sqref="AC34"/>
    </sheetView>
  </sheetViews>
  <sheetFormatPr baseColWidth="10" defaultRowHeight="16" x14ac:dyDescent="0.2"/>
  <cols>
    <col min="1" max="73" width="3.33203125" style="128" customWidth="1"/>
    <col min="74" max="74" width="4.1640625" style="128" bestFit="1" customWidth="1"/>
    <col min="75" max="75" width="3.33203125" style="128" customWidth="1"/>
    <col min="76" max="76" width="4.33203125" style="128" customWidth="1"/>
    <col min="77" max="83" width="3.33203125" style="128" customWidth="1"/>
    <col min="84" max="16384" width="10.83203125" style="128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177" t="str">
        <f>Param!B12</f>
        <v>LG NeON 2</v>
      </c>
      <c r="BW7" s="177"/>
      <c r="BX7" s="177"/>
      <c r="BY7" s="177"/>
      <c r="BZ7" s="178"/>
    </row>
    <row r="8" spans="4:81" x14ac:dyDescent="0.2">
      <c r="BR8" s="24" t="s">
        <v>158</v>
      </c>
      <c r="BS8" s="137"/>
      <c r="BT8" s="137"/>
      <c r="BU8" s="137"/>
      <c r="BV8" s="137"/>
      <c r="BW8" s="179">
        <f>Param!B13</f>
        <v>18</v>
      </c>
      <c r="BX8" s="179"/>
      <c r="BY8" s="179"/>
      <c r="BZ8" s="180"/>
    </row>
    <row r="9" spans="4:81" x14ac:dyDescent="0.2">
      <c r="BR9" s="24" t="s">
        <v>43</v>
      </c>
      <c r="BS9" s="18"/>
      <c r="BT9" s="18"/>
      <c r="BU9" s="18"/>
      <c r="BV9" s="18"/>
      <c r="BW9" s="18"/>
      <c r="BX9" s="213">
        <f>Param!B14</f>
        <v>365</v>
      </c>
      <c r="BY9" s="213"/>
      <c r="BZ9" s="21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4">
        <f>Param!B15</f>
        <v>41.7</v>
      </c>
      <c r="BY10" s="214"/>
      <c r="BZ10" s="21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81">
        <f>Param!B16</f>
        <v>10.88</v>
      </c>
      <c r="BY11" s="181"/>
      <c r="BZ11" s="182"/>
      <c r="CA11" s="212"/>
      <c r="CB11" s="212"/>
      <c r="CC11" s="212"/>
    </row>
    <row r="12" spans="4:81" x14ac:dyDescent="0.2">
      <c r="BR12" s="28" t="s">
        <v>159</v>
      </c>
      <c r="BS12" s="19"/>
      <c r="BT12" s="19"/>
      <c r="BU12" s="19"/>
      <c r="BV12" s="183">
        <f>Param!B14*BW8/1000</f>
        <v>6.57</v>
      </c>
      <c r="BW12" s="183"/>
      <c r="BX12" s="183"/>
      <c r="BY12" s="183"/>
      <c r="BZ12" s="184"/>
      <c r="CC12" s="78"/>
    </row>
    <row r="13" spans="4:81" x14ac:dyDescent="0.2">
      <c r="Y13" s="100" t="s">
        <v>133</v>
      </c>
      <c r="AZ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28">
        <v>1</v>
      </c>
      <c r="BZ15" s="5"/>
      <c r="CC15" s="78"/>
    </row>
    <row r="16" spans="4:81" x14ac:dyDescent="0.2">
      <c r="BR16" s="24" t="s">
        <v>39</v>
      </c>
      <c r="BS16" s="18"/>
      <c r="BT16" s="18"/>
      <c r="BU16" s="18"/>
      <c r="BV16" s="18" t="s">
        <v>103</v>
      </c>
      <c r="BW16" s="18"/>
      <c r="BX16" s="18"/>
      <c r="BY16" s="18"/>
      <c r="BZ16" s="23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29" t="s">
        <v>104</v>
      </c>
      <c r="BW17" s="18"/>
      <c r="BX17" s="18"/>
      <c r="BY17" s="18"/>
      <c r="BZ17" s="23"/>
      <c r="CA17" s="78"/>
      <c r="CB17" s="78"/>
      <c r="CC17" s="78"/>
    </row>
    <row r="18" spans="10:81" ht="16" customHeight="1" x14ac:dyDescent="0.2">
      <c r="AA18" s="128" t="str">
        <f>IF(Param!B36&lt;&gt;"","Main","")</f>
        <v/>
      </c>
      <c r="AU18" s="128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77">
        <f>5</f>
        <v>5</v>
      </c>
      <c r="BX18" s="177"/>
      <c r="BY18" s="138" t="s">
        <v>106</v>
      </c>
      <c r="BZ18" s="139"/>
      <c r="CA18" s="18"/>
      <c r="CB18" s="18"/>
      <c r="CC18" s="18"/>
    </row>
    <row r="19" spans="10:81" ht="16" customHeight="1" x14ac:dyDescent="0.2">
      <c r="AA19" s="128" t="str">
        <f>IF(Param!B36&lt;&gt;"","Switch","")</f>
        <v/>
      </c>
      <c r="AU19" s="128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77">
        <v>13.5</v>
      </c>
      <c r="BX19" s="177"/>
      <c r="BY19" s="140" t="s">
        <v>108</v>
      </c>
      <c r="BZ19" s="141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36"/>
      <c r="BU20" s="18"/>
      <c r="BV20" s="18"/>
      <c r="BW20" s="118"/>
      <c r="BX20" s="185">
        <v>32</v>
      </c>
      <c r="BY20" s="185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89">
        <v>50</v>
      </c>
      <c r="BY21" s="189"/>
      <c r="BZ21" s="117" t="s">
        <v>112</v>
      </c>
      <c r="CA21" s="213"/>
      <c r="CB21" s="213"/>
      <c r="CC21" s="213"/>
    </row>
    <row r="22" spans="10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214"/>
      <c r="CB22" s="214"/>
      <c r="CC22" s="214"/>
    </row>
    <row r="23" spans="10:81" x14ac:dyDescent="0.2">
      <c r="AA23" s="128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81"/>
      <c r="CB23" s="181"/>
      <c r="CC23" s="181"/>
    </row>
    <row r="24" spans="10:81" x14ac:dyDescent="0.2">
      <c r="AA24" s="128" t="s">
        <v>114</v>
      </c>
      <c r="BR24" s="24" t="s">
        <v>115</v>
      </c>
      <c r="BS24" s="18"/>
      <c r="BT24" s="18"/>
      <c r="BU24" s="18"/>
      <c r="BW24" s="185">
        <v>1</v>
      </c>
      <c r="BX24" s="185"/>
      <c r="BY24" s="185"/>
      <c r="BZ24" s="186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5" t="str">
        <f>Param!E16</f>
        <v>SMA</v>
      </c>
      <c r="BX25" s="185"/>
      <c r="BY25" s="185"/>
      <c r="BZ25" s="186"/>
      <c r="CC25" s="17"/>
    </row>
    <row r="26" spans="10:81" x14ac:dyDescent="0.2">
      <c r="J26" s="128" t="s">
        <v>113</v>
      </c>
      <c r="BR26" s="22" t="s">
        <v>38</v>
      </c>
      <c r="BS26" s="21"/>
      <c r="BT26" s="18"/>
      <c r="BU26" s="18"/>
      <c r="BW26" s="185" t="str">
        <f>Param!E17</f>
        <v>SB4.0-1AV-40</v>
      </c>
      <c r="BX26" s="185"/>
      <c r="BY26" s="185"/>
      <c r="BZ26" s="186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219">
        <f>Param!E20</f>
        <v>4</v>
      </c>
      <c r="BX27" s="219"/>
      <c r="BY27" s="219"/>
      <c r="BZ27" s="220"/>
      <c r="CC27" s="132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132"/>
    </row>
    <row r="29" spans="10:81" x14ac:dyDescent="0.2">
      <c r="L29" s="16"/>
      <c r="M29" s="15"/>
      <c r="AF29" s="100" t="str">
        <f>IF(Param!B36&lt;&gt;"","Existing array","")</f>
        <v/>
      </c>
      <c r="BB29" s="128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133"/>
      <c r="BS29" s="133"/>
      <c r="BT29" s="129"/>
      <c r="BU29" s="129"/>
      <c r="BV29" s="130"/>
      <c r="BW29" s="130"/>
      <c r="BX29" s="131"/>
      <c r="BY29" s="131"/>
      <c r="BZ29" s="131"/>
      <c r="CA29" s="131"/>
      <c r="CB29" s="132"/>
      <c r="CC29" s="132"/>
    </row>
    <row r="30" spans="10:81" x14ac:dyDescent="0.2">
      <c r="AF30" s="128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133"/>
      <c r="BS30" s="133"/>
      <c r="BT30" s="129"/>
      <c r="BU30" s="129"/>
      <c r="BV30" s="130"/>
      <c r="BW30" s="130"/>
      <c r="BX30" s="131"/>
      <c r="BY30" s="131"/>
      <c r="BZ30" s="131"/>
      <c r="CA30" s="131"/>
      <c r="CB30" s="132"/>
      <c r="CC30" s="132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7"/>
      <c r="BU31" s="207"/>
      <c r="BV31" s="179"/>
      <c r="BW31" s="179"/>
      <c r="BX31" s="179"/>
      <c r="BY31" s="179"/>
      <c r="BZ31" s="179"/>
      <c r="CA31" s="179"/>
      <c r="CB31" s="208"/>
      <c r="CC31" s="208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9" t="s">
        <v>140</v>
      </c>
      <c r="BS32" s="210"/>
      <c r="BT32" s="210"/>
      <c r="BU32" s="210" t="s">
        <v>151</v>
      </c>
      <c r="BV32" s="210"/>
      <c r="BW32" s="210" t="s">
        <v>141</v>
      </c>
      <c r="BX32" s="210"/>
      <c r="BY32" s="210" t="s">
        <v>142</v>
      </c>
      <c r="BZ32" s="210"/>
      <c r="CA32" s="210" t="s">
        <v>143</v>
      </c>
      <c r="CB32" s="211"/>
      <c r="CC32" s="10"/>
    </row>
    <row r="33" spans="33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6">
        <v>1</v>
      </c>
      <c r="BV33" s="226"/>
      <c r="BW33" s="226">
        <f>Param!E21</f>
        <v>12</v>
      </c>
      <c r="BX33" s="226"/>
      <c r="BY33" s="232">
        <f>IF(Param!E16="SolarEdge",380,Param!E21*Param!B15)</f>
        <v>500.40000000000003</v>
      </c>
      <c r="BZ33" s="232"/>
      <c r="CA33" s="226">
        <f>IF(Param!E16="SolarEdge",(BW33*BX9)/BY33,Param!B16)</f>
        <v>10.88</v>
      </c>
      <c r="CB33" s="234"/>
      <c r="CC33" s="10"/>
    </row>
    <row r="34" spans="33:82" x14ac:dyDescent="0.2">
      <c r="AG34" s="128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8"/>
      <c r="BV34" s="228"/>
      <c r="BW34" s="231"/>
      <c r="BX34" s="231"/>
      <c r="BY34" s="233"/>
      <c r="BZ34" s="233"/>
      <c r="CA34" s="231"/>
      <c r="CB34" s="235"/>
      <c r="CC34" s="10"/>
    </row>
    <row r="35" spans="33:82" x14ac:dyDescent="0.2">
      <c r="AG35" s="128" t="str">
        <f>IF(Param!B36&lt;&gt;"","Ac Isolator","")</f>
        <v/>
      </c>
      <c r="AL35" s="128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30">
        <v>2</v>
      </c>
      <c r="BV35" s="230"/>
      <c r="BW35" s="230">
        <f>Param!E22</f>
        <v>0</v>
      </c>
      <c r="BX35" s="230"/>
      <c r="BY35" s="236" cm="1">
        <f t="array" ref="BY35">_xlfn.IFS(Param!E22="",0,Param!E16="SolarEdge",380,Param!E16&lt;&gt;"SolarEdge",Param!E21*Param!B15)</f>
        <v>0</v>
      </c>
      <c r="BZ35" s="236"/>
      <c r="CA35" s="221" cm="1">
        <f t="array" ref="CA35">_xlfn.IFS(Param!E22="",0,Param!E16="SolarEdge",(BW33*BX9)/BY33,Param!E16&lt;&gt;"SolarEdge",Param!B16)</f>
        <v>0</v>
      </c>
      <c r="CB35" s="222"/>
      <c r="CC35" s="10"/>
    </row>
    <row r="36" spans="33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30"/>
      <c r="BT36" s="230"/>
      <c r="BU36" s="230"/>
      <c r="BV36" s="230"/>
      <c r="BW36" s="230"/>
      <c r="BX36" s="230"/>
      <c r="BY36" s="236"/>
      <c r="BZ36" s="236"/>
      <c r="CA36" s="223"/>
      <c r="CB36" s="224"/>
      <c r="CC36" s="10"/>
    </row>
    <row r="37" spans="33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33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33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33:82" x14ac:dyDescent="0.2">
      <c r="AT40" s="204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</row>
    <row r="41" spans="33:82" x14ac:dyDescent="0.2">
      <c r="AT41" s="204"/>
      <c r="AZ41" s="100"/>
      <c r="BR41" s="179"/>
      <c r="BS41" s="179"/>
      <c r="BT41" s="179"/>
      <c r="BU41" s="179"/>
      <c r="BV41" s="179"/>
      <c r="BW41" s="179"/>
      <c r="BX41" s="179"/>
      <c r="BY41" s="179"/>
      <c r="BZ41" s="179"/>
      <c r="CA41" s="179"/>
      <c r="CB41" s="179"/>
    </row>
    <row r="42" spans="33:82" x14ac:dyDescent="0.2">
      <c r="BK42" s="129"/>
      <c r="BR42" s="179"/>
      <c r="BS42" s="179"/>
      <c r="BT42" s="179"/>
      <c r="BU42" s="179"/>
      <c r="BV42" s="179"/>
      <c r="BW42" s="179"/>
      <c r="BX42" s="179"/>
      <c r="BY42" s="179"/>
      <c r="BZ42" s="179"/>
      <c r="CA42" s="179"/>
      <c r="CB42" s="179"/>
    </row>
    <row r="43" spans="33:82" x14ac:dyDescent="0.2">
      <c r="AT43" s="100"/>
    </row>
    <row r="44" spans="33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33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33:82" x14ac:dyDescent="0.2">
      <c r="BR46" s="80" t="s">
        <v>35</v>
      </c>
      <c r="BS46" s="70"/>
      <c r="BV46" s="109" t="s">
        <v>34</v>
      </c>
      <c r="BW46" s="128" t="s">
        <v>33</v>
      </c>
    </row>
    <row r="47" spans="33:82" x14ac:dyDescent="0.2">
      <c r="BR47" s="71" t="s">
        <v>32</v>
      </c>
      <c r="BS47" s="79"/>
      <c r="BV47" s="110">
        <f>Param!B13</f>
        <v>18</v>
      </c>
      <c r="BW47" s="71" t="str">
        <f>_xlfn.CONCAT(, BV7, " ", BX9, "W")</f>
        <v>LG NeON 2 365W</v>
      </c>
      <c r="BY47" s="79"/>
      <c r="BZ47" s="79"/>
    </row>
    <row r="48" spans="33:82" x14ac:dyDescent="0.2"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128</v>
      </c>
      <c r="BS49" s="79"/>
      <c r="BT49" s="145"/>
      <c r="BU49" s="145"/>
      <c r="BV49" s="109">
        <v>2</v>
      </c>
      <c r="BW49" s="71" t="s">
        <v>129</v>
      </c>
      <c r="BX49" s="145"/>
      <c r="BY49" s="79"/>
      <c r="BZ49" s="79"/>
      <c r="CA49" s="145"/>
      <c r="CB49" s="145"/>
      <c r="CC49" s="145"/>
      <c r="CD49" s="145"/>
    </row>
    <row r="50" spans="27:82" x14ac:dyDescent="0.2">
      <c r="AJ50" s="124" t="s">
        <v>137</v>
      </c>
      <c r="AX50" s="128" t="str">
        <f>IF(Param!E22&lt;&gt;"",Param!E22,"")</f>
        <v/>
      </c>
      <c r="AY50" s="128" t="str">
        <f>IF(Param!E22&lt;&gt;"","Panels","")</f>
        <v/>
      </c>
      <c r="BK50" s="128" t="str">
        <f>IF(Param!B23&lt;&gt;"", _xlfn.CONCAT(Param!B23," Panels"),"")</f>
        <v/>
      </c>
      <c r="BR50" s="71" t="s">
        <v>31</v>
      </c>
      <c r="BS50" s="148"/>
      <c r="BT50" s="149"/>
      <c r="BU50" s="149"/>
      <c r="BV50" s="109"/>
      <c r="BW50" s="71" t="s">
        <v>30</v>
      </c>
      <c r="BX50" s="145"/>
      <c r="BY50" s="148"/>
      <c r="BZ50" s="148"/>
      <c r="CA50" s="149"/>
      <c r="CB50" s="149"/>
      <c r="CC50" s="149"/>
      <c r="CD50" s="149"/>
    </row>
    <row r="51" spans="27:82" x14ac:dyDescent="0.2">
      <c r="BR51" s="70"/>
      <c r="BS51" s="70"/>
      <c r="BT51" s="74"/>
      <c r="BU51" s="74"/>
      <c r="BV51" s="74"/>
      <c r="BW51" s="70"/>
      <c r="BX51" s="74"/>
      <c r="BY51" s="70"/>
      <c r="BZ51" s="70"/>
      <c r="CA51" s="74"/>
      <c r="CB51" s="74"/>
      <c r="CC51" s="74"/>
      <c r="CD51" s="74"/>
    </row>
    <row r="52" spans="27:82" x14ac:dyDescent="0.2">
      <c r="BR52" s="148"/>
      <c r="BS52" s="148"/>
      <c r="BT52" s="149"/>
      <c r="BU52" s="149"/>
      <c r="BV52" s="149"/>
      <c r="BW52" s="148"/>
      <c r="BX52" s="149"/>
      <c r="BY52" s="148"/>
      <c r="BZ52" s="148"/>
      <c r="CA52" s="149"/>
      <c r="CB52" s="149"/>
      <c r="CC52" s="149"/>
      <c r="CD52" s="149"/>
    </row>
    <row r="53" spans="27:82" x14ac:dyDescent="0.2">
      <c r="BR53" s="148"/>
      <c r="BS53" s="148"/>
      <c r="BT53" s="149"/>
      <c r="BU53" s="149"/>
      <c r="BV53" s="149"/>
      <c r="BW53" s="148"/>
      <c r="BX53" s="149"/>
      <c r="BY53" s="148"/>
      <c r="BZ53" s="148"/>
      <c r="CA53" s="149"/>
      <c r="CB53" s="149"/>
      <c r="CC53" s="149"/>
      <c r="CD53" s="149"/>
    </row>
    <row r="54" spans="27:82" x14ac:dyDescent="0.2">
      <c r="AA54" s="128" t="str">
        <f>IF(Param!E18=3,_xlfn.CONCAT(Param!B31,"mm 4C+E"),_xlfn.CONCAT(Param!B31,"mm 2C+E"))</f>
        <v>4mm 2C+E</v>
      </c>
      <c r="BX54" s="149"/>
    </row>
    <row r="55" spans="27:82" x14ac:dyDescent="0.2">
      <c r="AT55" s="100"/>
      <c r="BX55" s="77"/>
    </row>
    <row r="56" spans="27:82" x14ac:dyDescent="0.2">
      <c r="AD56" s="10" t="s">
        <v>139</v>
      </c>
      <c r="AM56" s="129" t="s">
        <v>152</v>
      </c>
      <c r="AP56" s="129" t="s">
        <v>152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E57" s="128" t="s">
        <v>138</v>
      </c>
      <c r="AM57" s="129" t="s">
        <v>153</v>
      </c>
      <c r="AP57" s="129" t="s">
        <v>153</v>
      </c>
      <c r="AX57" s="128">
        <f>Param!E21</f>
        <v>12</v>
      </c>
      <c r="AY57" s="128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8" t="s">
        <v>154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I59" s="128" t="s">
        <v>155</v>
      </c>
      <c r="AZ59" s="179"/>
      <c r="BA59" s="179"/>
      <c r="BB59" s="179"/>
      <c r="BC59" s="179"/>
      <c r="BD59" s="179"/>
      <c r="BE59" s="179"/>
      <c r="BF59" s="179"/>
      <c r="BG59" s="179"/>
      <c r="BH59" s="179"/>
      <c r="BI59" s="179"/>
      <c r="BJ59" s="179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28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28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1" t="s">
        <v>14</v>
      </c>
      <c r="AZ69" s="191"/>
      <c r="BA69" s="192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5">
        <f>BW27+BV15*BW18</f>
        <v>9</v>
      </c>
      <c r="CC69" s="195"/>
      <c r="CD69" s="195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1" t="s">
        <v>11</v>
      </c>
      <c r="AZ71" s="191"/>
      <c r="BA71" s="192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6" t="s">
        <v>61</v>
      </c>
      <c r="BO72" s="197"/>
      <c r="BP72" s="198"/>
      <c r="BQ72" s="196" t="s">
        <v>4</v>
      </c>
      <c r="BR72" s="197"/>
      <c r="BS72" s="198"/>
      <c r="BT72" s="196" t="s">
        <v>4</v>
      </c>
      <c r="BU72" s="197"/>
      <c r="BV72" s="197"/>
      <c r="BW72" s="1"/>
      <c r="BX72" s="199">
        <f ca="1">TODAY()</f>
        <v>44247</v>
      </c>
      <c r="BY72" s="200"/>
      <c r="BZ72" s="201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1" t="s">
        <v>2</v>
      </c>
      <c r="AZ73" s="191"/>
      <c r="BA73" s="192"/>
      <c r="BB73" s="193">
        <f>Param!B2</f>
        <v>26181</v>
      </c>
      <c r="BC73" s="194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165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8">
    <mergeCell ref="BW25:BZ25"/>
    <mergeCell ref="BW26:BZ26"/>
    <mergeCell ref="AY73:BA73"/>
    <mergeCell ref="BB73:BC73"/>
    <mergeCell ref="AY69:BA69"/>
    <mergeCell ref="BU41:BV41"/>
    <mergeCell ref="BW41:BX41"/>
    <mergeCell ref="BY41:BZ41"/>
    <mergeCell ref="BU35:BV36"/>
    <mergeCell ref="BW35:BX36"/>
    <mergeCell ref="BY35:BZ36"/>
    <mergeCell ref="BR32:BT32"/>
    <mergeCell ref="BU32:BV32"/>
    <mergeCell ref="BW32:BX32"/>
    <mergeCell ref="BY32:BZ32"/>
    <mergeCell ref="BR42:BT42"/>
    <mergeCell ref="CB69:CD69"/>
    <mergeCell ref="AY71:BA71"/>
    <mergeCell ref="BN72:BP72"/>
    <mergeCell ref="BQ72:BS72"/>
    <mergeCell ref="BT72:BV72"/>
    <mergeCell ref="BX72:BZ72"/>
    <mergeCell ref="BU42:BV42"/>
    <mergeCell ref="BW42:BX42"/>
    <mergeCell ref="BY42:BZ42"/>
    <mergeCell ref="CA42:CB42"/>
    <mergeCell ref="AZ59:BB59"/>
    <mergeCell ref="BC59:BD59"/>
    <mergeCell ref="BE59:BF59"/>
    <mergeCell ref="BG59:BH59"/>
    <mergeCell ref="BI59:BJ59"/>
    <mergeCell ref="CA35:CB36"/>
    <mergeCell ref="AT40:AT41"/>
    <mergeCell ref="BR40:BT40"/>
    <mergeCell ref="BU40:BV40"/>
    <mergeCell ref="BW40:BX40"/>
    <mergeCell ref="BY40:BZ40"/>
    <mergeCell ref="CA40:CB40"/>
    <mergeCell ref="BR33:BT36"/>
    <mergeCell ref="BU33:BV34"/>
    <mergeCell ref="BW33:BX34"/>
    <mergeCell ref="BY33:BZ34"/>
    <mergeCell ref="CA33:CB34"/>
    <mergeCell ref="BR41:BT41"/>
    <mergeCell ref="CA41:CB41"/>
    <mergeCell ref="CA32:CB32"/>
    <mergeCell ref="CA11:CC11"/>
    <mergeCell ref="BT31:BU31"/>
    <mergeCell ref="BV31:BW31"/>
    <mergeCell ref="BX31:BY31"/>
    <mergeCell ref="BZ31:CA31"/>
    <mergeCell ref="CB31:CC31"/>
    <mergeCell ref="CA21:CC21"/>
    <mergeCell ref="CA22:CC22"/>
    <mergeCell ref="CA23:CC23"/>
    <mergeCell ref="BW19:BX19"/>
    <mergeCell ref="BX20:BY20"/>
    <mergeCell ref="BX21:BY21"/>
    <mergeCell ref="BW27:BZ27"/>
    <mergeCell ref="BW18:BX18"/>
    <mergeCell ref="BW24:BZ24"/>
    <mergeCell ref="BV6:BZ6"/>
    <mergeCell ref="BV7:BZ7"/>
    <mergeCell ref="BW8:BZ8"/>
    <mergeCell ref="BX11:BZ11"/>
    <mergeCell ref="BV12:BZ12"/>
    <mergeCell ref="BX9:BZ9"/>
    <mergeCell ref="BX10:BZ10"/>
  </mergeCells>
  <conditionalFormatting sqref="BH62:BI65">
    <cfRule type="cellIs" dxfId="7" priority="4" operator="greaterThan">
      <formula>600</formula>
    </cfRule>
  </conditionalFormatting>
  <conditionalFormatting sqref="CA24">
    <cfRule type="cellIs" dxfId="6" priority="1" operator="greaterThan">
      <formula>600</formula>
    </cfRule>
  </conditionalFormatting>
  <conditionalFormatting sqref="BZ31:CA31">
    <cfRule type="cellIs" dxfId="5" priority="3" operator="greaterThan">
      <formula>600</formula>
    </cfRule>
  </conditionalFormatting>
  <conditionalFormatting sqref="BZ29:CA30">
    <cfRule type="cellIs" dxfId="4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BF74-4C90-1646-97ED-407ABE7FCB33}">
  <sheetPr codeName="Feuil4">
    <pageSetUpPr fitToPage="1"/>
  </sheetPr>
  <dimension ref="B5:CD74"/>
  <sheetViews>
    <sheetView showGridLines="0" topLeftCell="C1" zoomScale="75" zoomScaleNormal="227" workbookViewId="0">
      <selection activeCell="BV7" sqref="BV7:BZ7"/>
    </sheetView>
  </sheetViews>
  <sheetFormatPr baseColWidth="10" defaultRowHeight="16" x14ac:dyDescent="0.2"/>
  <cols>
    <col min="1" max="40" width="3.33203125" style="99" customWidth="1"/>
    <col min="41" max="41" width="4" style="99" customWidth="1"/>
    <col min="42" max="42" width="3.6640625" style="99" customWidth="1"/>
    <col min="43" max="73" width="3.33203125" style="99" customWidth="1"/>
    <col min="74" max="74" width="4.1640625" style="99" bestFit="1" customWidth="1"/>
    <col min="75" max="75" width="3.33203125" style="99" customWidth="1"/>
    <col min="76" max="76" width="4.33203125" style="99" customWidth="1"/>
    <col min="77" max="83" width="3.33203125" style="99" customWidth="1"/>
    <col min="84" max="16384" width="10.83203125" style="9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X6" s="100" t="s">
        <v>166</v>
      </c>
      <c r="BC6" s="99" t="s">
        <v>135</v>
      </c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217" t="str">
        <f>Param!B12</f>
        <v>LG NeON 2</v>
      </c>
      <c r="BW7" s="217"/>
      <c r="BX7" s="217"/>
      <c r="BY7" s="217"/>
      <c r="BZ7" s="245"/>
    </row>
    <row r="8" spans="4:81" x14ac:dyDescent="0.2">
      <c r="BR8" s="24" t="s">
        <v>158</v>
      </c>
      <c r="BS8" s="151"/>
      <c r="BT8" s="151"/>
      <c r="BU8" s="151"/>
      <c r="BV8" s="151"/>
      <c r="BX8" s="179">
        <f>Param!B13</f>
        <v>18</v>
      </c>
      <c r="BY8" s="179"/>
      <c r="BZ8" s="180"/>
    </row>
    <row r="9" spans="4:81" x14ac:dyDescent="0.2">
      <c r="BR9" s="24" t="s">
        <v>43</v>
      </c>
      <c r="BS9" s="18"/>
      <c r="BT9" s="18"/>
      <c r="BU9" s="18"/>
      <c r="BV9" s="18"/>
      <c r="BW9" s="18"/>
      <c r="BX9" s="213">
        <f>Param!B14</f>
        <v>365</v>
      </c>
      <c r="BY9" s="213"/>
      <c r="BZ9" s="21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4">
        <f>Param!B15</f>
        <v>41.7</v>
      </c>
      <c r="BY10" s="214"/>
      <c r="BZ10" s="21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81">
        <f>Param!B16</f>
        <v>10.88</v>
      </c>
      <c r="BY11" s="181"/>
      <c r="BZ11" s="182"/>
      <c r="CA11" s="212"/>
      <c r="CB11" s="212"/>
      <c r="CC11" s="212"/>
    </row>
    <row r="12" spans="4:81" x14ac:dyDescent="0.2">
      <c r="BR12" s="28" t="s">
        <v>159</v>
      </c>
      <c r="BS12" s="19"/>
      <c r="BT12" s="19"/>
      <c r="BU12" s="19"/>
      <c r="BV12" s="77"/>
      <c r="BW12" s="77"/>
      <c r="BX12" s="237">
        <f>Param!B14*BX8/1000</f>
        <v>6.57</v>
      </c>
      <c r="BY12" s="237"/>
      <c r="BZ12" s="238"/>
      <c r="CC12" s="78"/>
    </row>
    <row r="13" spans="4:81" x14ac:dyDescent="0.2">
      <c r="Y13" s="100" t="s">
        <v>133</v>
      </c>
      <c r="BD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X15" s="179">
        <v>1</v>
      </c>
      <c r="BY15" s="179"/>
      <c r="BZ15" s="180"/>
      <c r="CC15" s="78"/>
    </row>
    <row r="16" spans="4:81" x14ac:dyDescent="0.2">
      <c r="BR16" s="24" t="s">
        <v>39</v>
      </c>
      <c r="BS16" s="18"/>
      <c r="BT16" s="18"/>
      <c r="BU16" s="18"/>
      <c r="BW16" s="18"/>
      <c r="BX16" s="185" t="s">
        <v>103</v>
      </c>
      <c r="BY16" s="185"/>
      <c r="BZ16" s="186"/>
      <c r="CC16" s="78"/>
    </row>
    <row r="17" spans="10:81" x14ac:dyDescent="0.2">
      <c r="BE17" s="79"/>
      <c r="BF17" s="79"/>
      <c r="BG17" s="79"/>
      <c r="BH17" s="79"/>
      <c r="BI17" s="99" t="s">
        <v>59</v>
      </c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W17" s="18"/>
      <c r="BX17" s="177" t="s">
        <v>104</v>
      </c>
      <c r="BY17" s="177"/>
      <c r="BZ17" s="178"/>
      <c r="CA17" s="78"/>
      <c r="CB17" s="78"/>
      <c r="CC17" s="78"/>
    </row>
    <row r="18" spans="10:81" ht="16" customHeight="1" x14ac:dyDescent="0.2">
      <c r="AA18" s="99" t="str">
        <f>IF(Param!B36&lt;&gt;"","Main","")</f>
        <v/>
      </c>
      <c r="BE18" s="79"/>
      <c r="BF18" s="79"/>
      <c r="BG18" s="79"/>
      <c r="BH18" s="79"/>
      <c r="BI18" s="99" t="s">
        <v>110</v>
      </c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77">
        <f>5</f>
        <v>5</v>
      </c>
      <c r="BX18" s="177"/>
      <c r="BY18" s="214" t="s">
        <v>106</v>
      </c>
      <c r="BZ18" s="216"/>
      <c r="CA18" s="18"/>
      <c r="CB18" s="18"/>
      <c r="CC18" s="18"/>
    </row>
    <row r="19" spans="10:81" ht="16" customHeight="1" x14ac:dyDescent="0.2">
      <c r="AA19" s="99" t="str">
        <f>IF(Param!B36&lt;&gt;"","Switch","")</f>
        <v/>
      </c>
      <c r="BE19" s="79"/>
      <c r="BF19" s="79"/>
      <c r="BG19" s="79"/>
      <c r="BH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77">
        <v>13.5</v>
      </c>
      <c r="BX19" s="177"/>
      <c r="BY19" s="181" t="s">
        <v>108</v>
      </c>
      <c r="BZ19" s="182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52"/>
      <c r="BU20" s="18"/>
      <c r="BV20" s="18"/>
      <c r="BW20" s="118"/>
      <c r="BX20" s="185">
        <v>32</v>
      </c>
      <c r="BY20" s="185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167</v>
      </c>
      <c r="BS21" s="104"/>
      <c r="BT21" s="105"/>
      <c r="BU21" s="19"/>
      <c r="BV21" s="19"/>
      <c r="BW21" s="116"/>
      <c r="BX21" s="189">
        <v>50</v>
      </c>
      <c r="BY21" s="189"/>
      <c r="BZ21" s="117" t="s">
        <v>112</v>
      </c>
      <c r="CA21" s="213"/>
      <c r="CB21" s="213"/>
      <c r="CC21" s="213"/>
    </row>
    <row r="22" spans="10:81" x14ac:dyDescent="0.2">
      <c r="BR22" s="151"/>
      <c r="BS22" s="151"/>
      <c r="BT22" s="151"/>
      <c r="BU22" s="151"/>
      <c r="BV22" s="151"/>
      <c r="BW22" s="151"/>
      <c r="BX22" s="151"/>
      <c r="BY22" s="151"/>
      <c r="BZ22" s="151"/>
      <c r="CA22" s="214"/>
      <c r="CB22" s="214"/>
      <c r="CC22" s="214"/>
    </row>
    <row r="23" spans="10:81" x14ac:dyDescent="0.2">
      <c r="AB23" s="99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81"/>
      <c r="CB23" s="181"/>
      <c r="CC23" s="181"/>
    </row>
    <row r="24" spans="10:81" x14ac:dyDescent="0.2">
      <c r="AB24" s="99" t="s">
        <v>114</v>
      </c>
      <c r="BR24" s="24" t="s">
        <v>115</v>
      </c>
      <c r="BS24" s="18"/>
      <c r="BT24" s="18"/>
      <c r="BU24" s="18"/>
      <c r="BW24" s="18"/>
      <c r="BX24" s="185">
        <v>1</v>
      </c>
      <c r="BY24" s="185"/>
      <c r="BZ24" s="186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"/>
      <c r="BX25" s="185" t="str">
        <f>Param!E16</f>
        <v>SMA</v>
      </c>
      <c r="BY25" s="185"/>
      <c r="BZ25" s="186"/>
      <c r="CC25" s="17"/>
    </row>
    <row r="26" spans="10:81" x14ac:dyDescent="0.2">
      <c r="J26" s="99" t="s">
        <v>113</v>
      </c>
      <c r="BR26" s="22" t="s">
        <v>38</v>
      </c>
      <c r="BS26" s="21"/>
      <c r="BT26" s="18"/>
      <c r="BU26" s="18"/>
      <c r="BW26" s="185" t="str">
        <f>Param!E17</f>
        <v>SB4.0-1AV-40</v>
      </c>
      <c r="BX26" s="185"/>
      <c r="BY26" s="185"/>
      <c r="BZ26" s="186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19"/>
      <c r="BX27" s="219" t="str">
        <f>_xlfn.CONCAT(Param!E20, "kWac")</f>
        <v>4kWac</v>
      </c>
      <c r="BY27" s="219"/>
      <c r="BZ27" s="220"/>
      <c r="CC27" s="97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97"/>
    </row>
    <row r="29" spans="10:81" x14ac:dyDescent="0.2">
      <c r="L29" s="16"/>
      <c r="M29" s="15"/>
      <c r="AB29" s="100" t="str">
        <f>IF(Param!B36&lt;&gt;"","Existing array","")</f>
        <v/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95"/>
      <c r="BU29" s="95"/>
      <c r="BV29" s="96"/>
      <c r="BW29" s="96"/>
      <c r="BX29" s="94"/>
      <c r="BY29" s="94"/>
      <c r="BZ29" s="94"/>
      <c r="CA29" s="94"/>
      <c r="CB29" s="97"/>
      <c r="CC29" s="97"/>
    </row>
    <row r="30" spans="10:81" x14ac:dyDescent="0.2">
      <c r="AB30" s="9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95"/>
      <c r="BU30" s="95"/>
      <c r="BV30" s="96"/>
      <c r="BW30" s="96"/>
      <c r="BX30" s="94"/>
      <c r="BY30" s="94"/>
      <c r="BZ30" s="94"/>
      <c r="CA30" s="94"/>
      <c r="CB30" s="97"/>
      <c r="CC30" s="97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7"/>
      <c r="BU31" s="207"/>
      <c r="BV31" s="179"/>
      <c r="BW31" s="179"/>
      <c r="BX31" s="179"/>
      <c r="BY31" s="179"/>
      <c r="BZ31" s="179"/>
      <c r="CA31" s="179"/>
      <c r="CB31" s="208"/>
      <c r="CC31" s="208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9" t="s">
        <v>140</v>
      </c>
      <c r="BS32" s="210"/>
      <c r="BT32" s="210"/>
      <c r="BU32" s="210" t="s">
        <v>157</v>
      </c>
      <c r="BV32" s="210"/>
      <c r="BW32" s="210" t="s">
        <v>141</v>
      </c>
      <c r="BX32" s="210"/>
      <c r="BY32" s="210" t="s">
        <v>142</v>
      </c>
      <c r="BZ32" s="210"/>
      <c r="CA32" s="210" t="s">
        <v>143</v>
      </c>
      <c r="CB32" s="211"/>
      <c r="CC32" s="10"/>
    </row>
    <row r="33" spans="28:82" x14ac:dyDescent="0.2">
      <c r="BE33" s="79"/>
      <c r="BF33" s="79"/>
      <c r="BG33" s="79"/>
      <c r="BH33" s="79"/>
      <c r="BI33" s="79"/>
      <c r="BJ33" s="106" t="s">
        <v>117</v>
      </c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5" t="s">
        <v>109</v>
      </c>
      <c r="BV33" s="234"/>
      <c r="BW33" s="226">
        <f>Param!E21</f>
        <v>12</v>
      </c>
      <c r="BX33" s="226"/>
      <c r="BY33" s="226">
        <f>IF(Param!E16="SolarEdge",380,Param!E21*Param!B15)</f>
        <v>500.40000000000003</v>
      </c>
      <c r="BZ33" s="226"/>
      <c r="CA33" s="226">
        <f>IF(Param!E16="SolarEdge",(BW33*#REF!)/BY33,Param!B16)</f>
        <v>10.88</v>
      </c>
      <c r="CB33" s="234"/>
      <c r="CC33" s="10"/>
    </row>
    <row r="34" spans="28:82" x14ac:dyDescent="0.2">
      <c r="AB34" s="99" t="str">
        <f>IF(Param!B36&lt;&gt;"","Inverter supply ","")</f>
        <v/>
      </c>
      <c r="BE34" s="79"/>
      <c r="BF34" s="79"/>
      <c r="BG34" s="79"/>
      <c r="BH34" s="79"/>
      <c r="BI34" s="79"/>
      <c r="BJ34" s="107" t="s">
        <v>118</v>
      </c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9"/>
      <c r="BV34" s="241"/>
      <c r="BW34" s="230">
        <f>Param!E22</f>
        <v>0</v>
      </c>
      <c r="BX34" s="230"/>
      <c r="BY34" s="230">
        <f>IF(Param!E16="SolarEdge",380,Param!E22*Param!B15)</f>
        <v>0</v>
      </c>
      <c r="BZ34" s="230"/>
      <c r="CA34" s="230">
        <f>IF(Param!E16="SolarEdge",(BW34*#REF!)/BY34,Param!B16)</f>
        <v>10.88</v>
      </c>
      <c r="CB34" s="241"/>
      <c r="CC34" s="10"/>
    </row>
    <row r="35" spans="28:82" x14ac:dyDescent="0.2">
      <c r="AB35" s="99" t="str">
        <f>IF(Param!B36&lt;&gt;"","Ac Isolator","")</f>
        <v/>
      </c>
      <c r="AG35" s="9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42" t="s">
        <v>156</v>
      </c>
      <c r="BV35" s="243"/>
      <c r="BW35" s="244">
        <f>Param!E23</f>
        <v>12</v>
      </c>
      <c r="BX35" s="244"/>
      <c r="BY35" s="244">
        <f>IF(Param!E16="SolarEdge",380,Param!E23*Param!B15)</f>
        <v>500.40000000000003</v>
      </c>
      <c r="BZ35" s="244"/>
      <c r="CA35" s="239">
        <f>IF(Param!E16="SolarEdge",(BW33*#REF!)/BY33,Param!B16)</f>
        <v>10.88</v>
      </c>
      <c r="CB35" s="240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30"/>
      <c r="BT36" s="230"/>
      <c r="BU36" s="229"/>
      <c r="BV36" s="241"/>
      <c r="BW36" s="230"/>
      <c r="BX36" s="230"/>
      <c r="BY36" s="230"/>
      <c r="BZ36" s="230"/>
      <c r="CA36" s="223"/>
      <c r="CB36" s="224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204"/>
      <c r="BF40" s="99" t="s">
        <v>134</v>
      </c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</row>
    <row r="41" spans="28:82" x14ac:dyDescent="0.2">
      <c r="AT41" s="204"/>
      <c r="AZ41" s="100"/>
      <c r="BR41" s="179"/>
      <c r="BS41" s="179"/>
      <c r="BT41" s="179"/>
      <c r="BU41" s="179"/>
      <c r="BV41" s="179"/>
      <c r="BW41" s="179"/>
      <c r="BX41" s="179"/>
      <c r="BY41" s="179"/>
      <c r="BZ41" s="179"/>
      <c r="CA41" s="179"/>
      <c r="CB41" s="179"/>
    </row>
    <row r="42" spans="28:82" x14ac:dyDescent="0.2">
      <c r="BK42" s="114"/>
      <c r="BR42" s="179"/>
      <c r="BS42" s="179"/>
      <c r="BT42" s="179"/>
      <c r="BU42" s="179"/>
      <c r="BV42" s="179"/>
      <c r="BW42" s="179"/>
      <c r="BX42" s="179"/>
      <c r="BY42" s="179"/>
      <c r="BZ42" s="179"/>
      <c r="CA42" s="179"/>
      <c r="CB42" s="179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AW45" s="128" t="str">
        <f>IF(Param!E22&lt;&gt;"",Param!E22,"")</f>
        <v/>
      </c>
      <c r="AX45" s="128" t="str">
        <f>IF(Param!E22&lt;&gt;"","Panels","")</f>
        <v/>
      </c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AI46" s="124" t="s">
        <v>137</v>
      </c>
      <c r="BR46" s="80" t="s">
        <v>35</v>
      </c>
      <c r="BS46" s="70"/>
      <c r="BV46" s="109" t="s">
        <v>34</v>
      </c>
      <c r="BW46" s="99" t="s">
        <v>33</v>
      </c>
    </row>
    <row r="47" spans="28:82" x14ac:dyDescent="0.2">
      <c r="BR47" s="71" t="s">
        <v>32</v>
      </c>
      <c r="BS47" s="79"/>
      <c r="BV47" s="110">
        <f>Param!B13</f>
        <v>18</v>
      </c>
      <c r="BW47" s="71" t="str">
        <f>_xlfn.CONCAT(, BV7, " ",BX9, "W")</f>
        <v>LG NeON 2 365W</v>
      </c>
      <c r="BY47" s="79"/>
      <c r="BZ47" s="79"/>
    </row>
    <row r="48" spans="28:82" x14ac:dyDescent="0.2">
      <c r="AL48" s="99" t="s">
        <v>109</v>
      </c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168</v>
      </c>
      <c r="BS49" s="79"/>
      <c r="BV49" s="109">
        <v>1</v>
      </c>
      <c r="BW49" s="202" t="s">
        <v>169</v>
      </c>
      <c r="BX49" s="203"/>
      <c r="BY49" s="203"/>
      <c r="BZ49" s="203"/>
      <c r="CA49" s="203"/>
      <c r="CB49" s="203"/>
      <c r="CC49" s="203"/>
      <c r="CD49" s="203"/>
    </row>
    <row r="50" spans="27:82" x14ac:dyDescent="0.2">
      <c r="AY50" s="125"/>
      <c r="BK50" s="113" t="str">
        <f>IF(Param!B23&lt;&gt;"", _xlfn.CONCAT(Param!B23," Panels"),"")</f>
        <v/>
      </c>
      <c r="BR50" s="71" t="s">
        <v>170</v>
      </c>
      <c r="BS50" s="79"/>
      <c r="BV50" s="109">
        <v>1</v>
      </c>
      <c r="BW50" s="71" t="s">
        <v>171</v>
      </c>
      <c r="BY50" s="79"/>
      <c r="BZ50" s="79"/>
    </row>
    <row r="51" spans="27:82" x14ac:dyDescent="0.2">
      <c r="AA51" s="99" t="str">
        <f>IF(Param!E18=3,_xlfn.CONCAT(Param!B31,"mm 4C+E"),_xlfn.CONCAT(Param!B31,"mm 2C+E"))</f>
        <v>4mm 2C+E</v>
      </c>
      <c r="AM51" s="135" t="s">
        <v>152</v>
      </c>
      <c r="AP51" s="135" t="s">
        <v>152</v>
      </c>
      <c r="AW51" s="128">
        <f>Param!E21</f>
        <v>12</v>
      </c>
      <c r="AX51" s="128" t="s">
        <v>150</v>
      </c>
      <c r="BR51" s="71" t="s">
        <v>128</v>
      </c>
      <c r="BS51" s="79"/>
      <c r="BV51" s="109">
        <v>3</v>
      </c>
      <c r="BW51" s="71" t="s">
        <v>172</v>
      </c>
      <c r="BY51" s="79"/>
      <c r="BZ51" s="79"/>
    </row>
    <row r="52" spans="27:82" x14ac:dyDescent="0.2">
      <c r="AM52" s="135" t="s">
        <v>153</v>
      </c>
      <c r="AP52" s="135" t="s">
        <v>153</v>
      </c>
      <c r="BR52" s="71" t="s">
        <v>173</v>
      </c>
      <c r="BS52" s="79"/>
      <c r="BV52" s="109">
        <v>4</v>
      </c>
      <c r="BW52" s="71" t="s">
        <v>174</v>
      </c>
      <c r="BY52" s="79"/>
      <c r="BZ52" s="79"/>
    </row>
    <row r="53" spans="27:82" x14ac:dyDescent="0.2">
      <c r="AC53" s="10" t="s">
        <v>139</v>
      </c>
      <c r="AL53" s="99" t="s">
        <v>156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27:82" x14ac:dyDescent="0.2">
      <c r="AD54" s="99" t="s">
        <v>138</v>
      </c>
      <c r="BX54" s="74"/>
    </row>
    <row r="55" spans="27:82" x14ac:dyDescent="0.2">
      <c r="AT55" s="100"/>
      <c r="BX55" s="77"/>
    </row>
    <row r="56" spans="27:82" x14ac:dyDescent="0.2">
      <c r="AM56" s="127" t="s">
        <v>152</v>
      </c>
      <c r="AP56" s="127" t="s">
        <v>152</v>
      </c>
      <c r="BK56" s="113"/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I57" s="126" t="s">
        <v>154</v>
      </c>
      <c r="AM57" s="127" t="s">
        <v>153</v>
      </c>
      <c r="AP57" s="127" t="s">
        <v>153</v>
      </c>
      <c r="AW57" s="99">
        <f>Param!E23</f>
        <v>12</v>
      </c>
      <c r="AX57" s="99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6" t="s">
        <v>155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Z59" s="134"/>
      <c r="BA59" s="134"/>
      <c r="BB59" s="134"/>
      <c r="BC59" s="179"/>
      <c r="BD59" s="179"/>
      <c r="BE59" s="179"/>
      <c r="BF59" s="179"/>
      <c r="BG59" s="179"/>
      <c r="BH59" s="179"/>
      <c r="BI59" s="179"/>
      <c r="BJ59" s="179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9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1" t="s">
        <v>14</v>
      </c>
      <c r="AZ69" s="191"/>
      <c r="BA69" s="192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5">
        <f>Param!E20+BX15*BW18</f>
        <v>9</v>
      </c>
      <c r="CC69" s="195"/>
      <c r="CD69" s="195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1" t="s">
        <v>11</v>
      </c>
      <c r="AZ71" s="191"/>
      <c r="BA71" s="192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6" t="s">
        <v>61</v>
      </c>
      <c r="BO72" s="197"/>
      <c r="BP72" s="198"/>
      <c r="BQ72" s="196" t="s">
        <v>4</v>
      </c>
      <c r="BR72" s="197"/>
      <c r="BS72" s="198"/>
      <c r="BT72" s="196" t="s">
        <v>4</v>
      </c>
      <c r="BU72" s="197"/>
      <c r="BV72" s="197"/>
      <c r="BW72" s="1"/>
      <c r="BX72" s="199">
        <f ca="1">TODAY()</f>
        <v>44247</v>
      </c>
      <c r="BY72" s="200"/>
      <c r="BZ72" s="201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1" t="s">
        <v>2</v>
      </c>
      <c r="AZ73" s="191"/>
      <c r="BA73" s="192"/>
      <c r="BB73" s="193">
        <f>Param!B2</f>
        <v>26181</v>
      </c>
      <c r="BC73" s="194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164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76">
    <mergeCell ref="BV6:BZ6"/>
    <mergeCell ref="BV7:BZ7"/>
    <mergeCell ref="BX11:BZ11"/>
    <mergeCell ref="BW26:BZ26"/>
    <mergeCell ref="BX24:BZ24"/>
    <mergeCell ref="BY18:BZ18"/>
    <mergeCell ref="BY19:BZ19"/>
    <mergeCell ref="BW18:BX18"/>
    <mergeCell ref="BW19:BX19"/>
    <mergeCell ref="BX20:BY20"/>
    <mergeCell ref="BX21:BY21"/>
    <mergeCell ref="BX8:BZ8"/>
    <mergeCell ref="BX9:BZ9"/>
    <mergeCell ref="BX10:BZ10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CD4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AT40:AT41"/>
    <mergeCell ref="BR40:BT40"/>
    <mergeCell ref="BU40:BV40"/>
    <mergeCell ref="BW40:BX40"/>
    <mergeCell ref="BY40:BZ40"/>
    <mergeCell ref="CA40:CB40"/>
    <mergeCell ref="BR41:BT41"/>
    <mergeCell ref="BU41:BV41"/>
    <mergeCell ref="BW41:BX41"/>
    <mergeCell ref="BY41:BZ41"/>
    <mergeCell ref="CA41:CB41"/>
    <mergeCell ref="BR33:BT36"/>
    <mergeCell ref="BU33:BV34"/>
    <mergeCell ref="BU35:BV36"/>
    <mergeCell ref="BW35:BX36"/>
    <mergeCell ref="BY35:BZ36"/>
    <mergeCell ref="BX27:BZ27"/>
    <mergeCell ref="CA35:CB36"/>
    <mergeCell ref="BW33:BX33"/>
    <mergeCell ref="BW34:BX34"/>
    <mergeCell ref="BY33:BZ33"/>
    <mergeCell ref="BY34:BZ34"/>
    <mergeCell ref="CA33:CB33"/>
    <mergeCell ref="CA34:CB34"/>
    <mergeCell ref="CB31:CC31"/>
    <mergeCell ref="BZ31:CA31"/>
    <mergeCell ref="BX31:BY31"/>
    <mergeCell ref="BV31:BW31"/>
    <mergeCell ref="CA32:CB32"/>
    <mergeCell ref="BT31:BU31"/>
    <mergeCell ref="BR32:BT32"/>
    <mergeCell ref="BU32:BV32"/>
    <mergeCell ref="BW32:BX32"/>
    <mergeCell ref="BY32:BZ32"/>
    <mergeCell ref="CA11:CC11"/>
    <mergeCell ref="CA22:CC22"/>
    <mergeCell ref="CA23:CC23"/>
    <mergeCell ref="BX25:BZ25"/>
    <mergeCell ref="CA21:CC21"/>
    <mergeCell ref="BX12:BZ12"/>
    <mergeCell ref="BX17:BZ17"/>
    <mergeCell ref="BX16:BZ16"/>
    <mergeCell ref="BX15:BZ15"/>
  </mergeCells>
  <conditionalFormatting sqref="BH62:BI65">
    <cfRule type="cellIs" dxfId="3" priority="5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1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</vt:lpstr>
      <vt:lpstr>Vrise</vt:lpstr>
      <vt:lpstr>PW2-ENP-Partial</vt:lpstr>
      <vt:lpstr>PW2-1Mppt-Partial</vt:lpstr>
      <vt:lpstr>PW2-2Mppt-Partial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2021-02-20T03:58:23Z</dcterms:modified>
</cp:coreProperties>
</file>