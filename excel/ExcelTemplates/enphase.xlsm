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an/Documents/Dev/AutoSld/excel/ExcelTemplates/"/>
    </mc:Choice>
  </mc:AlternateContent>
  <xr:revisionPtr revIDLastSave="0" documentId="13_ncr:1_{4F0C67C8-CC27-6245-900F-620A8C7DE1EB}" xr6:coauthVersionLast="46" xr6:coauthVersionMax="46" xr10:uidLastSave="{00000000-0000-0000-0000-000000000000}"/>
  <bookViews>
    <workbookView xWindow="4680" yWindow="520" windowWidth="28920" windowHeight="17340" activeTab="2" xr2:uid="{5C310A73-3E33-5C44-B32F-CABC6D95981F}"/>
  </bookViews>
  <sheets>
    <sheet name="Param" sheetId="3" r:id="rId1"/>
    <sheet name="Vrise" sheetId="1" r:id="rId2"/>
    <sheet name="Enphase" sheetId="15" r:id="rId3"/>
  </sheets>
  <functionGroups builtInGroupCount="19"/>
  <externalReferences>
    <externalReference r:id="rId4"/>
    <externalReference r:id="rId5"/>
  </externalReferences>
  <definedNames>
    <definedName name="rule_s1_oversized">[1]Rules!$C$5</definedName>
    <definedName name="rule_s1_under">[1]Rules!$C$10</definedName>
    <definedName name="rule_s2_oversized">[1]Rules!$C$6</definedName>
    <definedName name="rule_s2_under">[1]Rules!$C$11</definedName>
    <definedName name="String_1">[1]Manage!$I$28</definedName>
    <definedName name="String_2">[1]Manage!$I$29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3" i="15" l="1" a="1"/>
  <c r="Q53" i="15"/>
  <c r="BW49" i="15"/>
  <c r="BV48" i="15"/>
  <c r="BY32" i="15"/>
  <c r="AR66" i="15"/>
  <c r="BV26" i="15"/>
  <c r="BX26" i="15"/>
  <c r="BZ26" i="15"/>
  <c r="BZ25" i="15"/>
  <c r="BX25" i="15"/>
  <c r="BV25" i="15"/>
  <c r="BV12" i="15"/>
  <c r="C40" i="1"/>
  <c r="BX16" i="15"/>
  <c r="BV47" i="15"/>
  <c r="BV7" i="15"/>
  <c r="BX9" i="15"/>
  <c r="BW47" i="15"/>
  <c r="BX18" i="15"/>
  <c r="BW48" i="15"/>
  <c r="BN69" i="15"/>
  <c r="BW19" i="15"/>
  <c r="G35" i="1"/>
  <c r="BY35" i="15"/>
  <c r="E35" i="1"/>
  <c r="BU35" i="15"/>
  <c r="C35" i="1"/>
  <c r="BQ35" i="15"/>
  <c r="G34" i="1"/>
  <c r="G32" i="1"/>
  <c r="G36" i="1"/>
  <c r="G38" i="1" a="1"/>
  <c r="G38" i="1"/>
  <c r="BY36" i="15"/>
  <c r="E32" i="1"/>
  <c r="E36" i="1"/>
  <c r="E38" i="1" a="1"/>
  <c r="E38" i="1"/>
  <c r="BU36" i="15"/>
  <c r="C32" i="1"/>
  <c r="C36" i="1"/>
  <c r="C38" i="1" a="1"/>
  <c r="C38" i="1"/>
  <c r="BQ36" i="15"/>
  <c r="BY34" i="15"/>
  <c r="BU34" i="15"/>
  <c r="BQ34" i="15"/>
  <c r="BY33" i="15"/>
  <c r="BU33" i="15"/>
  <c r="BQ33" i="15"/>
  <c r="BU32" i="15"/>
  <c r="BQ32" i="15"/>
  <c r="BX8" i="15"/>
  <c r="BX11" i="15"/>
  <c r="BX10" i="15"/>
  <c r="BV6" i="15"/>
  <c r="BT25" i="15"/>
  <c r="BW20" i="15"/>
  <c r="Q42" i="15"/>
  <c r="BK57" i="15"/>
  <c r="BK50" i="15"/>
  <c r="BK43" i="15"/>
  <c r="AP44" i="15"/>
  <c r="AP37" i="15"/>
  <c r="AP31" i="15"/>
  <c r="E30" i="15"/>
  <c r="N66" i="15"/>
  <c r="J65" i="15"/>
  <c r="J64" i="15"/>
  <c r="F59" i="15"/>
  <c r="F58" i="15"/>
  <c r="E34" i="15"/>
  <c r="E35" i="15"/>
  <c r="BB73" i="15"/>
  <c r="BB71" i="15"/>
  <c r="BB69" i="15"/>
  <c r="BX17" i="15"/>
  <c r="BT26" i="15"/>
  <c r="BX72" i="15"/>
  <c r="CB69" i="15"/>
  <c r="E30" i="1"/>
  <c r="C30" i="1"/>
  <c r="B31" i="1"/>
  <c r="G37" i="1" a="1"/>
  <c r="C37" i="1" a="1"/>
  <c r="C37" i="1"/>
  <c r="G37" i="1"/>
  <c r="G39" i="1"/>
  <c r="E37" i="1" a="1"/>
  <c r="E39" i="1"/>
  <c r="E37" i="1"/>
  <c r="C39" i="1"/>
  <c r="F40" i="1"/>
  <c r="G4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<sst xmlns="http://schemas.openxmlformats.org/spreadsheetml/2006/main" count="154" uniqueCount="127">
  <si>
    <t>Date:</t>
  </si>
  <si>
    <t>Version:</t>
  </si>
  <si>
    <t>Job No.</t>
  </si>
  <si>
    <t>A4035434</t>
  </si>
  <si>
    <t>LW</t>
  </si>
  <si>
    <t>HCB SOLAR | LG ELECTRONICS</t>
  </si>
  <si>
    <t>ACCREDIATION</t>
  </si>
  <si>
    <t>DATE</t>
  </si>
  <si>
    <t>APPROVED</t>
  </si>
  <si>
    <t>CHECKED</t>
  </si>
  <si>
    <t>DRAWN</t>
  </si>
  <si>
    <t>Project</t>
  </si>
  <si>
    <t>Solar Design</t>
  </si>
  <si>
    <t>SCALE: NTS</t>
  </si>
  <si>
    <t>Client</t>
  </si>
  <si>
    <t>Project Management</t>
  </si>
  <si>
    <t>REVISION DESCRIPTION</t>
  </si>
  <si>
    <t>PV Single Line Diagram</t>
  </si>
  <si>
    <t>TITLE</t>
  </si>
  <si>
    <t>per conductor unless otherwise noted.</t>
  </si>
  <si>
    <t>5. All DC and earth cable sizes shall be min 4mm2</t>
  </si>
  <si>
    <t>4. Design is compliant with AS5033/2012</t>
  </si>
  <si>
    <t>per relevant Australian Standards</t>
  </si>
  <si>
    <t>3. All the safety related issues shall be addressed as</t>
  </si>
  <si>
    <t>as per relevant Australian Standards</t>
  </si>
  <si>
    <t xml:space="preserve">2. The cables/switches shall be designed and installed </t>
  </si>
  <si>
    <t>Australian Standards</t>
  </si>
  <si>
    <t>licensed electrical contractor as per relevant</t>
  </si>
  <si>
    <t xml:space="preserve">1. The installation shall be completed by a </t>
  </si>
  <si>
    <t>Notes:</t>
  </si>
  <si>
    <t>Metering as agreed with Distrib.</t>
  </si>
  <si>
    <t>M1</t>
  </si>
  <si>
    <t>DC Isolator, 1000V DC, 32A</t>
  </si>
  <si>
    <t>IS</t>
  </si>
  <si>
    <t>AC 01</t>
  </si>
  <si>
    <t>Solar System AC Main Switch</t>
  </si>
  <si>
    <t>CB 01</t>
  </si>
  <si>
    <t>SYSTEM SIZE</t>
  </si>
  <si>
    <t>PANELS</t>
  </si>
  <si>
    <t>Description</t>
  </si>
  <si>
    <t>Qty</t>
  </si>
  <si>
    <t>ID</t>
  </si>
  <si>
    <t>Bill of Quantities</t>
  </si>
  <si>
    <t>kWac</t>
  </si>
  <si>
    <t>Total kWac</t>
  </si>
  <si>
    <t>Model</t>
  </si>
  <si>
    <t>Make</t>
  </si>
  <si>
    <t>No. of Inverters: 1</t>
  </si>
  <si>
    <t>Inverter Parameters</t>
  </si>
  <si>
    <t>Short Circuit Current</t>
  </si>
  <si>
    <t>Open Circuit Voltage</t>
  </si>
  <si>
    <t>Module Power</t>
  </si>
  <si>
    <t>Solar Panel Parameters</t>
  </si>
  <si>
    <t>Customer:</t>
  </si>
  <si>
    <t>Address:</t>
  </si>
  <si>
    <t>Consumer Mains</t>
  </si>
  <si>
    <t>Main Switchboard to Inverter</t>
  </si>
  <si>
    <t>Phases</t>
  </si>
  <si>
    <t>Conductor Type</t>
  </si>
  <si>
    <t>Copper</t>
  </si>
  <si>
    <t>Conductor Size</t>
  </si>
  <si>
    <t>Conductor Length (m)</t>
  </si>
  <si>
    <t>Maximum Amperage/Phase</t>
  </si>
  <si>
    <t>Am per %Vd</t>
  </si>
  <si>
    <t>(%) Voltage Drop</t>
  </si>
  <si>
    <t>(V) Voltage Drop</t>
  </si>
  <si>
    <t>LG Electronics</t>
  </si>
  <si>
    <t>Loads</t>
  </si>
  <si>
    <t>240V AC (if required)</t>
  </si>
  <si>
    <t>Main Switch</t>
  </si>
  <si>
    <t>Inverter Supply</t>
  </si>
  <si>
    <t>MSB</t>
  </si>
  <si>
    <t xml:space="preserve">House </t>
  </si>
  <si>
    <t>JS</t>
  </si>
  <si>
    <t>LG NeON 2</t>
  </si>
  <si>
    <t xml:space="preserve">Miller, Ian </t>
  </si>
  <si>
    <t>Client Information</t>
  </si>
  <si>
    <t>Job Number</t>
  </si>
  <si>
    <t>Address</t>
  </si>
  <si>
    <t>Client Name</t>
  </si>
  <si>
    <t>Panel Manufacturer</t>
  </si>
  <si>
    <t>Panel Model</t>
  </si>
  <si>
    <t>Panel Number</t>
  </si>
  <si>
    <t>Inverter Manufacturer</t>
  </si>
  <si>
    <t>Inverter Model</t>
  </si>
  <si>
    <t>Panel Information</t>
  </si>
  <si>
    <t>Panel Power</t>
  </si>
  <si>
    <t>Panel Voc</t>
  </si>
  <si>
    <t>Panel Isc</t>
  </si>
  <si>
    <t>154 Princeton Ave  Adamstown Heights</t>
  </si>
  <si>
    <t>Inverter Information</t>
  </si>
  <si>
    <t>SMA</t>
  </si>
  <si>
    <t>SB4.0-1AV-40</t>
  </si>
  <si>
    <t>Vrise Info</t>
  </si>
  <si>
    <t>Service Main</t>
  </si>
  <si>
    <t>Consumer Main</t>
  </si>
  <si>
    <t xml:space="preserve">MSB </t>
  </si>
  <si>
    <t>Chosen Cable size</t>
  </si>
  <si>
    <t>Monitoring</t>
  </si>
  <si>
    <t>Arrays:</t>
  </si>
  <si>
    <t>Model:</t>
  </si>
  <si>
    <t>L1</t>
  </si>
  <si>
    <t>L2</t>
  </si>
  <si>
    <t>L3</t>
  </si>
  <si>
    <t>ENP 01</t>
  </si>
  <si>
    <t>ENP 02</t>
  </si>
  <si>
    <t>MICROINVERTER</t>
  </si>
  <si>
    <t>Max current</t>
  </si>
  <si>
    <t>String1L1</t>
  </si>
  <si>
    <t>String1L2</t>
  </si>
  <si>
    <t>String1L3</t>
  </si>
  <si>
    <t>String2L1</t>
  </si>
  <si>
    <t>String2L2</t>
  </si>
  <si>
    <t>String2L3</t>
  </si>
  <si>
    <t>Extra Info</t>
  </si>
  <si>
    <t>Existing array (kWac)</t>
  </si>
  <si>
    <t>Block diag (0/1)</t>
  </si>
  <si>
    <t xml:space="preserve">Phases </t>
  </si>
  <si>
    <t>Inverter Output</t>
  </si>
  <si>
    <t>Total Output</t>
  </si>
  <si>
    <t>No. Of Panels</t>
  </si>
  <si>
    <t>Total kWdc</t>
  </si>
  <si>
    <t>Voltage Rise Summary</t>
  </si>
  <si>
    <t>MSB to Inv</t>
  </si>
  <si>
    <t>SLD Notes</t>
  </si>
  <si>
    <t>Vrise Notes</t>
  </si>
  <si>
    <t>18 Jan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</si>
</sst>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d/mm/yy;@"/>
    <numFmt numFmtId="165" formatCode="#.0\ \k\W\a\c"/>
    <numFmt numFmtId="166" formatCode="#.##\ \A"/>
    <numFmt numFmtId="167" formatCode="#"/>
    <numFmt numFmtId="168" formatCode="#.#\ \V"/>
    <numFmt numFmtId="169" formatCode="#\ \W"/>
    <numFmt numFmtId="170" formatCode="#.0\ \k\W"/>
    <numFmt numFmtId="171" formatCode="0\ &quot;Phase&quot;"/>
    <numFmt numFmtId="172" formatCode="0\ &quot;mm2&quot;"/>
    <numFmt numFmtId="173" formatCode="0.00000"/>
    <numFmt numFmtId="174" formatCode="#.##\ \k\W\d\c"/>
    <numFmt numFmtId="175" formatCode="#.0\ \A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 (Body)"/>
    </font>
    <font>
      <sz val="12"/>
      <color rgb="FF000000"/>
      <name val="Calibri"/>
      <family val="2"/>
    </font>
    <font>
      <b/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</fills>
  <borders count="49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202">
    <xf numFmtId="0" fontId="0" fillId="0" borderId="0" xfId="0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0" fillId="0" borderId="4" xfId="0" applyBorder="1"/>
    <xf numFmtId="0" fontId="0" fillId="0" borderId="7" xfId="0" applyBorder="1"/>
    <xf numFmtId="0" fontId="1" fillId="0" borderId="3" xfId="0" applyFont="1" applyBorder="1"/>
    <xf numFmtId="0" fontId="2" fillId="0" borderId="0" xfId="0" applyFont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vertical="center"/>
    </xf>
    <xf numFmtId="0" fontId="4" fillId="0" borderId="6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165" fontId="3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" fontId="0" fillId="0" borderId="0" xfId="0" applyNumberFormat="1"/>
    <xf numFmtId="0" fontId="0" fillId="2" borderId="0" xfId="0" applyFill="1"/>
    <xf numFmtId="0" fontId="0" fillId="2" borderId="2" xfId="0" applyFill="1" applyBorder="1"/>
    <xf numFmtId="0" fontId="5" fillId="2" borderId="0" xfId="0" applyFont="1" applyFill="1"/>
    <xf numFmtId="0" fontId="5" fillId="2" borderId="8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3" xfId="0" applyFill="1" applyBorder="1"/>
    <xf numFmtId="166" fontId="0" fillId="0" borderId="0" xfId="0" quotePrefix="1" applyNumberFormat="1"/>
    <xf numFmtId="168" fontId="0" fillId="0" borderId="0" xfId="0" quotePrefix="1" applyNumberFormat="1"/>
    <xf numFmtId="169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6" fillId="0" borderId="15" xfId="1" applyFont="1" applyBorder="1" applyAlignment="1">
      <alignment horizontal="right"/>
    </xf>
    <xf numFmtId="0" fontId="3" fillId="0" borderId="16" xfId="1" applyBorder="1" applyProtection="1">
      <protection locked="0"/>
    </xf>
    <xf numFmtId="0" fontId="3" fillId="0" borderId="20" xfId="1" applyBorder="1"/>
    <xf numFmtId="171" fontId="3" fillId="0" borderId="3" xfId="1" applyNumberFormat="1" applyBorder="1" applyProtection="1">
      <protection locked="0"/>
    </xf>
    <xf numFmtId="0" fontId="3" fillId="0" borderId="21" xfId="1" applyBorder="1"/>
    <xf numFmtId="171" fontId="3" fillId="0" borderId="22" xfId="1" applyNumberFormat="1" applyBorder="1" applyProtection="1">
      <protection locked="0"/>
    </xf>
    <xf numFmtId="0" fontId="3" fillId="0" borderId="3" xfId="1" applyBorder="1" applyProtection="1">
      <protection locked="0"/>
    </xf>
    <xf numFmtId="0" fontId="3" fillId="0" borderId="23" xfId="1" applyBorder="1" applyProtection="1">
      <protection locked="0"/>
    </xf>
    <xf numFmtId="0" fontId="3" fillId="0" borderId="1" xfId="1" applyBorder="1"/>
    <xf numFmtId="0" fontId="3" fillId="0" borderId="24" xfId="1" applyBorder="1" applyProtection="1">
      <protection locked="0"/>
    </xf>
    <xf numFmtId="0" fontId="3" fillId="0" borderId="25" xfId="1" applyBorder="1"/>
    <xf numFmtId="172" fontId="3" fillId="0" borderId="0" xfId="1" applyNumberFormat="1"/>
    <xf numFmtId="172" fontId="3" fillId="0" borderId="26" xfId="1" applyNumberFormat="1" applyBorder="1"/>
    <xf numFmtId="0" fontId="3" fillId="0" borderId="27" xfId="1" applyBorder="1"/>
    <xf numFmtId="2" fontId="3" fillId="0" borderId="6" xfId="1" applyNumberFormat="1" applyBorder="1" applyProtection="1">
      <protection locked="0"/>
    </xf>
    <xf numFmtId="2" fontId="3" fillId="0" borderId="28" xfId="1" applyNumberFormat="1" applyBorder="1" applyProtection="1">
      <protection locked="0"/>
    </xf>
    <xf numFmtId="2" fontId="3" fillId="0" borderId="5" xfId="1" applyNumberFormat="1" applyBorder="1" applyProtection="1">
      <protection locked="0"/>
    </xf>
    <xf numFmtId="2" fontId="3" fillId="0" borderId="29" xfId="1" applyNumberFormat="1" applyBorder="1" applyProtection="1">
      <protection locked="0"/>
    </xf>
    <xf numFmtId="0" fontId="3" fillId="0" borderId="30" xfId="1" applyBorder="1" applyAlignment="1">
      <alignment horizontal="left"/>
    </xf>
    <xf numFmtId="0" fontId="3" fillId="0" borderId="31" xfId="1" applyBorder="1"/>
    <xf numFmtId="0" fontId="3" fillId="0" borderId="32" xfId="1" applyBorder="1" applyAlignment="1">
      <alignment horizontal="left"/>
    </xf>
    <xf numFmtId="0" fontId="3" fillId="0" borderId="29" xfId="1" applyBorder="1"/>
    <xf numFmtId="0" fontId="3" fillId="0" borderId="15" xfId="1" applyBorder="1"/>
    <xf numFmtId="10" fontId="3" fillId="0" borderId="33" xfId="1" applyNumberFormat="1" applyBorder="1"/>
    <xf numFmtId="0" fontId="3" fillId="0" borderId="34" xfId="1" applyBorder="1"/>
    <xf numFmtId="173" fontId="3" fillId="0" borderId="35" xfId="1" applyNumberFormat="1" applyBorder="1"/>
    <xf numFmtId="10" fontId="3" fillId="0" borderId="36" xfId="1" applyNumberFormat="1" applyBorder="1" applyAlignment="1" applyProtection="1">
      <alignment horizontal="left"/>
      <protection locked="0"/>
    </xf>
    <xf numFmtId="0" fontId="3" fillId="0" borderId="33" xfId="1" applyBorder="1" applyAlignment="1" applyProtection="1">
      <alignment horizontal="left"/>
      <protection locked="0"/>
    </xf>
    <xf numFmtId="0" fontId="3" fillId="0" borderId="40" xfId="1" applyBorder="1" applyAlignment="1" applyProtection="1">
      <alignment horizontal="left"/>
      <protection locked="0"/>
    </xf>
    <xf numFmtId="0" fontId="3" fillId="0" borderId="41" xfId="1" applyBorder="1" applyAlignment="1" applyProtection="1">
      <alignment horizontal="left"/>
      <protection locked="0"/>
    </xf>
    <xf numFmtId="173" fontId="3" fillId="0" borderId="43" xfId="1" applyNumberFormat="1" applyBorder="1"/>
    <xf numFmtId="10" fontId="3" fillId="0" borderId="44" xfId="1" applyNumberFormat="1" applyBorder="1"/>
    <xf numFmtId="0" fontId="0" fillId="0" borderId="0" xfId="0"/>
    <xf numFmtId="0" fontId="0" fillId="0" borderId="0" xfId="0" applyAlignment="1">
      <alignment horizontal="center" vertical="center"/>
    </xf>
    <xf numFmtId="0" fontId="0" fillId="0" borderId="46" xfId="0" applyBorder="1" applyAlignment="1">
      <alignment horizontal="center"/>
    </xf>
    <xf numFmtId="0" fontId="0" fillId="0" borderId="46" xfId="0" applyBorder="1" applyAlignment="1">
      <alignment horizontal="center" wrapText="1"/>
    </xf>
    <xf numFmtId="0" fontId="0" fillId="0" borderId="46" xfId="0" applyBorder="1" applyAlignment="1">
      <alignment horizontal="center" vertical="center"/>
    </xf>
    <xf numFmtId="0" fontId="0" fillId="2" borderId="46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5" xfId="0" applyFont="1" applyBorder="1"/>
    <xf numFmtId="0" fontId="3" fillId="0" borderId="8" xfId="0" applyFont="1" applyBorder="1"/>
    <xf numFmtId="0" fontId="3" fillId="0" borderId="7" xfId="0" applyFont="1" applyBorder="1"/>
    <xf numFmtId="166" fontId="0" fillId="2" borderId="0" xfId="0" quotePrefix="1" applyNumberFormat="1" applyFill="1" applyAlignment="1">
      <alignment horizontal="center"/>
    </xf>
    <xf numFmtId="0" fontId="0" fillId="0" borderId="6" xfId="0" applyBorder="1"/>
    <xf numFmtId="0" fontId="0" fillId="0" borderId="5" xfId="0" applyBorder="1"/>
    <xf numFmtId="0" fontId="0" fillId="0" borderId="8" xfId="0" applyBorder="1"/>
    <xf numFmtId="0" fontId="0" fillId="0" borderId="3" xfId="0" applyBorder="1"/>
    <xf numFmtId="0" fontId="0" fillId="0" borderId="2" xfId="0" applyBorder="1"/>
    <xf numFmtId="170" fontId="0" fillId="0" borderId="0" xfId="0" applyNumberFormat="1"/>
    <xf numFmtId="0" fontId="3" fillId="0" borderId="0" xfId="0" applyFont="1"/>
    <xf numFmtId="0" fontId="3" fillId="0" borderId="6" xfId="0" applyFont="1" applyBorder="1"/>
    <xf numFmtId="0" fontId="3" fillId="0" borderId="4" xfId="0" applyFont="1" applyBorder="1"/>
    <xf numFmtId="0" fontId="3" fillId="0" borderId="1" xfId="0" applyFont="1" applyBorder="1"/>
    <xf numFmtId="0" fontId="3" fillId="0" borderId="3" xfId="0" applyFont="1" applyBorder="1"/>
    <xf numFmtId="0" fontId="3" fillId="0" borderId="2" xfId="0" applyFont="1" applyBorder="1"/>
    <xf numFmtId="0" fontId="9" fillId="0" borderId="0" xfId="0" applyFont="1"/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2" borderId="46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8" fillId="0" borderId="0" xfId="0" applyFont="1" applyBorder="1" applyAlignment="1"/>
    <xf numFmtId="0" fontId="8" fillId="0" borderId="0" xfId="0" applyFont="1" applyFill="1" applyBorder="1" applyAlignment="1"/>
    <xf numFmtId="0" fontId="0" fillId="0" borderId="0" xfId="0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/>
    <xf numFmtId="169" fontId="0" fillId="2" borderId="0" xfId="0" applyNumberFormat="1" applyFill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1" fillId="0" borderId="0" xfId="0" applyFont="1"/>
    <xf numFmtId="0" fontId="0" fillId="0" borderId="0" xfId="0" applyFont="1"/>
    <xf numFmtId="0" fontId="1" fillId="0" borderId="0" xfId="0" applyFont="1" applyAlignment="1"/>
    <xf numFmtId="0" fontId="0" fillId="2" borderId="0" xfId="0" applyFill="1" applyBorder="1"/>
    <xf numFmtId="0" fontId="1" fillId="0" borderId="0" xfId="0" applyFont="1"/>
    <xf numFmtId="0" fontId="0" fillId="0" borderId="0" xfId="0"/>
    <xf numFmtId="0" fontId="1" fillId="4" borderId="0" xfId="0" applyFont="1" applyFill="1"/>
    <xf numFmtId="0" fontId="1" fillId="4" borderId="6" xfId="0" applyFont="1" applyFill="1" applyBorder="1"/>
    <xf numFmtId="0" fontId="1" fillId="4" borderId="5" xfId="0" applyFont="1" applyFill="1" applyBorder="1"/>
    <xf numFmtId="0" fontId="1" fillId="4" borderId="4" xfId="0" applyFont="1" applyFill="1" applyBorder="1"/>
    <xf numFmtId="0" fontId="1" fillId="4" borderId="8" xfId="0" applyFont="1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Alignment="1"/>
    <xf numFmtId="0" fontId="0" fillId="3" borderId="4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4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3" fillId="0" borderId="45" xfId="1" applyBorder="1" applyAlignment="1" applyProtection="1">
      <alignment horizontal="left"/>
      <protection locked="0"/>
    </xf>
    <xf numFmtId="0" fontId="3" fillId="0" borderId="16" xfId="1" applyBorder="1" applyAlignment="1" applyProtection="1">
      <alignment horizontal="left"/>
      <protection locked="0"/>
    </xf>
    <xf numFmtId="0" fontId="3" fillId="0" borderId="17" xfId="1" applyBorder="1" applyAlignment="1" applyProtection="1">
      <alignment horizontal="left"/>
      <protection locked="0"/>
    </xf>
    <xf numFmtId="0" fontId="6" fillId="0" borderId="18" xfId="1" applyFont="1" applyBorder="1" applyAlignment="1">
      <alignment horizontal="center"/>
    </xf>
    <xf numFmtId="0" fontId="6" fillId="0" borderId="17" xfId="1" applyFont="1" applyBorder="1" applyAlignment="1">
      <alignment horizontal="center"/>
    </xf>
    <xf numFmtId="0" fontId="7" fillId="0" borderId="18" xfId="1" applyFont="1" applyBorder="1" applyAlignment="1">
      <alignment horizontal="center"/>
    </xf>
    <xf numFmtId="0" fontId="7" fillId="0" borderId="19" xfId="1" applyFont="1" applyBorder="1" applyAlignment="1">
      <alignment horizontal="center"/>
    </xf>
    <xf numFmtId="0" fontId="3" fillId="0" borderId="35" xfId="1" applyBorder="1" applyAlignment="1">
      <alignment horizontal="right" vertical="top"/>
    </xf>
    <xf numFmtId="0" fontId="3" fillId="0" borderId="39" xfId="1" applyBorder="1" applyAlignment="1">
      <alignment horizontal="right" vertical="top"/>
    </xf>
    <xf numFmtId="10" fontId="0" fillId="3" borderId="37" xfId="2" applyNumberFormat="1" applyFont="1" applyFill="1" applyBorder="1" applyAlignment="1">
      <alignment horizontal="center"/>
    </xf>
    <xf numFmtId="10" fontId="0" fillId="3" borderId="42" xfId="2" applyNumberFormat="1" applyFont="1" applyFill="1" applyBorder="1" applyAlignment="1">
      <alignment horizontal="center"/>
    </xf>
    <xf numFmtId="2" fontId="3" fillId="3" borderId="38" xfId="1" applyNumberFormat="1" applyFill="1" applyBorder="1" applyAlignment="1">
      <alignment horizontal="center"/>
    </xf>
    <xf numFmtId="2" fontId="3" fillId="3" borderId="31" xfId="1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10" fontId="0" fillId="0" borderId="14" xfId="0" applyNumberFormat="1" applyBorder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10" fontId="0" fillId="0" borderId="12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65" fontId="3" fillId="0" borderId="8" xfId="0" applyNumberFormat="1" applyFont="1" applyBorder="1" applyAlignment="1">
      <alignment horizontal="left"/>
    </xf>
    <xf numFmtId="165" fontId="3" fillId="0" borderId="0" xfId="0" applyNumberFormat="1" applyFont="1" applyAlignment="1">
      <alignment horizontal="left"/>
    </xf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5" xfId="0" applyBorder="1" applyAlignment="1">
      <alignment horizontal="left"/>
    </xf>
    <xf numFmtId="165" fontId="0" fillId="0" borderId="5" xfId="0" applyNumberFormat="1" applyBorder="1" applyAlignment="1">
      <alignment horizontal="center"/>
    </xf>
    <xf numFmtId="164" fontId="0" fillId="0" borderId="3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0" fillId="0" borderId="0" xfId="0"/>
    <xf numFmtId="172" fontId="0" fillId="0" borderId="8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2" fontId="0" fillId="0" borderId="7" xfId="0" applyNumberFormat="1" applyBorder="1" applyAlignment="1">
      <alignment horizontal="center" vertical="center"/>
    </xf>
    <xf numFmtId="175" fontId="0" fillId="0" borderId="8" xfId="0" applyNumberFormat="1" applyBorder="1" applyAlignment="1">
      <alignment horizontal="center" vertical="center"/>
    </xf>
    <xf numFmtId="175" fontId="0" fillId="0" borderId="0" xfId="0" applyNumberFormat="1" applyBorder="1" applyAlignment="1">
      <alignment horizontal="center" vertical="center"/>
    </xf>
    <xf numFmtId="175" fontId="0" fillId="0" borderId="7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7" fontId="0" fillId="0" borderId="6" xfId="0" applyNumberFormat="1" applyBorder="1" applyAlignment="1">
      <alignment horizontal="center"/>
    </xf>
    <xf numFmtId="167" fontId="0" fillId="0" borderId="5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171" fontId="0" fillId="0" borderId="6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1" fillId="4" borderId="0" xfId="0" applyFont="1" applyFill="1" applyAlignment="1">
      <alignment horizontal="right" indent="1"/>
    </xf>
    <xf numFmtId="0" fontId="1" fillId="4" borderId="47" xfId="0" applyFont="1" applyFill="1" applyBorder="1" applyAlignment="1">
      <alignment horizontal="right" indent="1"/>
    </xf>
    <xf numFmtId="0" fontId="1" fillId="4" borderId="0" xfId="0" applyFont="1" applyFill="1" applyAlignment="1">
      <alignment horizontal="center"/>
    </xf>
    <xf numFmtId="0" fontId="1" fillId="4" borderId="47" xfId="0" applyFont="1" applyFill="1" applyBorder="1" applyAlignment="1">
      <alignment horizontal="center"/>
    </xf>
    <xf numFmtId="169" fontId="1" fillId="4" borderId="0" xfId="0" applyNumberFormat="1" applyFont="1" applyFill="1" applyAlignment="1">
      <alignment horizontal="center"/>
    </xf>
    <xf numFmtId="169" fontId="1" fillId="4" borderId="47" xfId="0" applyNumberFormat="1" applyFont="1" applyFill="1" applyBorder="1" applyAlignment="1">
      <alignment horizontal="center"/>
    </xf>
    <xf numFmtId="168" fontId="1" fillId="4" borderId="0" xfId="0" applyNumberFormat="1" applyFont="1" applyFill="1" applyAlignment="1">
      <alignment horizontal="center"/>
    </xf>
    <xf numFmtId="168" fontId="1" fillId="4" borderId="4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47" xfId="0" applyFont="1" applyBorder="1" applyAlignment="1">
      <alignment horizontal="center"/>
    </xf>
    <xf numFmtId="166" fontId="1" fillId="4" borderId="0" xfId="0" applyNumberFormat="1" applyFont="1" applyFill="1" applyAlignment="1">
      <alignment horizontal="center"/>
    </xf>
    <xf numFmtId="166" fontId="1" fillId="4" borderId="47" xfId="0" applyNumberFormat="1" applyFont="1" applyFill="1" applyBorder="1" applyAlignment="1">
      <alignment horizontal="center"/>
    </xf>
    <xf numFmtId="174" fontId="1" fillId="4" borderId="2" xfId="0" applyNumberFormat="1" applyFont="1" applyFill="1" applyBorder="1" applyAlignment="1">
      <alignment horizontal="left" indent="5"/>
    </xf>
    <xf numFmtId="174" fontId="1" fillId="4" borderId="48" xfId="0" applyNumberFormat="1" applyFont="1" applyFill="1" applyBorder="1" applyAlignment="1">
      <alignment horizontal="left" indent="5"/>
    </xf>
    <xf numFmtId="0" fontId="0" fillId="0" borderId="12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2" fontId="0" fillId="0" borderId="2" xfId="0" applyNumberFormat="1" applyBorder="1" applyAlignment="1">
      <alignment horizontal="center"/>
    </xf>
  </cellXfs>
  <cellStyles count="3">
    <cellStyle name="Normal" xfId="0" builtinId="0"/>
    <cellStyle name="Normal 3" xfId="1" xr:uid="{376FB5DB-2D5B-4841-934A-0E5770B9E993}"/>
    <cellStyle name="Percent 2" xfId="2" xr:uid="{E4FC78C9-C0D4-3C41-AE14-A669A742AAD1}"/>
  </cellStyles>
  <dxfs count="10">
    <dxf>
      <font>
        <b val="0"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009E4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812799</xdr:colOff>
      <xdr:row>10</xdr:row>
      <xdr:rowOff>168275</xdr:rowOff>
    </xdr:from>
    <xdr:to>
      <xdr:col>6</xdr:col>
      <xdr:colOff>822325</xdr:colOff>
      <xdr:row>22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2799" y="2200275"/>
          <a:ext cx="9928226" cy="2384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139700</xdr:colOff>
      <xdr:row>0</xdr:row>
      <xdr:rowOff>50800</xdr:rowOff>
    </xdr:from>
    <xdr:to>
      <xdr:col>2</xdr:col>
      <xdr:colOff>1511300</xdr:colOff>
      <xdr:row>5</xdr:row>
      <xdr:rowOff>38100</xdr:rowOff>
    </xdr:to>
    <xdr:pic>
      <xdr:nvPicPr>
        <xdr:cNvPr id="3" name="Picture 2" descr="HCBSolar_Gradient_CMYK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0800"/>
          <a:ext cx="4102100" cy="1003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1409700</xdr:colOff>
          <xdr:row>16</xdr:row>
          <xdr:rowOff>152400</xdr:rowOff>
        </xdr:from>
        <xdr:to>
          <xdr:col>8</xdr:col>
          <xdr:colOff>508000</xdr:colOff>
          <xdr:row>18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54000" y="221606"/>
          <a:ext cx="207300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13</xdr:col>
      <xdr:colOff>8587</xdr:colOff>
      <xdr:row>21</xdr:row>
      <xdr:rowOff>92029</xdr:rowOff>
    </xdr:from>
    <xdr:to>
      <xdr:col>13</xdr:col>
      <xdr:colOff>8587</xdr:colOff>
      <xdr:row>25</xdr:row>
      <xdr:rowOff>135467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3310587" y="4359229"/>
          <a:ext cx="0" cy="85623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211445</xdr:colOff>
      <xdr:row>21</xdr:row>
      <xdr:rowOff>98870</xdr:rowOff>
    </xdr:from>
    <xdr:to>
      <xdr:col>18</xdr:col>
      <xdr:colOff>121728</xdr:colOff>
      <xdr:row>21</xdr:row>
      <xdr:rowOff>98870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2243445" y="4366070"/>
          <a:ext cx="245028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63500</xdr:colOff>
      <xdr:row>25</xdr:row>
      <xdr:rowOff>153648</xdr:rowOff>
    </xdr:from>
    <xdr:to>
      <xdr:col>21</xdr:col>
      <xdr:colOff>177800</xdr:colOff>
      <xdr:row>25</xdr:row>
      <xdr:rowOff>153648</xdr:rowOff>
    </xdr:to>
    <xdr:cxnSp macro="">
      <xdr:nvCxnSpPr>
        <xdr:cNvPr id="6" name="ACBus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571500" y="5233648"/>
          <a:ext cx="4940300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3103672" y="468951"/>
          <a:ext cx="621684" cy="3741287"/>
          <a:chOff x="3039217" y="322189"/>
          <a:chExt cx="594111" cy="3834356"/>
        </a:xfrm>
      </xdr:grpSpPr>
      <xdr:sp macro="" textlink="">
        <xdr:nvSpPr>
          <xdr:cNvPr id="8" name="Shape 2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10" name="Shape 27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1" name="Shape 26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13" name="Shape 27">
                <a:extLst>
                  <a:ext uri="{FF2B5EF4-FFF2-40B4-BE49-F238E27FC236}">
                    <a16:creationId xmlns:a16="http://schemas.microsoft.com/office/drawing/2014/main" id="{00000000-0008-0000-0200-00000D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14" name="Group 13">
                <a:extLst>
                  <a:ext uri="{FF2B5EF4-FFF2-40B4-BE49-F238E27FC236}">
                    <a16:creationId xmlns:a16="http://schemas.microsoft.com/office/drawing/2014/main" id="{00000000-0008-0000-0200-00000E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15" name="Oval 14">
                  <a:extLst>
                    <a:ext uri="{FF2B5EF4-FFF2-40B4-BE49-F238E27FC236}">
                      <a16:creationId xmlns:a16="http://schemas.microsoft.com/office/drawing/2014/main" id="{00000000-0008-0000-0200-00000F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6" name="Group 15">
                  <a:extLst>
                    <a:ext uri="{FF2B5EF4-FFF2-40B4-BE49-F238E27FC236}">
                      <a16:creationId xmlns:a16="http://schemas.microsoft.com/office/drawing/2014/main" id="{00000000-0008-0000-0200-000010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17" name="Shape 22">
                    <a:extLst>
                      <a:ext uri="{FF2B5EF4-FFF2-40B4-BE49-F238E27FC236}">
                        <a16:creationId xmlns:a16="http://schemas.microsoft.com/office/drawing/2014/main" id="{00000000-0008-0000-0200-000011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="" xmlns:ma14="http://schemas.microsoft.com/office/mac/drawingml/2011/main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18" name="Group 17">
                    <a:extLst>
                      <a:ext uri="{FF2B5EF4-FFF2-40B4-BE49-F238E27FC236}">
                        <a16:creationId xmlns:a16="http://schemas.microsoft.com/office/drawing/2014/main" id="{00000000-0008-0000-0200-000012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19" name="Shape 18">
                      <a:extLst>
                        <a:ext uri="{FF2B5EF4-FFF2-40B4-BE49-F238E27FC236}">
                          <a16:creationId xmlns:a16="http://schemas.microsoft.com/office/drawing/2014/main" id="{00000000-0008-0000-0200-000013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0" name="Shape 18">
                      <a:extLst>
                        <a:ext uri="{FF2B5EF4-FFF2-40B4-BE49-F238E27FC236}">
                          <a16:creationId xmlns:a16="http://schemas.microsoft.com/office/drawing/2014/main" id="{00000000-0008-0000-0200-000014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21" name="Straight Connector 20">
                      <a:extLst>
                        <a:ext uri="{FF2B5EF4-FFF2-40B4-BE49-F238E27FC236}">
                          <a16:creationId xmlns:a16="http://schemas.microsoft.com/office/drawing/2014/main" id="{00000000-0008-0000-0200-000015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" name="Straight Connector 21">
                      <a:extLst>
                        <a:ext uri="{FF2B5EF4-FFF2-40B4-BE49-F238E27FC236}">
                          <a16:creationId xmlns:a16="http://schemas.microsoft.com/office/drawing/2014/main" id="{00000000-0008-0000-0200-000016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" name="Straight Connector 22">
                      <a:extLst>
                        <a:ext uri="{FF2B5EF4-FFF2-40B4-BE49-F238E27FC236}">
                          <a16:creationId xmlns:a16="http://schemas.microsoft.com/office/drawing/2014/main" id="{00000000-0008-0000-0200-000017000000}"/>
                        </a:ext>
                      </a:extLst>
                    </xdr:cNvPr>
                    <xdr:cNvCxnSpPr>
                      <a:endCxn id="20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4" name="Rectangle 23">
                      <a:extLst>
                        <a:ext uri="{FF2B5EF4-FFF2-40B4-BE49-F238E27FC236}">
                          <a16:creationId xmlns:a16="http://schemas.microsoft.com/office/drawing/2014/main" id="{00000000-0008-0000-0200-000018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25" name="3PR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4173357" y="468951"/>
          <a:ext cx="615563" cy="3741286"/>
          <a:chOff x="10975311" y="1118934"/>
          <a:chExt cx="590576" cy="4001288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34" name="Oval 33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5" name="Shape 27">
              <a:extLst>
                <a:ext uri="{FF2B5EF4-FFF2-40B4-BE49-F238E27FC236}">
                  <a16:creationId xmlns:a16="http://schemas.microsoft.com/office/drawing/2014/main" id="{00000000-0008-0000-0200-000023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6" name="Shape 22">
              <a:extLst>
                <a:ext uri="{FF2B5EF4-FFF2-40B4-BE49-F238E27FC236}">
                  <a16:creationId xmlns:a16="http://schemas.microsoft.com/office/drawing/2014/main" id="{00000000-0008-0000-0200-000024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37" name="Shape 27">
              <a:extLst>
                <a:ext uri="{FF2B5EF4-FFF2-40B4-BE49-F238E27FC236}">
                  <a16:creationId xmlns:a16="http://schemas.microsoft.com/office/drawing/2014/main" id="{00000000-0008-0000-0200-000025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8" name="Shape 27">
              <a:extLst>
                <a:ext uri="{FF2B5EF4-FFF2-40B4-BE49-F238E27FC236}">
                  <a16:creationId xmlns:a16="http://schemas.microsoft.com/office/drawing/2014/main" id="{00000000-0008-0000-0200-000026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9" name="Shape 26">
              <a:extLst>
                <a:ext uri="{FF2B5EF4-FFF2-40B4-BE49-F238E27FC236}">
                  <a16:creationId xmlns:a16="http://schemas.microsoft.com/office/drawing/2014/main" id="{00000000-0008-0000-0200-000027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8" name="Shape 18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9" name="Shape 1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" name="Straight Connector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CxnSpPr>
              <a:endCxn id="29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</xdr:col>
      <xdr:colOff>243840</xdr:colOff>
      <xdr:row>3</xdr:row>
      <xdr:rowOff>162220</xdr:rowOff>
    </xdr:from>
    <xdr:to>
      <xdr:col>22</xdr:col>
      <xdr:colOff>127000</xdr:colOff>
      <xdr:row>36</xdr:row>
      <xdr:rowOff>38100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497840" y="771820"/>
          <a:ext cx="5217160" cy="6581480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36956</xdr:colOff>
      <xdr:row>6</xdr:row>
      <xdr:rowOff>105186</xdr:rowOff>
    </xdr:from>
    <xdr:to>
      <xdr:col>8</xdr:col>
      <xdr:colOff>87756</xdr:colOff>
      <xdr:row>8</xdr:row>
      <xdr:rowOff>54892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544956" y="1324386"/>
          <a:ext cx="1574800" cy="3561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Service Fuses</a:t>
          </a:r>
        </a:p>
      </xdr:txBody>
    </xdr:sp>
    <xdr:clientData/>
  </xdr:twoCellAnchor>
  <xdr:twoCellAnchor>
    <xdr:from>
      <xdr:col>2</xdr:col>
      <xdr:colOff>28489</xdr:colOff>
      <xdr:row>10</xdr:row>
      <xdr:rowOff>133786</xdr:rowOff>
    </xdr:from>
    <xdr:to>
      <xdr:col>8</xdr:col>
      <xdr:colOff>79289</xdr:colOff>
      <xdr:row>15</xdr:row>
      <xdr:rowOff>165153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536489" y="2165786"/>
          <a:ext cx="1574800" cy="1047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Metering</a:t>
          </a:r>
          <a:r>
            <a:rPr lang="en-GB" sz="1200" baseline="0"/>
            <a:t> as</a:t>
          </a:r>
        </a:p>
        <a:p>
          <a:pPr algn="l"/>
          <a:r>
            <a:rPr lang="en-GB" sz="1200" baseline="0"/>
            <a:t>agreed with </a:t>
          </a:r>
        </a:p>
        <a:p>
          <a:pPr algn="l"/>
          <a:r>
            <a:rPr lang="en-GB" sz="1200" baseline="0"/>
            <a:t>the electricity</a:t>
          </a:r>
        </a:p>
        <a:p>
          <a:pPr algn="l"/>
          <a:r>
            <a:rPr lang="en-GB" sz="1200" baseline="0"/>
            <a:t>distributer</a:t>
          </a:r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1</xdr:col>
      <xdr:colOff>248621</xdr:colOff>
      <xdr:row>15</xdr:row>
      <xdr:rowOff>40872</xdr:rowOff>
    </xdr:from>
    <xdr:to>
      <xdr:col>8</xdr:col>
      <xdr:colOff>45421</xdr:colOff>
      <xdr:row>19</xdr:row>
      <xdr:rowOff>22390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502621" y="3088872"/>
          <a:ext cx="1574800" cy="7943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</a:p>
        <a:p>
          <a:pPr algn="l"/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2</xdr:col>
      <xdr:colOff>28488</xdr:colOff>
      <xdr:row>20</xdr:row>
      <xdr:rowOff>5143</xdr:rowOff>
    </xdr:from>
    <xdr:to>
      <xdr:col>8</xdr:col>
      <xdr:colOff>79288</xdr:colOff>
      <xdr:row>23</xdr:row>
      <xdr:rowOff>76332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536488" y="4069143"/>
          <a:ext cx="1574800" cy="680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Customer's Final</a:t>
          </a:r>
        </a:p>
        <a:p>
          <a:pPr algn="l"/>
          <a:r>
            <a:rPr lang="en-GB" sz="1200"/>
            <a:t>Subcircuits</a:t>
          </a:r>
        </a:p>
      </xdr:txBody>
    </xdr:sp>
    <xdr:clientData/>
  </xdr:twoCellAnchor>
  <xdr:twoCellAnchor>
    <xdr:from>
      <xdr:col>13</xdr:col>
      <xdr:colOff>95849</xdr:colOff>
      <xdr:row>40</xdr:row>
      <xdr:rowOff>159048</xdr:rowOff>
    </xdr:from>
    <xdr:to>
      <xdr:col>25</xdr:col>
      <xdr:colOff>105263</xdr:colOff>
      <xdr:row>40</xdr:row>
      <xdr:rowOff>159048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/>
      </xdr:nvCxnSpPr>
      <xdr:spPr>
        <a:xfrm flipH="1">
          <a:off x="3366698" y="8306218"/>
          <a:ext cx="302865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215900</xdr:colOff>
          <xdr:row>7</xdr:row>
          <xdr:rowOff>177800</xdr:rowOff>
        </xdr:from>
        <xdr:to>
          <xdr:col>31</xdr:col>
          <xdr:colOff>215900</xdr:colOff>
          <xdr:row>9</xdr:row>
          <xdr:rowOff>152400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2559</xdr:colOff>
      <xdr:row>2</xdr:row>
      <xdr:rowOff>102568</xdr:rowOff>
    </xdr:from>
    <xdr:to>
      <xdr:col>10</xdr:col>
      <xdr:colOff>97881</xdr:colOff>
      <xdr:row>21</xdr:row>
      <xdr:rowOff>64456</xdr:rowOff>
    </xdr:to>
    <xdr:grpSp>
      <xdr:nvGrpSpPr>
        <xdr:cNvPr id="47" name="3PL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pSpPr/>
      </xdr:nvGrpSpPr>
      <xdr:grpSpPr>
        <a:xfrm>
          <a:off x="2083523" y="500399"/>
          <a:ext cx="615563" cy="3741286"/>
          <a:chOff x="10975311" y="1118934"/>
          <a:chExt cx="590576" cy="4001288"/>
        </a:xfrm>
      </xdr:grpSpPr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56" name="Oval 55">
              <a:extLst>
                <a:ext uri="{FF2B5EF4-FFF2-40B4-BE49-F238E27FC236}">
                  <a16:creationId xmlns:a16="http://schemas.microsoft.com/office/drawing/2014/main" id="{00000000-0008-0000-0200-000038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7" name="Shape 27">
              <a:extLst>
                <a:ext uri="{FF2B5EF4-FFF2-40B4-BE49-F238E27FC236}">
                  <a16:creationId xmlns:a16="http://schemas.microsoft.com/office/drawing/2014/main" id="{00000000-0008-0000-0200-000039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8" name="Shape 22">
              <a:extLst>
                <a:ext uri="{FF2B5EF4-FFF2-40B4-BE49-F238E27FC236}">
                  <a16:creationId xmlns:a16="http://schemas.microsoft.com/office/drawing/2014/main" id="{00000000-0008-0000-0200-00003A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59" name="Shape 27">
              <a:extLst>
                <a:ext uri="{FF2B5EF4-FFF2-40B4-BE49-F238E27FC236}">
                  <a16:creationId xmlns:a16="http://schemas.microsoft.com/office/drawing/2014/main" id="{00000000-0008-0000-0200-00003B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0" name="Shape 27">
              <a:extLst>
                <a:ext uri="{FF2B5EF4-FFF2-40B4-BE49-F238E27FC236}">
                  <a16:creationId xmlns:a16="http://schemas.microsoft.com/office/drawing/2014/main" id="{00000000-0008-0000-0200-00003C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1" name="Shape 26"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50" name="Shape 18">
              <a:extLst>
                <a:ext uri="{FF2B5EF4-FFF2-40B4-BE49-F238E27FC236}">
                  <a16:creationId xmlns:a16="http://schemas.microsoft.com/office/drawing/2014/main" id="{00000000-0008-0000-0200-000032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1" name="Shape 18">
              <a:extLst>
                <a:ext uri="{FF2B5EF4-FFF2-40B4-BE49-F238E27FC236}">
                  <a16:creationId xmlns:a16="http://schemas.microsoft.com/office/drawing/2014/main" id="{00000000-0008-0000-0200-000033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52" name="Straight Connector 51">
              <a:extLst>
                <a:ext uri="{FF2B5EF4-FFF2-40B4-BE49-F238E27FC236}">
                  <a16:creationId xmlns:a16="http://schemas.microsoft.com/office/drawing/2014/main" id="{00000000-0008-0000-0200-000034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3" name="Straight Connector 52">
              <a:extLst>
                <a:ext uri="{FF2B5EF4-FFF2-40B4-BE49-F238E27FC236}">
                  <a16:creationId xmlns:a16="http://schemas.microsoft.com/office/drawing/2014/main" id="{00000000-0008-0000-0200-000035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4" name="Straight Connector 53">
              <a:extLst>
                <a:ext uri="{FF2B5EF4-FFF2-40B4-BE49-F238E27FC236}">
                  <a16:creationId xmlns:a16="http://schemas.microsoft.com/office/drawing/2014/main" id="{00000000-0008-0000-0200-000036000000}"/>
                </a:ext>
              </a:extLst>
            </xdr:cNvPr>
            <xdr:cNvCxnSpPr>
              <a:endCxn id="51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0200-000037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8</xdr:col>
      <xdr:colOff>34562</xdr:colOff>
      <xdr:row>17</xdr:row>
      <xdr:rowOff>152400</xdr:rowOff>
    </xdr:from>
    <xdr:to>
      <xdr:col>18</xdr:col>
      <xdr:colOff>60962</xdr:colOff>
      <xdr:row>18</xdr:row>
      <xdr:rowOff>166136</xdr:rowOff>
    </xdr:to>
    <xdr:grpSp>
      <xdr:nvGrpSpPr>
        <xdr:cNvPr id="62" name="CONS3P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GrpSpPr/>
      </xdr:nvGrpSpPr>
      <xdr:grpSpPr>
        <a:xfrm>
          <a:off x="2115526" y="3533966"/>
          <a:ext cx="2627605" cy="212652"/>
          <a:chOff x="2067878" y="3606800"/>
          <a:chExt cx="2565091" cy="216936"/>
        </a:xfrm>
      </xdr:grpSpPr>
      <xdr:sp macro="" textlink="">
        <xdr:nvSpPr>
          <xdr:cNvPr id="63" name="bo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/>
        </xdr:nvSpPr>
        <xdr:spPr>
          <a:xfrm>
            <a:off x="4140200" y="36195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4" name="boxdash1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/>
        </xdr:nvSpPr>
        <xdr:spPr>
          <a:xfrm>
            <a:off x="2067878" y="36068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65" name="Straight Connector 64">
            <a:extLst>
              <a:ext uri="{FF2B5EF4-FFF2-40B4-BE49-F238E27FC236}">
                <a16:creationId xmlns:a16="http://schemas.microsoft.com/office/drawing/2014/main" id="{00000000-0008-0000-0200-000041000000}"/>
              </a:ext>
            </a:extLst>
          </xdr:cNvPr>
          <xdr:cNvCxnSpPr/>
        </xdr:nvCxnSpPr>
        <xdr:spPr>
          <a:xfrm>
            <a:off x="2288218" y="3817462"/>
            <a:ext cx="2080582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135468</xdr:colOff>
      <xdr:row>22</xdr:row>
      <xdr:rowOff>179042</xdr:rowOff>
    </xdr:from>
    <xdr:to>
      <xdr:col>13</xdr:col>
      <xdr:colOff>132063</xdr:colOff>
      <xdr:row>23</xdr:row>
      <xdr:rowOff>159198</xdr:rowOff>
    </xdr:to>
    <xdr:cxnSp macro="">
      <xdr:nvCxnSpPr>
        <xdr:cNvPr id="66" name="1P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H="1">
          <a:off x="3183468" y="4649442"/>
          <a:ext cx="250595" cy="18335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224288</xdr:colOff>
      <xdr:row>27</xdr:row>
      <xdr:rowOff>106986</xdr:rowOff>
    </xdr:from>
    <xdr:to>
      <xdr:col>13</xdr:col>
      <xdr:colOff>220883</xdr:colOff>
      <xdr:row>28</xdr:row>
      <xdr:rowOff>179035</xdr:rowOff>
    </xdr:to>
    <xdr:grpSp>
      <xdr:nvGrpSpPr>
        <xdr:cNvPr id="67" name="3PInv1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GrpSpPr/>
      </xdr:nvGrpSpPr>
      <xdr:grpSpPr>
        <a:xfrm>
          <a:off x="3345734" y="5477709"/>
          <a:ext cx="256715" cy="270965"/>
          <a:chOff x="3200401" y="7249224"/>
          <a:chExt cx="250595" cy="281901"/>
        </a:xfrm>
      </xdr:grpSpPr>
      <xdr:cxnSp macro="">
        <xdr:nvCxnSpPr>
          <xdr:cNvPr id="68" name="2P">
            <a:extLst>
              <a:ext uri="{FF2B5EF4-FFF2-40B4-BE49-F238E27FC236}">
                <a16:creationId xmlns:a16="http://schemas.microsoft.com/office/drawing/2014/main" id="{00000000-0008-0000-0200-00004400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3P">
            <a:extLst>
              <a:ext uri="{FF2B5EF4-FFF2-40B4-BE49-F238E27FC236}">
                <a16:creationId xmlns:a16="http://schemas.microsoft.com/office/drawing/2014/main" id="{00000000-0008-0000-0200-00004500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152401</xdr:colOff>
      <xdr:row>23</xdr:row>
      <xdr:rowOff>66090</xdr:rowOff>
    </xdr:from>
    <xdr:to>
      <xdr:col>13</xdr:col>
      <xdr:colOff>148996</xdr:colOff>
      <xdr:row>24</xdr:row>
      <xdr:rowOff>150768</xdr:rowOff>
    </xdr:to>
    <xdr:grpSp>
      <xdr:nvGrpSpPr>
        <xdr:cNvPr id="70" name="3PCables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/>
      </xdr:nvGrpSpPr>
      <xdr:grpSpPr>
        <a:xfrm>
          <a:off x="3273847" y="4641150"/>
          <a:ext cx="256715" cy="283594"/>
          <a:chOff x="3200401" y="4739690"/>
          <a:chExt cx="250595" cy="287878"/>
        </a:xfrm>
      </xdr:grpSpPr>
      <xdr:cxnSp macro="">
        <xdr:nvCxnSpPr>
          <xdr:cNvPr id="71" name="2P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CxnSpPr/>
        </xdr:nvCxnSpPr>
        <xdr:spPr>
          <a:xfrm flipH="1">
            <a:off x="3200401" y="4739690"/>
            <a:ext cx="250595" cy="18903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3P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CxnSpPr/>
        </xdr:nvCxnSpPr>
        <xdr:spPr>
          <a:xfrm flipH="1">
            <a:off x="3200401" y="4844693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150868</xdr:colOff>
      <xdr:row>25</xdr:row>
      <xdr:rowOff>168036</xdr:rowOff>
    </xdr:from>
    <xdr:to>
      <xdr:col>20</xdr:col>
      <xdr:colOff>150868</xdr:colOff>
      <xdr:row>29</xdr:row>
      <xdr:rowOff>135709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5230868" y="5248036"/>
          <a:ext cx="0" cy="78047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98748</xdr:colOff>
      <xdr:row>29</xdr:row>
      <xdr:rowOff>148237</xdr:rowOff>
    </xdr:from>
    <xdr:to>
      <xdr:col>21</xdr:col>
      <xdr:colOff>113970</xdr:colOff>
      <xdr:row>32</xdr:row>
      <xdr:rowOff>195886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GrpSpPr/>
      </xdr:nvGrpSpPr>
      <xdr:grpSpPr>
        <a:xfrm>
          <a:off x="5301158" y="5916791"/>
          <a:ext cx="275342" cy="644396"/>
          <a:chOff x="3291679" y="5440218"/>
          <a:chExt cx="275787" cy="639287"/>
        </a:xfrm>
      </xdr:grpSpPr>
      <xdr:grpSp>
        <xdr:nvGrpSpPr>
          <xdr:cNvPr id="75" name="Group 74">
            <a:extLst>
              <a:ext uri="{FF2B5EF4-FFF2-40B4-BE49-F238E27FC236}">
                <a16:creationId xmlns:a16="http://schemas.microsoft.com/office/drawing/2014/main" id="{00000000-0008-0000-0200-00004B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77" name="Shape 27">
              <a:extLst>
                <a:ext uri="{FF2B5EF4-FFF2-40B4-BE49-F238E27FC236}">
                  <a16:creationId xmlns:a16="http://schemas.microsoft.com/office/drawing/2014/main" id="{00000000-0008-0000-0200-00004D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8" name="Shape 27">
              <a:extLst>
                <a:ext uri="{FF2B5EF4-FFF2-40B4-BE49-F238E27FC236}">
                  <a16:creationId xmlns:a16="http://schemas.microsoft.com/office/drawing/2014/main" id="{00000000-0008-0000-0200-00004E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9" name="Shape 26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76" name="Straight Connector 75">
            <a:extLst>
              <a:ext uri="{FF2B5EF4-FFF2-40B4-BE49-F238E27FC236}">
                <a16:creationId xmlns:a16="http://schemas.microsoft.com/office/drawing/2014/main" id="{00000000-0008-0000-0200-00004C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147139</xdr:colOff>
      <xdr:row>32</xdr:row>
      <xdr:rowOff>140486</xdr:rowOff>
    </xdr:from>
    <xdr:to>
      <xdr:col>20</xdr:col>
      <xdr:colOff>147139</xdr:colOff>
      <xdr:row>33</xdr:row>
      <xdr:rowOff>141890</xdr:rowOff>
    </xdr:to>
    <xdr:sp macro="" textlink="">
      <xdr:nvSpPr>
        <xdr:cNvPr id="80" name="Shape 18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 flipH="1">
          <a:off x="5227139" y="6642886"/>
          <a:ext cx="0" cy="204604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16</xdr:col>
      <xdr:colOff>120128</xdr:colOff>
      <xdr:row>27</xdr:row>
      <xdr:rowOff>72121</xdr:rowOff>
    </xdr:from>
    <xdr:to>
      <xdr:col>17</xdr:col>
      <xdr:colOff>137147</xdr:colOff>
      <xdr:row>28</xdr:row>
      <xdr:rowOff>139450</xdr:rowOff>
    </xdr:to>
    <xdr:grpSp>
      <xdr:nvGrpSpPr>
        <xdr:cNvPr id="81" name="3PEnvoy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GrpSpPr/>
      </xdr:nvGrpSpPr>
      <xdr:grpSpPr>
        <a:xfrm>
          <a:off x="4282056" y="5442844"/>
          <a:ext cx="277139" cy="266245"/>
          <a:chOff x="1809832" y="5419314"/>
          <a:chExt cx="267883" cy="271157"/>
        </a:xfrm>
      </xdr:grpSpPr>
      <xdr:cxnSp macro="">
        <xdr:nvCxnSpPr>
          <xdr:cNvPr id="82" name="Envoy1P1">
            <a:extLst>
              <a:ext uri="{FF2B5EF4-FFF2-40B4-BE49-F238E27FC236}">
                <a16:creationId xmlns:a16="http://schemas.microsoft.com/office/drawing/2014/main" id="{00000000-0008-0000-0200-000052000000}"/>
              </a:ext>
            </a:extLst>
          </xdr:cNvPr>
          <xdr:cNvCxnSpPr/>
        </xdr:nvCxnSpPr>
        <xdr:spPr>
          <a:xfrm flipH="1">
            <a:off x="1809832" y="5419314"/>
            <a:ext cx="253847" cy="18104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3" name="1P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CxnSpPr/>
        </xdr:nvCxnSpPr>
        <xdr:spPr>
          <a:xfrm flipH="1">
            <a:off x="1823868" y="5509431"/>
            <a:ext cx="253847" cy="18104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10556</xdr:colOff>
      <xdr:row>25</xdr:row>
      <xdr:rowOff>166310</xdr:rowOff>
    </xdr:from>
    <xdr:to>
      <xdr:col>14</xdr:col>
      <xdr:colOff>68866</xdr:colOff>
      <xdr:row>40</xdr:row>
      <xdr:rowOff>166309</xdr:rowOff>
    </xdr:to>
    <xdr:grpSp>
      <xdr:nvGrpSpPr>
        <xdr:cNvPr id="100" name="Group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/>
      </xdr:nvGrpSpPr>
      <xdr:grpSpPr>
        <a:xfrm>
          <a:off x="3132002" y="5139202"/>
          <a:ext cx="578551" cy="2983734"/>
          <a:chOff x="3223498" y="6620933"/>
          <a:chExt cx="554570" cy="2971905"/>
        </a:xfrm>
      </xdr:grpSpPr>
      <xdr:grpSp>
        <xdr:nvGrpSpPr>
          <xdr:cNvPr id="101" name="Group 10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3439451" y="6620933"/>
            <a:ext cx="338617" cy="2971905"/>
            <a:chOff x="3472870" y="6080644"/>
            <a:chExt cx="346871" cy="2952934"/>
          </a:xfrm>
        </xdr:grpSpPr>
        <xdr:grpSp>
          <xdr:nvGrpSpPr>
            <xdr:cNvPr id="104" name="Group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GrpSpPr/>
          </xdr:nvGrpSpPr>
          <xdr:grpSpPr>
            <a:xfrm>
              <a:off x="3472870" y="6080644"/>
              <a:ext cx="346871" cy="1726144"/>
              <a:chOff x="3472870" y="6080644"/>
              <a:chExt cx="346871" cy="1726144"/>
            </a:xfrm>
          </xdr:grpSpPr>
          <xdr:sp macro="" textlink="">
            <xdr:nvSpPr>
              <xdr:cNvPr id="106" name="Shape 27">
                <a:extLst>
                  <a:ext uri="{FF2B5EF4-FFF2-40B4-BE49-F238E27FC236}">
                    <a16:creationId xmlns:a16="http://schemas.microsoft.com/office/drawing/2014/main" id="{00000000-0008-0000-0200-00006A000000}"/>
                  </a:ext>
                </a:extLst>
              </xdr:cNvPr>
              <xdr:cNvSpPr/>
            </xdr:nvSpPr>
            <xdr:spPr>
              <a:xfrm>
                <a:off x="3550543" y="7499355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07" name="Shape 27">
                <a:extLst>
                  <a:ext uri="{FF2B5EF4-FFF2-40B4-BE49-F238E27FC236}">
                    <a16:creationId xmlns:a16="http://schemas.microsoft.com/office/drawing/2014/main" id="{00000000-0008-0000-0200-00006B000000}"/>
                  </a:ext>
                </a:extLst>
              </xdr:cNvPr>
              <xdr:cNvSpPr/>
            </xdr:nvSpPr>
            <xdr:spPr>
              <a:xfrm>
                <a:off x="3544806" y="7707101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08" name="Shape 26">
                <a:extLst>
                  <a:ext uri="{FF2B5EF4-FFF2-40B4-BE49-F238E27FC236}">
                    <a16:creationId xmlns:a16="http://schemas.microsoft.com/office/drawing/2014/main" id="{00000000-0008-0000-0200-00006C000000}"/>
                  </a:ext>
                </a:extLst>
              </xdr:cNvPr>
              <xdr:cNvSpPr/>
            </xdr:nvSpPr>
            <xdr:spPr>
              <a:xfrm flipH="1">
                <a:off x="3607042" y="7531846"/>
                <a:ext cx="212699" cy="188826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09" name="Straight Connector 108">
                <a:extLst>
                  <a:ext uri="{FF2B5EF4-FFF2-40B4-BE49-F238E27FC236}">
                    <a16:creationId xmlns:a16="http://schemas.microsoft.com/office/drawing/2014/main" id="{00000000-0008-0000-0200-00006D000000}"/>
                  </a:ext>
                </a:extLst>
              </xdr:cNvPr>
              <xdr:cNvCxnSpPr/>
            </xdr:nvCxnSpPr>
            <xdr:spPr>
              <a:xfrm>
                <a:off x="3593671" y="6080644"/>
                <a:ext cx="0" cy="1415993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0" name="Straight Connector 109">
                <a:extLst>
                  <a:ext uri="{FF2B5EF4-FFF2-40B4-BE49-F238E27FC236}">
                    <a16:creationId xmlns:a16="http://schemas.microsoft.com/office/drawing/2014/main" id="{00000000-0008-0000-0200-00006E000000}"/>
                  </a:ext>
                </a:extLst>
              </xdr:cNvPr>
              <xdr:cNvCxnSpPr/>
            </xdr:nvCxnSpPr>
            <xdr:spPr>
              <a:xfrm flipH="1">
                <a:off x="3472870" y="6313423"/>
                <a:ext cx="256703" cy="188123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/>
          </xdr:nvCxnSpPr>
          <xdr:spPr>
            <a:xfrm>
              <a:off x="3593599" y="7801585"/>
              <a:ext cx="0" cy="1231993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Rectangle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/>
        </xdr:nvSpPr>
        <xdr:spPr>
          <a:xfrm>
            <a:off x="3465209" y="7369373"/>
            <a:ext cx="168425" cy="27050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00000000-0008-0000-0200-000067000000}"/>
              </a:ext>
            </a:extLst>
          </xdr:cNvPr>
          <xdr:cNvSpPr txBox="1"/>
        </xdr:nvSpPr>
        <xdr:spPr>
          <a:xfrm>
            <a:off x="3223498" y="7632700"/>
            <a:ext cx="393400" cy="1989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800"/>
              <a:t>QR1</a:t>
            </a:r>
          </a:p>
        </xdr:txBody>
      </xdr:sp>
    </xdr:grpSp>
    <xdr:clientData/>
  </xdr:twoCellAnchor>
  <xdr:twoCellAnchor>
    <xdr:from>
      <xdr:col>7</xdr:col>
      <xdr:colOff>153007</xdr:colOff>
      <xdr:row>27</xdr:row>
      <xdr:rowOff>100333</xdr:rowOff>
    </xdr:from>
    <xdr:to>
      <xdr:col>8</xdr:col>
      <xdr:colOff>149602</xdr:colOff>
      <xdr:row>28</xdr:row>
      <xdr:rowOff>179034</xdr:rowOff>
    </xdr:to>
    <xdr:grpSp>
      <xdr:nvGrpSpPr>
        <xdr:cNvPr id="111" name="3PInv2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GrpSpPr/>
      </xdr:nvGrpSpPr>
      <xdr:grpSpPr>
        <a:xfrm>
          <a:off x="1973850" y="5471056"/>
          <a:ext cx="256716" cy="277617"/>
          <a:chOff x="3200401" y="7249224"/>
          <a:chExt cx="250595" cy="281901"/>
        </a:xfrm>
      </xdr:grpSpPr>
      <xdr:cxnSp macro="">
        <xdr:nvCxnSpPr>
          <xdr:cNvPr id="112" name="2P">
            <a:extLst>
              <a:ext uri="{FF2B5EF4-FFF2-40B4-BE49-F238E27FC236}">
                <a16:creationId xmlns:a16="http://schemas.microsoft.com/office/drawing/2014/main" id="{00000000-0008-0000-0200-00007000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3" name="3P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49</xdr:col>
      <xdr:colOff>166007</xdr:colOff>
      <xdr:row>40</xdr:row>
      <xdr:rowOff>45356</xdr:rowOff>
    </xdr:from>
    <xdr:to>
      <xdr:col>63</xdr:col>
      <xdr:colOff>124876</xdr:colOff>
      <xdr:row>60</xdr:row>
      <xdr:rowOff>71027</xdr:rowOff>
    </xdr:to>
    <xdr:grpSp>
      <xdr:nvGrpSpPr>
        <xdr:cNvPr id="114" name="L1-3A2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GrpSpPr/>
      </xdr:nvGrpSpPr>
      <xdr:grpSpPr>
        <a:xfrm>
          <a:off x="12911911" y="8001983"/>
          <a:ext cx="3600555" cy="4003984"/>
          <a:chOff x="10560606" y="7545401"/>
          <a:chExt cx="3557202" cy="3956624"/>
        </a:xfrm>
      </xdr:grpSpPr>
      <xdr:grpSp>
        <xdr:nvGrpSpPr>
          <xdr:cNvPr id="115" name="Group 114">
            <a:extLst>
              <a:ext uri="{FF2B5EF4-FFF2-40B4-BE49-F238E27FC236}">
                <a16:creationId xmlns:a16="http://schemas.microsoft.com/office/drawing/2014/main" id="{00000000-0008-0000-0200-000073000000}"/>
              </a:ext>
            </a:extLst>
          </xdr:cNvPr>
          <xdr:cNvGrpSpPr/>
        </xdr:nvGrpSpPr>
        <xdr:grpSpPr>
          <a:xfrm>
            <a:off x="10560606" y="7545401"/>
            <a:ext cx="3557202" cy="1224927"/>
            <a:chOff x="13364535" y="9716977"/>
            <a:chExt cx="3455581" cy="1316034"/>
          </a:xfrm>
        </xdr:grpSpPr>
        <xdr:grpSp>
          <xdr:nvGrpSpPr>
            <xdr:cNvPr id="174" name="Group 173">
              <a:extLst>
                <a:ext uri="{FF2B5EF4-FFF2-40B4-BE49-F238E27FC236}">
                  <a16:creationId xmlns:a16="http://schemas.microsoft.com/office/drawing/2014/main" id="{00000000-0008-0000-0200-0000AE000000}"/>
                </a:ext>
              </a:extLst>
            </xdr:cNvPr>
            <xdr:cNvGrpSpPr/>
          </xdr:nvGrpSpPr>
          <xdr:grpSpPr>
            <a:xfrm>
              <a:off x="13520478" y="9716977"/>
              <a:ext cx="3280913" cy="1287783"/>
              <a:chOff x="8740750" y="3850532"/>
              <a:chExt cx="3366835" cy="1262101"/>
            </a:xfrm>
          </xdr:grpSpPr>
          <xdr:sp macro="" textlink="">
            <xdr:nvSpPr>
              <xdr:cNvPr id="177" name="Rectangle 176">
                <a:extLst>
                  <a:ext uri="{FF2B5EF4-FFF2-40B4-BE49-F238E27FC236}">
                    <a16:creationId xmlns:a16="http://schemas.microsoft.com/office/drawing/2014/main" id="{00000000-0008-0000-0200-0000B100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178" name="Group 177">
                <a:extLst>
                  <a:ext uri="{FF2B5EF4-FFF2-40B4-BE49-F238E27FC236}">
                    <a16:creationId xmlns:a16="http://schemas.microsoft.com/office/drawing/2014/main" id="{00000000-0008-0000-0200-0000B2000000}"/>
                  </a:ext>
                </a:extLst>
              </xdr:cNvPr>
              <xdr:cNvGrpSpPr/>
            </xdr:nvGrpSpPr>
            <xdr:grpSpPr>
              <a:xfrm>
                <a:off x="8740750" y="3850532"/>
                <a:ext cx="3334412" cy="1227296"/>
                <a:chOff x="8740750" y="3850532"/>
                <a:chExt cx="3334412" cy="1227296"/>
              </a:xfrm>
            </xdr:grpSpPr>
            <xdr:grpSp>
              <xdr:nvGrpSpPr>
                <xdr:cNvPr id="179" name="Group 178">
                  <a:extLst>
                    <a:ext uri="{FF2B5EF4-FFF2-40B4-BE49-F238E27FC236}">
                      <a16:creationId xmlns:a16="http://schemas.microsoft.com/office/drawing/2014/main" id="{00000000-0008-0000-0200-0000B300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184" name="Group 183">
                    <a:extLst>
                      <a:ext uri="{FF2B5EF4-FFF2-40B4-BE49-F238E27FC236}">
                        <a16:creationId xmlns:a16="http://schemas.microsoft.com/office/drawing/2014/main" id="{00000000-0008-0000-0200-0000B800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216" name="Shape 5">
                      <a:extLst>
                        <a:ext uri="{FF2B5EF4-FFF2-40B4-BE49-F238E27FC236}">
                          <a16:creationId xmlns:a16="http://schemas.microsoft.com/office/drawing/2014/main" id="{00000000-0008-0000-0200-0000D800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17" name="Shape 8">
                      <a:extLst>
                        <a:ext uri="{FF2B5EF4-FFF2-40B4-BE49-F238E27FC236}">
                          <a16:creationId xmlns:a16="http://schemas.microsoft.com/office/drawing/2014/main" id="{00000000-0008-0000-0200-0000D900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18" name="Group 217">
                      <a:extLst>
                        <a:ext uri="{FF2B5EF4-FFF2-40B4-BE49-F238E27FC236}">
                          <a16:creationId xmlns:a16="http://schemas.microsoft.com/office/drawing/2014/main" id="{00000000-0008-0000-0200-0000DA00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19" name="Shape 7">
                        <a:extLst>
                          <a:ext uri="{FF2B5EF4-FFF2-40B4-BE49-F238E27FC236}">
                            <a16:creationId xmlns:a16="http://schemas.microsoft.com/office/drawing/2014/main" id="{00000000-0008-0000-0200-0000DB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20" name="Group 219">
                        <a:extLst>
                          <a:ext uri="{FF2B5EF4-FFF2-40B4-BE49-F238E27FC236}">
                            <a16:creationId xmlns:a16="http://schemas.microsoft.com/office/drawing/2014/main" id="{00000000-0008-0000-0200-0000DC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22" name="Rectangle 221">
                          <a:extLst>
                            <a:ext uri="{FF2B5EF4-FFF2-40B4-BE49-F238E27FC236}">
                              <a16:creationId xmlns:a16="http://schemas.microsoft.com/office/drawing/2014/main" id="{00000000-0008-0000-0200-0000DE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223" name="Group 222">
                          <a:extLst>
                            <a:ext uri="{FF2B5EF4-FFF2-40B4-BE49-F238E27FC236}">
                              <a16:creationId xmlns:a16="http://schemas.microsoft.com/office/drawing/2014/main" id="{00000000-0008-0000-0200-0000D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224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E000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225" name="Rectangle 224">
                            <a:extLst>
                              <a:ext uri="{FF2B5EF4-FFF2-40B4-BE49-F238E27FC236}">
                                <a16:creationId xmlns:a16="http://schemas.microsoft.com/office/drawing/2014/main" id="{00000000-0008-0000-0200-0000E1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26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E200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27" name="Straight Connector 226">
                            <a:extLst>
                              <a:ext uri="{FF2B5EF4-FFF2-40B4-BE49-F238E27FC236}">
                                <a16:creationId xmlns:a16="http://schemas.microsoft.com/office/drawing/2014/main" id="{00000000-0008-0000-0200-0000E3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28" name="Straight Connector 227">
                            <a:extLst>
                              <a:ext uri="{FF2B5EF4-FFF2-40B4-BE49-F238E27FC236}">
                                <a16:creationId xmlns:a16="http://schemas.microsoft.com/office/drawing/2014/main" id="{00000000-0008-0000-0200-0000E4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221" name="Shape 6">
                        <a:extLst>
                          <a:ext uri="{FF2B5EF4-FFF2-40B4-BE49-F238E27FC236}">
                            <a16:creationId xmlns:a16="http://schemas.microsoft.com/office/drawing/2014/main" id="{00000000-0008-0000-0200-0000DD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185" name="Group 184">
                    <a:extLst>
                      <a:ext uri="{FF2B5EF4-FFF2-40B4-BE49-F238E27FC236}">
                        <a16:creationId xmlns:a16="http://schemas.microsoft.com/office/drawing/2014/main" id="{00000000-0008-0000-0200-0000B900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203" name="Shape 5">
                      <a:extLst>
                        <a:ext uri="{FF2B5EF4-FFF2-40B4-BE49-F238E27FC236}">
                          <a16:creationId xmlns:a16="http://schemas.microsoft.com/office/drawing/2014/main" id="{00000000-0008-0000-0200-0000CB00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04" name="Shape 8">
                      <a:extLst>
                        <a:ext uri="{FF2B5EF4-FFF2-40B4-BE49-F238E27FC236}">
                          <a16:creationId xmlns:a16="http://schemas.microsoft.com/office/drawing/2014/main" id="{00000000-0008-0000-0200-0000CC00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05" name="Group 204">
                      <a:extLst>
                        <a:ext uri="{FF2B5EF4-FFF2-40B4-BE49-F238E27FC236}">
                          <a16:creationId xmlns:a16="http://schemas.microsoft.com/office/drawing/2014/main" id="{00000000-0008-0000-0200-0000CD00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06" name="Shape 7">
                        <a:extLst>
                          <a:ext uri="{FF2B5EF4-FFF2-40B4-BE49-F238E27FC236}">
                            <a16:creationId xmlns:a16="http://schemas.microsoft.com/office/drawing/2014/main" id="{00000000-0008-0000-0200-0000CE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07" name="Group 206">
                        <a:extLst>
                          <a:ext uri="{FF2B5EF4-FFF2-40B4-BE49-F238E27FC236}">
                            <a16:creationId xmlns:a16="http://schemas.microsoft.com/office/drawing/2014/main" id="{00000000-0008-0000-0200-0000C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09" name="Rectangle 208">
                          <a:extLst>
                            <a:ext uri="{FF2B5EF4-FFF2-40B4-BE49-F238E27FC236}">
                              <a16:creationId xmlns:a16="http://schemas.microsoft.com/office/drawing/2014/main" id="{00000000-0008-0000-0200-0000D1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210" name="Group 209">
                          <a:extLst>
                            <a:ext uri="{FF2B5EF4-FFF2-40B4-BE49-F238E27FC236}">
                              <a16:creationId xmlns:a16="http://schemas.microsoft.com/office/drawing/2014/main" id="{00000000-0008-0000-0200-0000D2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211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D300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212" name="Rectangle 211">
                            <a:extLst>
                              <a:ext uri="{FF2B5EF4-FFF2-40B4-BE49-F238E27FC236}">
                                <a16:creationId xmlns:a16="http://schemas.microsoft.com/office/drawing/2014/main" id="{00000000-0008-0000-0200-0000D4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13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D500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14" name="Straight Connector 213">
                            <a:extLst>
                              <a:ext uri="{FF2B5EF4-FFF2-40B4-BE49-F238E27FC236}">
                                <a16:creationId xmlns:a16="http://schemas.microsoft.com/office/drawing/2014/main" id="{00000000-0008-0000-0200-0000D6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15" name="Straight Connector 214">
                            <a:extLst>
                              <a:ext uri="{FF2B5EF4-FFF2-40B4-BE49-F238E27FC236}">
                                <a16:creationId xmlns:a16="http://schemas.microsoft.com/office/drawing/2014/main" id="{00000000-0008-0000-0200-0000D7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208" name="Shape 6">
                        <a:extLst>
                          <a:ext uri="{FF2B5EF4-FFF2-40B4-BE49-F238E27FC236}">
                            <a16:creationId xmlns:a16="http://schemas.microsoft.com/office/drawing/2014/main" id="{00000000-0008-0000-0200-0000D0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186" name="Group 185">
                    <a:extLst>
                      <a:ext uri="{FF2B5EF4-FFF2-40B4-BE49-F238E27FC236}">
                        <a16:creationId xmlns:a16="http://schemas.microsoft.com/office/drawing/2014/main" id="{00000000-0008-0000-0200-0000BA00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190" name="Shape 5">
                      <a:extLst>
                        <a:ext uri="{FF2B5EF4-FFF2-40B4-BE49-F238E27FC236}">
                          <a16:creationId xmlns:a16="http://schemas.microsoft.com/office/drawing/2014/main" id="{00000000-0008-0000-0200-0000BE00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91" name="Shape 8">
                      <a:extLst>
                        <a:ext uri="{FF2B5EF4-FFF2-40B4-BE49-F238E27FC236}">
                          <a16:creationId xmlns:a16="http://schemas.microsoft.com/office/drawing/2014/main" id="{00000000-0008-0000-0200-0000BF00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192" name="Group 191">
                      <a:extLst>
                        <a:ext uri="{FF2B5EF4-FFF2-40B4-BE49-F238E27FC236}">
                          <a16:creationId xmlns:a16="http://schemas.microsoft.com/office/drawing/2014/main" id="{00000000-0008-0000-0200-0000C000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193" name="Shape 7">
                        <a:extLst>
                          <a:ext uri="{FF2B5EF4-FFF2-40B4-BE49-F238E27FC236}">
                            <a16:creationId xmlns:a16="http://schemas.microsoft.com/office/drawing/2014/main" id="{00000000-0008-0000-0200-0000C1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194" name="Group 193">
                        <a:extLst>
                          <a:ext uri="{FF2B5EF4-FFF2-40B4-BE49-F238E27FC236}">
                            <a16:creationId xmlns:a16="http://schemas.microsoft.com/office/drawing/2014/main" id="{00000000-0008-0000-0200-0000C2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196" name="Rectangle 195">
                          <a:extLst>
                            <a:ext uri="{FF2B5EF4-FFF2-40B4-BE49-F238E27FC236}">
                              <a16:creationId xmlns:a16="http://schemas.microsoft.com/office/drawing/2014/main" id="{00000000-0008-0000-0200-0000C4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197" name="Group 196">
                          <a:extLst>
                            <a:ext uri="{FF2B5EF4-FFF2-40B4-BE49-F238E27FC236}">
                              <a16:creationId xmlns:a16="http://schemas.microsoft.com/office/drawing/2014/main" id="{00000000-0008-0000-0200-0000C5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198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C600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199" name="Rectangle 198">
                            <a:extLst>
                              <a:ext uri="{FF2B5EF4-FFF2-40B4-BE49-F238E27FC236}">
                                <a16:creationId xmlns:a16="http://schemas.microsoft.com/office/drawing/2014/main" id="{00000000-0008-0000-0200-0000C7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00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C800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01" name="Straight Connector 200">
                            <a:extLst>
                              <a:ext uri="{FF2B5EF4-FFF2-40B4-BE49-F238E27FC236}">
                                <a16:creationId xmlns:a16="http://schemas.microsoft.com/office/drawing/2014/main" id="{00000000-0008-0000-0200-0000C9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02" name="Straight Connector 201">
                            <a:extLst>
                              <a:ext uri="{FF2B5EF4-FFF2-40B4-BE49-F238E27FC236}">
                                <a16:creationId xmlns:a16="http://schemas.microsoft.com/office/drawing/2014/main" id="{00000000-0008-0000-0200-0000CA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195" name="Shape 6">
                        <a:extLst>
                          <a:ext uri="{FF2B5EF4-FFF2-40B4-BE49-F238E27FC236}">
                            <a16:creationId xmlns:a16="http://schemas.microsoft.com/office/drawing/2014/main" id="{00000000-0008-0000-0200-0000C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187" name="Shape 27">
                    <a:extLst>
                      <a:ext uri="{FF2B5EF4-FFF2-40B4-BE49-F238E27FC236}">
                        <a16:creationId xmlns:a16="http://schemas.microsoft.com/office/drawing/2014/main" id="{00000000-0008-0000-0200-0000BB00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88" name="Shape 27">
                    <a:extLst>
                      <a:ext uri="{FF2B5EF4-FFF2-40B4-BE49-F238E27FC236}">
                        <a16:creationId xmlns:a16="http://schemas.microsoft.com/office/drawing/2014/main" id="{00000000-0008-0000-0200-0000BC00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89" name="Shape 27">
                    <a:extLst>
                      <a:ext uri="{FF2B5EF4-FFF2-40B4-BE49-F238E27FC236}">
                        <a16:creationId xmlns:a16="http://schemas.microsoft.com/office/drawing/2014/main" id="{00000000-0008-0000-0200-0000BD00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180" name="Straight Connector 179">
                  <a:extLst>
                    <a:ext uri="{FF2B5EF4-FFF2-40B4-BE49-F238E27FC236}">
                      <a16:creationId xmlns:a16="http://schemas.microsoft.com/office/drawing/2014/main" id="{00000000-0008-0000-0200-0000B4000000}"/>
                    </a:ext>
                  </a:extLst>
                </xdr:cNvPr>
                <xdr:cNvCxnSpPr/>
              </xdr:nvCxnSpPr>
              <xdr:spPr>
                <a:xfrm>
                  <a:off x="8740750" y="5075080"/>
                  <a:ext cx="3334412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81" name="Straight Connector 180">
                  <a:extLst>
                    <a:ext uri="{FF2B5EF4-FFF2-40B4-BE49-F238E27FC236}">
                      <a16:creationId xmlns:a16="http://schemas.microsoft.com/office/drawing/2014/main" id="{00000000-0008-0000-0200-0000B500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82" name="Straight Connector 181">
                  <a:extLst>
                    <a:ext uri="{FF2B5EF4-FFF2-40B4-BE49-F238E27FC236}">
                      <a16:creationId xmlns:a16="http://schemas.microsoft.com/office/drawing/2014/main" id="{00000000-0008-0000-0200-0000B600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83" name="Straight Connector 182">
                  <a:extLst>
                    <a:ext uri="{FF2B5EF4-FFF2-40B4-BE49-F238E27FC236}">
                      <a16:creationId xmlns:a16="http://schemas.microsoft.com/office/drawing/2014/main" id="{00000000-0008-0000-0200-0000B700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175" name="TextBox 174">
              <a:extLst>
                <a:ext uri="{FF2B5EF4-FFF2-40B4-BE49-F238E27FC236}">
                  <a16:creationId xmlns:a16="http://schemas.microsoft.com/office/drawing/2014/main" id="{00000000-0008-0000-0200-0000AF000000}"/>
                </a:ext>
              </a:extLst>
            </xdr:cNvPr>
            <xdr:cNvSpPr txBox="1"/>
          </xdr:nvSpPr>
          <xdr:spPr>
            <a:xfrm>
              <a:off x="13364535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176" name="TextBox 175">
              <a:extLst>
                <a:ext uri="{FF2B5EF4-FFF2-40B4-BE49-F238E27FC236}">
                  <a16:creationId xmlns:a16="http://schemas.microsoft.com/office/drawing/2014/main" id="{00000000-0008-0000-0200-0000B0000000}"/>
                </a:ext>
              </a:extLst>
            </xdr:cNvPr>
            <xdr:cNvSpPr txBox="1"/>
          </xdr:nvSpPr>
          <xdr:spPr>
            <a:xfrm>
              <a:off x="16107716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L1</a:t>
              </a:r>
            </a:p>
          </xdr:txBody>
        </xdr:sp>
      </xdr:grpSp>
      <xdr:grpSp>
        <xdr:nvGrpSpPr>
          <xdr:cNvPr id="116" name="Group 115">
            <a:extLst>
              <a:ext uri="{FF2B5EF4-FFF2-40B4-BE49-F238E27FC236}">
                <a16:creationId xmlns:a16="http://schemas.microsoft.com/office/drawing/2014/main" id="{00000000-0008-0000-0200-000074000000}"/>
              </a:ext>
            </a:extLst>
          </xdr:cNvPr>
          <xdr:cNvGrpSpPr/>
        </xdr:nvGrpSpPr>
        <xdr:grpSpPr>
          <a:xfrm>
            <a:off x="10564524" y="10273522"/>
            <a:ext cx="3553284" cy="1228503"/>
            <a:chOff x="13364535" y="9716977"/>
            <a:chExt cx="3455581" cy="1316034"/>
          </a:xfrm>
        </xdr:grpSpPr>
        <xdr:grpSp>
          <xdr:nvGrpSpPr>
            <xdr:cNvPr id="119" name="Group 118">
              <a:extLst>
                <a:ext uri="{FF2B5EF4-FFF2-40B4-BE49-F238E27FC236}">
                  <a16:creationId xmlns:a16="http://schemas.microsoft.com/office/drawing/2014/main" id="{00000000-0008-0000-0200-000077000000}"/>
                </a:ext>
              </a:extLst>
            </xdr:cNvPr>
            <xdr:cNvGrpSpPr/>
          </xdr:nvGrpSpPr>
          <xdr:grpSpPr>
            <a:xfrm>
              <a:off x="13520482" y="9716977"/>
              <a:ext cx="3280909" cy="1287783"/>
              <a:chOff x="8740754" y="3850532"/>
              <a:chExt cx="3366831" cy="1262101"/>
            </a:xfrm>
          </xdr:grpSpPr>
          <xdr:sp macro="" textlink="">
            <xdr:nvSpPr>
              <xdr:cNvPr id="122" name="Rectangle 121">
                <a:extLst>
                  <a:ext uri="{FF2B5EF4-FFF2-40B4-BE49-F238E27FC236}">
                    <a16:creationId xmlns:a16="http://schemas.microsoft.com/office/drawing/2014/main" id="{00000000-0008-0000-0200-00007A00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123" name="Group 122">
                <a:extLst>
                  <a:ext uri="{FF2B5EF4-FFF2-40B4-BE49-F238E27FC236}">
                    <a16:creationId xmlns:a16="http://schemas.microsoft.com/office/drawing/2014/main" id="{00000000-0008-0000-0200-00007B000000}"/>
                  </a:ext>
                </a:extLst>
              </xdr:cNvPr>
              <xdr:cNvGrpSpPr/>
            </xdr:nvGrpSpPr>
            <xdr:grpSpPr>
              <a:xfrm>
                <a:off x="8740754" y="3850532"/>
                <a:ext cx="3334412" cy="1227296"/>
                <a:chOff x="8740754" y="3850532"/>
                <a:chExt cx="3334412" cy="1227296"/>
              </a:xfrm>
            </xdr:grpSpPr>
            <xdr:grpSp>
              <xdr:nvGrpSpPr>
                <xdr:cNvPr id="124" name="Group 123">
                  <a:extLst>
                    <a:ext uri="{FF2B5EF4-FFF2-40B4-BE49-F238E27FC236}">
                      <a16:creationId xmlns:a16="http://schemas.microsoft.com/office/drawing/2014/main" id="{00000000-0008-0000-0200-00007C00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129" name="Group 128">
                    <a:extLst>
                      <a:ext uri="{FF2B5EF4-FFF2-40B4-BE49-F238E27FC236}">
                        <a16:creationId xmlns:a16="http://schemas.microsoft.com/office/drawing/2014/main" id="{00000000-0008-0000-0200-00008100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161" name="Shape 5">
                      <a:extLst>
                        <a:ext uri="{FF2B5EF4-FFF2-40B4-BE49-F238E27FC236}">
                          <a16:creationId xmlns:a16="http://schemas.microsoft.com/office/drawing/2014/main" id="{00000000-0008-0000-0200-0000A100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62" name="Shape 8">
                      <a:extLst>
                        <a:ext uri="{FF2B5EF4-FFF2-40B4-BE49-F238E27FC236}">
                          <a16:creationId xmlns:a16="http://schemas.microsoft.com/office/drawing/2014/main" id="{00000000-0008-0000-0200-0000A200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2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164" name="Shape 7">
                        <a:extLst>
                          <a:ext uri="{FF2B5EF4-FFF2-40B4-BE49-F238E27FC236}">
                            <a16:creationId xmlns:a16="http://schemas.microsoft.com/office/drawing/2014/main" id="{00000000-0008-0000-0200-0000A4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165" name="Group 164">
                        <a:extLst>
                          <a:ext uri="{FF2B5EF4-FFF2-40B4-BE49-F238E27FC236}">
                            <a16:creationId xmlns:a16="http://schemas.microsoft.com/office/drawing/2014/main" id="{00000000-0008-0000-0200-0000A5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167" name="Rectangle 166">
                          <a:extLst>
                            <a:ext uri="{FF2B5EF4-FFF2-40B4-BE49-F238E27FC236}">
                              <a16:creationId xmlns:a16="http://schemas.microsoft.com/office/drawing/2014/main" id="{00000000-0008-0000-0200-0000A7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168" name="Group 167">
                          <a:extLst>
                            <a:ext uri="{FF2B5EF4-FFF2-40B4-BE49-F238E27FC236}">
                              <a16:creationId xmlns:a16="http://schemas.microsoft.com/office/drawing/2014/main" id="{00000000-0008-0000-0200-0000A8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169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A900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170" name="Rectangle 169">
                            <a:extLst>
                              <a:ext uri="{FF2B5EF4-FFF2-40B4-BE49-F238E27FC236}">
                                <a16:creationId xmlns:a16="http://schemas.microsoft.com/office/drawing/2014/main" id="{00000000-0008-0000-0200-0000AA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171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AB00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172" name="Straight Connector 171">
                            <a:extLst>
                              <a:ext uri="{FF2B5EF4-FFF2-40B4-BE49-F238E27FC236}">
                                <a16:creationId xmlns:a16="http://schemas.microsoft.com/office/drawing/2014/main" id="{00000000-0008-0000-0200-0000AC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173" name="Straight Connector 172">
                            <a:extLst>
                              <a:ext uri="{FF2B5EF4-FFF2-40B4-BE49-F238E27FC236}">
                                <a16:creationId xmlns:a16="http://schemas.microsoft.com/office/drawing/2014/main" id="{00000000-0008-0000-0200-0000AD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166" name="Shape 6">
                        <a:extLst>
                          <a:ext uri="{FF2B5EF4-FFF2-40B4-BE49-F238E27FC236}">
                            <a16:creationId xmlns:a16="http://schemas.microsoft.com/office/drawing/2014/main" id="{00000000-0008-0000-0200-0000A6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130" name="Group 129">
                    <a:extLst>
                      <a:ext uri="{FF2B5EF4-FFF2-40B4-BE49-F238E27FC236}">
                        <a16:creationId xmlns:a16="http://schemas.microsoft.com/office/drawing/2014/main" id="{00000000-0008-0000-0200-00008200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148" name="Shape 5">
                      <a:extLst>
                        <a:ext uri="{FF2B5EF4-FFF2-40B4-BE49-F238E27FC236}">
                          <a16:creationId xmlns:a16="http://schemas.microsoft.com/office/drawing/2014/main" id="{00000000-0008-0000-0200-00009400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49" name="Shape 8">
                      <a:extLst>
                        <a:ext uri="{FF2B5EF4-FFF2-40B4-BE49-F238E27FC236}">
                          <a16:creationId xmlns:a16="http://schemas.microsoft.com/office/drawing/2014/main" id="{00000000-0008-0000-0200-00009500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150" name="Group 149">
                      <a:extLst>
                        <a:ext uri="{FF2B5EF4-FFF2-40B4-BE49-F238E27FC236}">
                          <a16:creationId xmlns:a16="http://schemas.microsoft.com/office/drawing/2014/main" id="{00000000-0008-0000-0200-00009600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151" name="Shape 7">
                        <a:extLst>
                          <a:ext uri="{FF2B5EF4-FFF2-40B4-BE49-F238E27FC236}">
                            <a16:creationId xmlns:a16="http://schemas.microsoft.com/office/drawing/2014/main" id="{00000000-0008-0000-0200-000097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152" name="Group 151">
                        <a:extLst>
                          <a:ext uri="{FF2B5EF4-FFF2-40B4-BE49-F238E27FC236}">
                            <a16:creationId xmlns:a16="http://schemas.microsoft.com/office/drawing/2014/main" id="{00000000-0008-0000-0200-000098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154" name="Rectangle 153">
                          <a:extLst>
                            <a:ext uri="{FF2B5EF4-FFF2-40B4-BE49-F238E27FC236}">
                              <a16:creationId xmlns:a16="http://schemas.microsoft.com/office/drawing/2014/main" id="{00000000-0008-0000-0200-00009A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155" name="Group 154">
                          <a:extLst>
                            <a:ext uri="{FF2B5EF4-FFF2-40B4-BE49-F238E27FC236}">
                              <a16:creationId xmlns:a16="http://schemas.microsoft.com/office/drawing/2014/main" id="{00000000-0008-0000-0200-00009B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156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9C00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157" name="Rectangle 156">
                            <a:extLst>
                              <a:ext uri="{FF2B5EF4-FFF2-40B4-BE49-F238E27FC236}">
                                <a16:creationId xmlns:a16="http://schemas.microsoft.com/office/drawing/2014/main" id="{00000000-0008-0000-0200-00009D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158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9E00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159" name="Straight Connector 158">
                            <a:extLst>
                              <a:ext uri="{FF2B5EF4-FFF2-40B4-BE49-F238E27FC236}">
                                <a16:creationId xmlns:a16="http://schemas.microsoft.com/office/drawing/2014/main" id="{00000000-0008-0000-0200-00009F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160" name="Straight Connector 159">
                            <a:extLst>
                              <a:ext uri="{FF2B5EF4-FFF2-40B4-BE49-F238E27FC236}">
                                <a16:creationId xmlns:a16="http://schemas.microsoft.com/office/drawing/2014/main" id="{00000000-0008-0000-0200-0000A0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153" name="Shape 6">
                        <a:extLst>
                          <a:ext uri="{FF2B5EF4-FFF2-40B4-BE49-F238E27FC236}">
                            <a16:creationId xmlns:a16="http://schemas.microsoft.com/office/drawing/2014/main" id="{00000000-0008-0000-0200-000099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131" name="Group 130">
                    <a:extLst>
                      <a:ext uri="{FF2B5EF4-FFF2-40B4-BE49-F238E27FC236}">
                        <a16:creationId xmlns:a16="http://schemas.microsoft.com/office/drawing/2014/main" id="{00000000-0008-0000-0200-00008300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135" name="Shape 5">
                      <a:extLst>
                        <a:ext uri="{FF2B5EF4-FFF2-40B4-BE49-F238E27FC236}">
                          <a16:creationId xmlns:a16="http://schemas.microsoft.com/office/drawing/2014/main" id="{00000000-0008-0000-0200-00008700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36" name="Shape 8">
                      <a:extLst>
                        <a:ext uri="{FF2B5EF4-FFF2-40B4-BE49-F238E27FC236}">
                          <a16:creationId xmlns:a16="http://schemas.microsoft.com/office/drawing/2014/main" id="{00000000-0008-0000-0200-00008800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137" name="Group 136">
                      <a:extLst>
                        <a:ext uri="{FF2B5EF4-FFF2-40B4-BE49-F238E27FC236}">
                          <a16:creationId xmlns:a16="http://schemas.microsoft.com/office/drawing/2014/main" id="{00000000-0008-0000-0200-00008900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138" name="Shape 7">
                        <a:extLst>
                          <a:ext uri="{FF2B5EF4-FFF2-40B4-BE49-F238E27FC236}">
                            <a16:creationId xmlns:a16="http://schemas.microsoft.com/office/drawing/2014/main" id="{00000000-0008-0000-0200-00008A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139" name="Group 138">
                        <a:extLst>
                          <a:ext uri="{FF2B5EF4-FFF2-40B4-BE49-F238E27FC236}">
                            <a16:creationId xmlns:a16="http://schemas.microsoft.com/office/drawing/2014/main" id="{00000000-0008-0000-0200-00008B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141" name="Rectangle 140">
                          <a:extLst>
                            <a:ext uri="{FF2B5EF4-FFF2-40B4-BE49-F238E27FC236}">
                              <a16:creationId xmlns:a16="http://schemas.microsoft.com/office/drawing/2014/main" id="{00000000-0008-0000-0200-00008D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142" name="Group 141">
                          <a:extLst>
                            <a:ext uri="{FF2B5EF4-FFF2-40B4-BE49-F238E27FC236}">
                              <a16:creationId xmlns:a16="http://schemas.microsoft.com/office/drawing/2014/main" id="{00000000-0008-0000-0200-00008E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143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8F00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144" name="Rectangle 143">
                            <a:extLst>
                              <a:ext uri="{FF2B5EF4-FFF2-40B4-BE49-F238E27FC236}">
                                <a16:creationId xmlns:a16="http://schemas.microsoft.com/office/drawing/2014/main" id="{00000000-0008-0000-0200-000090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145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9100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146" name="Straight Connector 145">
                            <a:extLst>
                              <a:ext uri="{FF2B5EF4-FFF2-40B4-BE49-F238E27FC236}">
                                <a16:creationId xmlns:a16="http://schemas.microsoft.com/office/drawing/2014/main" id="{00000000-0008-0000-0200-000092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147" name="Straight Connector 146">
                            <a:extLst>
                              <a:ext uri="{FF2B5EF4-FFF2-40B4-BE49-F238E27FC236}">
                                <a16:creationId xmlns:a16="http://schemas.microsoft.com/office/drawing/2014/main" id="{00000000-0008-0000-0200-000093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140" name="Shape 6">
                        <a:extLst>
                          <a:ext uri="{FF2B5EF4-FFF2-40B4-BE49-F238E27FC236}">
                            <a16:creationId xmlns:a16="http://schemas.microsoft.com/office/drawing/2014/main" id="{00000000-0008-0000-0200-00008C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132" name="Shape 27">
                    <a:extLst>
                      <a:ext uri="{FF2B5EF4-FFF2-40B4-BE49-F238E27FC236}">
                        <a16:creationId xmlns:a16="http://schemas.microsoft.com/office/drawing/2014/main" id="{00000000-0008-0000-0200-00008400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3" name="Shape 27">
                    <a:extLst>
                      <a:ext uri="{FF2B5EF4-FFF2-40B4-BE49-F238E27FC236}">
                        <a16:creationId xmlns:a16="http://schemas.microsoft.com/office/drawing/2014/main" id="{00000000-0008-0000-0200-00008500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4" name="Shape 27">
                    <a:extLst>
                      <a:ext uri="{FF2B5EF4-FFF2-40B4-BE49-F238E27FC236}">
                        <a16:creationId xmlns:a16="http://schemas.microsoft.com/office/drawing/2014/main" id="{00000000-0008-0000-0200-00008600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125" name="Straight Connector 124">
                  <a:extLst>
                    <a:ext uri="{FF2B5EF4-FFF2-40B4-BE49-F238E27FC236}">
                      <a16:creationId xmlns:a16="http://schemas.microsoft.com/office/drawing/2014/main" id="{00000000-0008-0000-0200-00007D000000}"/>
                    </a:ext>
                  </a:extLst>
                </xdr:cNvPr>
                <xdr:cNvCxnSpPr/>
              </xdr:nvCxnSpPr>
              <xdr:spPr>
                <a:xfrm>
                  <a:off x="8740754" y="5062392"/>
                  <a:ext cx="3334412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6" name="Straight Connector 125">
                  <a:extLst>
                    <a:ext uri="{FF2B5EF4-FFF2-40B4-BE49-F238E27FC236}">
                      <a16:creationId xmlns:a16="http://schemas.microsoft.com/office/drawing/2014/main" id="{00000000-0008-0000-0200-00007E00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7" name="Straight Connector 126">
                  <a:extLst>
                    <a:ext uri="{FF2B5EF4-FFF2-40B4-BE49-F238E27FC236}">
                      <a16:creationId xmlns:a16="http://schemas.microsoft.com/office/drawing/2014/main" id="{00000000-0008-0000-0200-00007F00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8" name="Straight Connector 127">
                  <a:extLst>
                    <a:ext uri="{FF2B5EF4-FFF2-40B4-BE49-F238E27FC236}">
                      <a16:creationId xmlns:a16="http://schemas.microsoft.com/office/drawing/2014/main" id="{00000000-0008-0000-0200-00008000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120" name="TextBox 119">
              <a:extLst>
                <a:ext uri="{FF2B5EF4-FFF2-40B4-BE49-F238E27FC236}">
                  <a16:creationId xmlns:a16="http://schemas.microsoft.com/office/drawing/2014/main" id="{00000000-0008-0000-0200-000078000000}"/>
                </a:ext>
              </a:extLst>
            </xdr:cNvPr>
            <xdr:cNvSpPr txBox="1"/>
          </xdr:nvSpPr>
          <xdr:spPr>
            <a:xfrm>
              <a:off x="13364535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121" name="TextBox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 txBox="1"/>
          </xdr:nvSpPr>
          <xdr:spPr>
            <a:xfrm>
              <a:off x="16107716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L3</a:t>
              </a:r>
            </a:p>
          </xdr:txBody>
        </xdr:sp>
      </xdr:grpSp>
      <xdr:cxnSp macro="">
        <xdr:nvCxnSpPr>
          <xdr:cNvPr id="117" name="Straight Connector 116">
            <a:extLst>
              <a:ext uri="{FF2B5EF4-FFF2-40B4-BE49-F238E27FC236}">
                <a16:creationId xmlns:a16="http://schemas.microsoft.com/office/drawing/2014/main" id="{00000000-0008-0000-0200-000075000000}"/>
              </a:ext>
            </a:extLst>
          </xdr:cNvPr>
          <xdr:cNvCxnSpPr/>
        </xdr:nvCxnSpPr>
        <xdr:spPr>
          <a:xfrm>
            <a:off x="10712844" y="10083202"/>
            <a:ext cx="0" cy="135341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200-000076000000}"/>
              </a:ext>
            </a:extLst>
          </xdr:cNvPr>
          <xdr:cNvCxnSpPr/>
        </xdr:nvCxnSpPr>
        <xdr:spPr>
          <a:xfrm>
            <a:off x="10712844" y="8711863"/>
            <a:ext cx="0" cy="137134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189499</xdr:colOff>
      <xdr:row>51</xdr:row>
      <xdr:rowOff>87020</xdr:rowOff>
    </xdr:from>
    <xdr:to>
      <xdr:col>63</xdr:col>
      <xdr:colOff>152972</xdr:colOff>
      <xdr:row>53</xdr:row>
      <xdr:rowOff>51882</xdr:rowOff>
    </xdr:to>
    <xdr:sp macro="" textlink="">
      <xdr:nvSpPr>
        <xdr:cNvPr id="244" name="TboxL2S2">
          <a:extLst>
            <a:ext uri="{FF2B5EF4-FFF2-40B4-BE49-F238E27FC236}">
              <a16:creationId xmlns:a16="http://schemas.microsoft.com/office/drawing/2014/main" id="{00000000-0008-0000-0200-0000F4000000}"/>
            </a:ext>
          </a:extLst>
        </xdr:cNvPr>
        <xdr:cNvSpPr txBox="1"/>
      </xdr:nvSpPr>
      <xdr:spPr>
        <a:xfrm>
          <a:off x="14937886" y="10533794"/>
          <a:ext cx="700892" cy="3745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L2</a:t>
          </a:r>
        </a:p>
      </xdr:txBody>
    </xdr:sp>
    <xdr:clientData/>
  </xdr:twoCellAnchor>
  <xdr:twoCellAnchor>
    <xdr:from>
      <xdr:col>6</xdr:col>
      <xdr:colOff>193274</xdr:colOff>
      <xdr:row>25</xdr:row>
      <xdr:rowOff>170939</xdr:rowOff>
    </xdr:from>
    <xdr:to>
      <xdr:col>63</xdr:col>
      <xdr:colOff>134549</xdr:colOff>
      <xdr:row>56</xdr:row>
      <xdr:rowOff>93130</xdr:rowOff>
    </xdr:to>
    <xdr:grpSp>
      <xdr:nvGrpSpPr>
        <xdr:cNvPr id="502" name="Array2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GrpSpPr/>
      </xdr:nvGrpSpPr>
      <xdr:grpSpPr>
        <a:xfrm>
          <a:off x="1753997" y="5143831"/>
          <a:ext cx="14768142" cy="6088576"/>
          <a:chOff x="1668113" y="5291907"/>
          <a:chExt cx="13952242" cy="6272191"/>
        </a:xfrm>
      </xdr:grpSpPr>
      <xdr:grpSp>
        <xdr:nvGrpSpPr>
          <xdr:cNvPr id="230" name="Group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GrpSpPr/>
        </xdr:nvGrpSpPr>
        <xdr:grpSpPr>
          <a:xfrm>
            <a:off x="1668113" y="5291907"/>
            <a:ext cx="546529" cy="5564099"/>
            <a:chOff x="2881716" y="7457847"/>
            <a:chExt cx="554569" cy="5377457"/>
          </a:xfrm>
        </xdr:grpSpPr>
        <xdr:grpSp>
          <xdr:nvGrpSpPr>
            <xdr:cNvPr id="297" name="Group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GrpSpPr/>
          </xdr:nvGrpSpPr>
          <xdr:grpSpPr>
            <a:xfrm>
              <a:off x="3097669" y="7457847"/>
              <a:ext cx="338616" cy="5377457"/>
              <a:chOff x="3122757" y="6912211"/>
              <a:chExt cx="346870" cy="5343128"/>
            </a:xfrm>
          </xdr:grpSpPr>
          <xdr:grpSp>
            <xdr:nvGrpSpPr>
              <xdr:cNvPr id="300" name="Group 299">
                <a:extLst>
                  <a:ext uri="{FF2B5EF4-FFF2-40B4-BE49-F238E27FC236}">
                    <a16:creationId xmlns:a16="http://schemas.microsoft.com/office/drawing/2014/main" id="{00000000-0008-0000-0200-00002C010000}"/>
                  </a:ext>
                </a:extLst>
              </xdr:cNvPr>
              <xdr:cNvGrpSpPr/>
            </xdr:nvGrpSpPr>
            <xdr:grpSpPr>
              <a:xfrm>
                <a:off x="3122757" y="6912211"/>
                <a:ext cx="346870" cy="1726143"/>
                <a:chOff x="3122757" y="6912211"/>
                <a:chExt cx="346870" cy="1726143"/>
              </a:xfrm>
            </xdr:grpSpPr>
            <xdr:sp macro="" textlink="">
              <xdr:nvSpPr>
                <xdr:cNvPr id="302" name="Shape 27">
                  <a:extLst>
                    <a:ext uri="{FF2B5EF4-FFF2-40B4-BE49-F238E27FC236}">
                      <a16:creationId xmlns:a16="http://schemas.microsoft.com/office/drawing/2014/main" id="{00000000-0008-0000-0200-00002E010000}"/>
                    </a:ext>
                  </a:extLst>
                </xdr:cNvPr>
                <xdr:cNvSpPr/>
              </xdr:nvSpPr>
              <xdr:spPr>
                <a:xfrm>
                  <a:off x="3200430" y="8330923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3" name="Shape 27">
                  <a:extLst>
                    <a:ext uri="{FF2B5EF4-FFF2-40B4-BE49-F238E27FC236}">
                      <a16:creationId xmlns:a16="http://schemas.microsoft.com/office/drawing/2014/main" id="{00000000-0008-0000-0200-00002F010000}"/>
                    </a:ext>
                  </a:extLst>
                </xdr:cNvPr>
                <xdr:cNvSpPr/>
              </xdr:nvSpPr>
              <xdr:spPr>
                <a:xfrm>
                  <a:off x="3194692" y="8538667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4" name="Shape 26">
                  <a:extLst>
                    <a:ext uri="{FF2B5EF4-FFF2-40B4-BE49-F238E27FC236}">
                      <a16:creationId xmlns:a16="http://schemas.microsoft.com/office/drawing/2014/main" id="{00000000-0008-0000-0200-000030010000}"/>
                    </a:ext>
                  </a:extLst>
                </xdr:cNvPr>
                <xdr:cNvSpPr/>
              </xdr:nvSpPr>
              <xdr:spPr>
                <a:xfrm flipH="1">
                  <a:off x="3256928" y="8363413"/>
                  <a:ext cx="212699" cy="1888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cxnSp macro="">
              <xdr:nvCxnSpPr>
                <xdr:cNvPr id="305" name="Straight Connector 304">
                  <a:extLst>
                    <a:ext uri="{FF2B5EF4-FFF2-40B4-BE49-F238E27FC236}">
                      <a16:creationId xmlns:a16="http://schemas.microsoft.com/office/drawing/2014/main" id="{00000000-0008-0000-0200-000031010000}"/>
                    </a:ext>
                  </a:extLst>
                </xdr:cNvPr>
                <xdr:cNvCxnSpPr/>
              </xdr:nvCxnSpPr>
              <xdr:spPr>
                <a:xfrm>
                  <a:off x="3243557" y="6912211"/>
                  <a:ext cx="0" cy="1415993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06" name="Straight Connector 305">
                  <a:extLst>
                    <a:ext uri="{FF2B5EF4-FFF2-40B4-BE49-F238E27FC236}">
                      <a16:creationId xmlns:a16="http://schemas.microsoft.com/office/drawing/2014/main" id="{00000000-0008-0000-0200-000032010000}"/>
                    </a:ext>
                  </a:extLst>
                </xdr:cNvPr>
                <xdr:cNvCxnSpPr/>
              </xdr:nvCxnSpPr>
              <xdr:spPr>
                <a:xfrm flipH="1">
                  <a:off x="3122757" y="7144992"/>
                  <a:ext cx="256704" cy="188123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301" name="Straight Connector 300">
                <a:extLst>
                  <a:ext uri="{FF2B5EF4-FFF2-40B4-BE49-F238E27FC236}">
                    <a16:creationId xmlns:a16="http://schemas.microsoft.com/office/drawing/2014/main" id="{00000000-0008-0000-0200-00002D010000}"/>
                  </a:ext>
                </a:extLst>
              </xdr:cNvPr>
              <xdr:cNvCxnSpPr/>
            </xdr:nvCxnSpPr>
            <xdr:spPr>
              <a:xfrm>
                <a:off x="3243486" y="8633151"/>
                <a:ext cx="0" cy="3622188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98" name="Rectangle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SpPr/>
          </xdr:nvSpPr>
          <xdr:spPr>
            <a:xfrm>
              <a:off x="3123426" y="8206283"/>
              <a:ext cx="168425" cy="270506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99" name="TextBox 298">
              <a:extLst>
                <a:ext uri="{FF2B5EF4-FFF2-40B4-BE49-F238E27FC236}">
                  <a16:creationId xmlns:a16="http://schemas.microsoft.com/office/drawing/2014/main" id="{00000000-0008-0000-0200-00002B010000}"/>
                </a:ext>
              </a:extLst>
            </xdr:cNvPr>
            <xdr:cNvSpPr txBox="1"/>
          </xdr:nvSpPr>
          <xdr:spPr>
            <a:xfrm>
              <a:off x="2881716" y="8469610"/>
              <a:ext cx="393400" cy="1989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QR2</a:t>
              </a:r>
            </a:p>
          </xdr:txBody>
        </xdr:sp>
      </xdr:grpSp>
      <xdr:grpSp>
        <xdr:nvGrpSpPr>
          <xdr:cNvPr id="242" name="Group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GrpSpPr/>
        </xdr:nvGrpSpPr>
        <xdr:grpSpPr>
          <a:xfrm>
            <a:off x="12063728" y="9630333"/>
            <a:ext cx="3556627" cy="1250567"/>
            <a:chOff x="8397889" y="3850532"/>
            <a:chExt cx="3709696" cy="1262101"/>
          </a:xfrm>
        </xdr:grpSpPr>
        <xdr:sp macro="" textlink="">
          <xdr:nvSpPr>
            <xdr:cNvPr id="245" name="Rectangle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SpPr/>
          </xdr:nvSpPr>
          <xdr:spPr>
            <a:xfrm>
              <a:off x="12016984" y="5025958"/>
              <a:ext cx="90601" cy="86675"/>
            </a:xfrm>
            <a:prstGeom prst="rect">
              <a:avLst/>
            </a:pr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grpSp>
          <xdr:nvGrpSpPr>
            <xdr:cNvPr id="246" name="Group 245">
              <a:extLst>
                <a:ext uri="{FF2B5EF4-FFF2-40B4-BE49-F238E27FC236}">
                  <a16:creationId xmlns:a16="http://schemas.microsoft.com/office/drawing/2014/main" id="{00000000-0008-0000-0200-0000F6000000}"/>
                </a:ext>
              </a:extLst>
            </xdr:cNvPr>
            <xdr:cNvGrpSpPr/>
          </xdr:nvGrpSpPr>
          <xdr:grpSpPr>
            <a:xfrm>
              <a:off x="8397889" y="3850532"/>
              <a:ext cx="3664395" cy="1227296"/>
              <a:chOff x="8397889" y="3850532"/>
              <a:chExt cx="3664395" cy="1227296"/>
            </a:xfrm>
          </xdr:grpSpPr>
          <xdr:grpSp>
            <xdr:nvGrpSpPr>
              <xdr:cNvPr id="247" name="Group 246">
                <a:extLst>
                  <a:ext uri="{FF2B5EF4-FFF2-40B4-BE49-F238E27FC236}">
                    <a16:creationId xmlns:a16="http://schemas.microsoft.com/office/drawing/2014/main" id="{00000000-0008-0000-0200-0000F7000000}"/>
                  </a:ext>
                </a:extLst>
              </xdr:cNvPr>
              <xdr:cNvGrpSpPr/>
            </xdr:nvGrpSpPr>
            <xdr:grpSpPr>
              <a:xfrm>
                <a:off x="9773409" y="3850532"/>
                <a:ext cx="1629570" cy="969122"/>
                <a:chOff x="9773409" y="3850532"/>
                <a:chExt cx="1629570" cy="969122"/>
              </a:xfrm>
            </xdr:grpSpPr>
            <xdr:grpSp>
              <xdr:nvGrpSpPr>
                <xdr:cNvPr id="252" name="Group 251">
                  <a:extLst>
                    <a:ext uri="{FF2B5EF4-FFF2-40B4-BE49-F238E27FC236}">
                      <a16:creationId xmlns:a16="http://schemas.microsoft.com/office/drawing/2014/main" id="{00000000-0008-0000-0200-0000FC000000}"/>
                    </a:ext>
                  </a:extLst>
                </xdr:cNvPr>
                <xdr:cNvGrpSpPr/>
              </xdr:nvGrpSpPr>
              <xdr:grpSpPr>
                <a:xfrm>
                  <a:off x="11043409" y="3855114"/>
                  <a:ext cx="359570" cy="964540"/>
                  <a:chOff x="5976919" y="875457"/>
                  <a:chExt cx="528506" cy="1417708"/>
                </a:xfrm>
              </xdr:grpSpPr>
              <xdr:sp macro="" textlink="">
                <xdr:nvSpPr>
                  <xdr:cNvPr id="284" name="Shape 5">
                    <a:extLst>
                      <a:ext uri="{FF2B5EF4-FFF2-40B4-BE49-F238E27FC236}">
                        <a16:creationId xmlns:a16="http://schemas.microsoft.com/office/drawing/2014/main" id="{00000000-0008-0000-0200-00001C010000}"/>
                      </a:ext>
                    </a:extLst>
                  </xdr:cNvPr>
                  <xdr:cNvSpPr/>
                </xdr:nvSpPr>
                <xdr:spPr>
                  <a:xfrm>
                    <a:off x="5985725" y="1892729"/>
                    <a:ext cx="510889" cy="400436"/>
                  </a:xfrm>
                  <a:prstGeom prst="line">
                    <a:avLst/>
                  </a:prstGeom>
                  <a:noFill/>
                  <a:ln w="6350" cap="flat">
                    <a:solidFill>
                      <a:srgbClr val="000000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85" name="Shape 8">
                    <a:extLst>
                      <a:ext uri="{FF2B5EF4-FFF2-40B4-BE49-F238E27FC236}">
                        <a16:creationId xmlns:a16="http://schemas.microsoft.com/office/drawing/2014/main" id="{00000000-0008-0000-0200-00001D010000}"/>
                      </a:ext>
                    </a:extLst>
                  </xdr:cNvPr>
                  <xdr:cNvSpPr/>
                </xdr:nvSpPr>
                <xdr:spPr>
                  <a:xfrm>
                    <a:off x="6065923" y="2177865"/>
                    <a:ext cx="140766" cy="8190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21600" h="21600" extrusionOk="0">
                        <a:moveTo>
                          <a:pt x="0" y="19200"/>
                        </a:moveTo>
                        <a:cubicBezTo>
                          <a:pt x="2057" y="9600"/>
                          <a:pt x="5143" y="0"/>
                          <a:pt x="7200" y="0"/>
                        </a:cubicBezTo>
                        <a:cubicBezTo>
                          <a:pt x="9257" y="0"/>
                          <a:pt x="12343" y="21600"/>
                          <a:pt x="14400" y="21600"/>
                        </a:cubicBezTo>
                        <a:cubicBezTo>
                          <a:pt x="16457" y="21600"/>
                          <a:pt x="20571" y="4800"/>
                          <a:pt x="21600" y="2400"/>
                        </a:cubicBezTo>
                      </a:path>
                    </a:pathLst>
                  </a:cu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grpSp>
                <xdr:nvGrpSpPr>
                  <xdr:cNvPr id="286" name="Group 285">
                    <a:extLst>
                      <a:ext uri="{FF2B5EF4-FFF2-40B4-BE49-F238E27FC236}">
                        <a16:creationId xmlns:a16="http://schemas.microsoft.com/office/drawing/2014/main" id="{00000000-0008-0000-0200-00001E010000}"/>
                      </a:ext>
                    </a:extLst>
                  </xdr:cNvPr>
                  <xdr:cNvGrpSpPr/>
                </xdr:nvGrpSpPr>
                <xdr:grpSpPr>
                  <a:xfrm>
                    <a:off x="5976919" y="875457"/>
                    <a:ext cx="528506" cy="1415685"/>
                    <a:chOff x="5976919" y="875457"/>
                    <a:chExt cx="528506" cy="1415685"/>
                  </a:xfrm>
                </xdr:grpSpPr>
                <xdr:sp macro="" textlink="">
                  <xdr:nvSpPr>
                    <xdr:cNvPr id="287" name="Shape 7">
                      <a:extLst>
                        <a:ext uri="{FF2B5EF4-FFF2-40B4-BE49-F238E27FC236}">
                          <a16:creationId xmlns:a16="http://schemas.microsoft.com/office/drawing/2014/main" id="{00000000-0008-0000-0200-00001F010000}"/>
                        </a:ext>
                      </a:extLst>
                    </xdr:cNvPr>
                    <xdr:cNvSpPr/>
                  </xdr:nvSpPr>
                  <xdr:spPr>
                    <a:xfrm>
                      <a:off x="6275482" y="2006159"/>
                      <a:ext cx="153979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88" name="Group 287">
                      <a:extLst>
                        <a:ext uri="{FF2B5EF4-FFF2-40B4-BE49-F238E27FC236}">
                          <a16:creationId xmlns:a16="http://schemas.microsoft.com/office/drawing/2014/main" id="{00000000-0008-0000-0200-000020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90" name="Rectangle 289">
                        <a:extLst>
                          <a:ext uri="{FF2B5EF4-FFF2-40B4-BE49-F238E27FC236}">
                            <a16:creationId xmlns:a16="http://schemas.microsoft.com/office/drawing/2014/main" id="{00000000-0008-0000-0200-000022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76919" y="1886661"/>
                        <a:ext cx="528506" cy="404481"/>
                      </a:xfrm>
                      <a:prstGeom prst="rect">
                        <a:avLst/>
                      </a:prstGeom>
                      <a:noFill/>
                      <a:ln w="6350">
                        <a:solidFill>
                          <a:schemeClr val="tx1"/>
                        </a:solidFill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rot="0" spcFirstLastPara="1" vertOverflow="overflow" horzOverflow="overflow" vert="horz" wrap="square" lIns="50800" tIns="50800" rIns="50800" bIns="50800" numCol="1" spcCol="38100" rtlCol="0" anchor="ctr">
                        <a:noAutofit/>
                      </a:bodyPr>
                      <a:lstStyle/>
                      <a:p>
                        <a:pPr marL="0" marR="0" indent="0" algn="ctr" defTabSz="457200" rtl="0" fontAlgn="auto" latinLnBrk="1" hangingPunct="0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</a:pPr>
                        <a:endParaRPr kumimoji="0" lang="en-GB" sz="1200" b="0" i="0" u="none" strike="noStrike" cap="none" spc="0" normalizeH="0" baseline="0">
                          <a:ln>
                            <a:noFill/>
                          </a:ln>
                          <a:solidFill>
                            <a:srgbClr val="FFFFFF"/>
                          </a:solidFill>
                          <a:effectLst>
                            <a:outerShdw blurRad="25400" dist="23998" dir="2700000" rotWithShape="0">
                              <a:srgbClr val="000000">
                                <a:alpha val="31034"/>
                              </a:srgbClr>
                            </a:outerShdw>
                          </a:effectLst>
                          <a:uFillTx/>
                          <a:latin typeface="+mn-lt"/>
                          <a:ea typeface="+mn-ea"/>
                          <a:cs typeface="+mn-cs"/>
                          <a:sym typeface="Helvetica"/>
                        </a:endParaRPr>
                      </a:p>
                    </xdr:txBody>
                  </xdr:sp>
                  <xdr:grpSp>
                    <xdr:nvGrpSpPr>
                      <xdr:cNvPr id="291" name="Group 290">
                        <a:extLst>
                          <a:ext uri="{FF2B5EF4-FFF2-40B4-BE49-F238E27FC236}">
                            <a16:creationId xmlns:a16="http://schemas.microsoft.com/office/drawing/2014/main" id="{00000000-0008-0000-0200-000023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22" y="875457"/>
                        <a:ext cx="520060" cy="1014094"/>
                        <a:chOff x="5976922" y="875457"/>
                        <a:chExt cx="520060" cy="1014094"/>
                      </a:xfrm>
                    </xdr:grpSpPr>
                    <xdr:sp macro="" textlink="">
                      <xdr:nvSpPr>
                        <xdr:cNvPr id="292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24010000}"/>
                            </a:ext>
                          </a:extLst>
                        </xdr:cNvPr>
                        <xdr:cNvSpPr/>
                      </xdr:nvSpPr>
                      <xdr:spPr>
                        <a:xfrm flipH="1" flipV="1">
                          <a:off x="5976923" y="875457"/>
                          <a:ext cx="254940" cy="297419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sp macro="" textlink="">
                      <xdr:nvSpPr>
                        <xdr:cNvPr id="293" name="Rectangle 292">
                          <a:extLst>
                            <a:ext uri="{FF2B5EF4-FFF2-40B4-BE49-F238E27FC236}">
                              <a16:creationId xmlns:a16="http://schemas.microsoft.com/office/drawing/2014/main" id="{00000000-0008-0000-0200-000025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22" y="878621"/>
                          <a:ext cx="511627" cy="805473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GB" sz="1100"/>
                        </a:p>
                      </xdr:txBody>
                    </xdr:sp>
                    <xdr:sp macro="" textlink="">
                      <xdr:nvSpPr>
                        <xdr:cNvPr id="294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26010000}"/>
                            </a:ext>
                          </a:extLst>
                        </xdr:cNvPr>
                        <xdr:cNvSpPr/>
                      </xdr:nvSpPr>
                      <xdr:spPr>
                        <a:xfrm rot="5040000" flipH="1" flipV="1">
                          <a:off x="6220345" y="891428"/>
                          <a:ext cx="279414" cy="273861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cxnSp macro="">
                      <xdr:nvCxnSpPr>
                        <xdr:cNvPr id="295" name="Straight Connector 294">
                          <a:extLst>
                            <a:ext uri="{FF2B5EF4-FFF2-40B4-BE49-F238E27FC236}">
                              <a16:creationId xmlns:a16="http://schemas.microsoft.com/office/drawing/2014/main" id="{00000000-0008-0000-0200-000027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143027" y="1684419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296" name="Straight Connector 295">
                          <a:extLst>
                            <a:ext uri="{FF2B5EF4-FFF2-40B4-BE49-F238E27FC236}">
                              <a16:creationId xmlns:a16="http://schemas.microsoft.com/office/drawing/2014/main" id="{00000000-0008-0000-0200-000028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327249" y="1687310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</xdr:grpSp>
                </xdr:grpSp>
                <xdr:sp macro="" textlink="">
                  <xdr:nvSpPr>
                    <xdr:cNvPr id="289" name="Shape 6">
                      <a:extLst>
                        <a:ext uri="{FF2B5EF4-FFF2-40B4-BE49-F238E27FC236}">
                          <a16:creationId xmlns:a16="http://schemas.microsoft.com/office/drawing/2014/main" id="{00000000-0008-0000-0200-000021010000}"/>
                        </a:ext>
                      </a:extLst>
                    </xdr:cNvPr>
                    <xdr:cNvSpPr/>
                  </xdr:nvSpPr>
                  <xdr:spPr>
                    <a:xfrm>
                      <a:off x="6287662" y="1956312"/>
                      <a:ext cx="147372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dash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grpSp>
              <xdr:nvGrpSpPr>
                <xdr:cNvPr id="253" name="Group 252">
                  <a:extLst>
                    <a:ext uri="{FF2B5EF4-FFF2-40B4-BE49-F238E27FC236}">
                      <a16:creationId xmlns:a16="http://schemas.microsoft.com/office/drawing/2014/main" id="{00000000-0008-0000-0200-0000FD00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359570" cy="964540"/>
                  <a:chOff x="5976919" y="875457"/>
                  <a:chExt cx="528506" cy="1417708"/>
                </a:xfrm>
              </xdr:grpSpPr>
              <xdr:sp macro="" textlink="">
                <xdr:nvSpPr>
                  <xdr:cNvPr id="271" name="Shape 5">
                    <a:extLst>
                      <a:ext uri="{FF2B5EF4-FFF2-40B4-BE49-F238E27FC236}">
                        <a16:creationId xmlns:a16="http://schemas.microsoft.com/office/drawing/2014/main" id="{00000000-0008-0000-0200-00000F010000}"/>
                      </a:ext>
                    </a:extLst>
                  </xdr:cNvPr>
                  <xdr:cNvSpPr/>
                </xdr:nvSpPr>
                <xdr:spPr>
                  <a:xfrm>
                    <a:off x="5985725" y="1892729"/>
                    <a:ext cx="510889" cy="400436"/>
                  </a:xfrm>
                  <a:prstGeom prst="line">
                    <a:avLst/>
                  </a:prstGeom>
                  <a:noFill/>
                  <a:ln w="6350" cap="flat">
                    <a:solidFill>
                      <a:srgbClr val="000000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72" name="Shape 8">
                    <a:extLst>
                      <a:ext uri="{FF2B5EF4-FFF2-40B4-BE49-F238E27FC236}">
                        <a16:creationId xmlns:a16="http://schemas.microsoft.com/office/drawing/2014/main" id="{00000000-0008-0000-0200-000010010000}"/>
                      </a:ext>
                    </a:extLst>
                  </xdr:cNvPr>
                  <xdr:cNvSpPr/>
                </xdr:nvSpPr>
                <xdr:spPr>
                  <a:xfrm>
                    <a:off x="6065923" y="2177865"/>
                    <a:ext cx="140766" cy="8190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21600" h="21600" extrusionOk="0">
                        <a:moveTo>
                          <a:pt x="0" y="19200"/>
                        </a:moveTo>
                        <a:cubicBezTo>
                          <a:pt x="2057" y="9600"/>
                          <a:pt x="5143" y="0"/>
                          <a:pt x="7200" y="0"/>
                        </a:cubicBezTo>
                        <a:cubicBezTo>
                          <a:pt x="9257" y="0"/>
                          <a:pt x="12343" y="21600"/>
                          <a:pt x="14400" y="21600"/>
                        </a:cubicBezTo>
                        <a:cubicBezTo>
                          <a:pt x="16457" y="21600"/>
                          <a:pt x="20571" y="4800"/>
                          <a:pt x="21600" y="2400"/>
                        </a:cubicBezTo>
                      </a:path>
                    </a:pathLst>
                  </a:cu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grpSp>
                <xdr:nvGrpSpPr>
                  <xdr:cNvPr id="273" name="Group 272">
                    <a:extLst>
                      <a:ext uri="{FF2B5EF4-FFF2-40B4-BE49-F238E27FC236}">
                        <a16:creationId xmlns:a16="http://schemas.microsoft.com/office/drawing/2014/main" id="{00000000-0008-0000-0200-000011010000}"/>
                      </a:ext>
                    </a:extLst>
                  </xdr:cNvPr>
                  <xdr:cNvGrpSpPr/>
                </xdr:nvGrpSpPr>
                <xdr:grpSpPr>
                  <a:xfrm>
                    <a:off x="5976919" y="875457"/>
                    <a:ext cx="528506" cy="1415685"/>
                    <a:chOff x="5976919" y="875457"/>
                    <a:chExt cx="528506" cy="1415685"/>
                  </a:xfrm>
                </xdr:grpSpPr>
                <xdr:sp macro="" textlink="">
                  <xdr:nvSpPr>
                    <xdr:cNvPr id="274" name="Shape 7">
                      <a:extLst>
                        <a:ext uri="{FF2B5EF4-FFF2-40B4-BE49-F238E27FC236}">
                          <a16:creationId xmlns:a16="http://schemas.microsoft.com/office/drawing/2014/main" id="{00000000-0008-0000-0200-000012010000}"/>
                        </a:ext>
                      </a:extLst>
                    </xdr:cNvPr>
                    <xdr:cNvSpPr/>
                  </xdr:nvSpPr>
                  <xdr:spPr>
                    <a:xfrm>
                      <a:off x="6275482" y="2006159"/>
                      <a:ext cx="153979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75" name="Group 274">
                      <a:extLst>
                        <a:ext uri="{FF2B5EF4-FFF2-40B4-BE49-F238E27FC236}">
                          <a16:creationId xmlns:a16="http://schemas.microsoft.com/office/drawing/2014/main" id="{00000000-0008-0000-0200-000013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77" name="Rectangle 276">
                        <a:extLst>
                          <a:ext uri="{FF2B5EF4-FFF2-40B4-BE49-F238E27FC236}">
                            <a16:creationId xmlns:a16="http://schemas.microsoft.com/office/drawing/2014/main" id="{00000000-0008-0000-0200-000015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76919" y="1886661"/>
                        <a:ext cx="528506" cy="404481"/>
                      </a:xfrm>
                      <a:prstGeom prst="rect">
                        <a:avLst/>
                      </a:prstGeom>
                      <a:noFill/>
                      <a:ln w="6350">
                        <a:solidFill>
                          <a:schemeClr val="tx1"/>
                        </a:solidFill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rot="0" spcFirstLastPara="1" vertOverflow="overflow" horzOverflow="overflow" vert="horz" wrap="square" lIns="50800" tIns="50800" rIns="50800" bIns="50800" numCol="1" spcCol="38100" rtlCol="0" anchor="ctr">
                        <a:noAutofit/>
                      </a:bodyPr>
                      <a:lstStyle/>
                      <a:p>
                        <a:pPr marL="0" marR="0" indent="0" algn="ctr" defTabSz="457200" rtl="0" fontAlgn="auto" latinLnBrk="1" hangingPunct="0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</a:pPr>
                        <a:endParaRPr kumimoji="0" lang="en-GB" sz="1200" b="0" i="0" u="none" strike="noStrike" cap="none" spc="0" normalizeH="0" baseline="0">
                          <a:ln>
                            <a:noFill/>
                          </a:ln>
                          <a:solidFill>
                            <a:srgbClr val="FFFFFF"/>
                          </a:solidFill>
                          <a:effectLst>
                            <a:outerShdw blurRad="25400" dist="23998" dir="2700000" rotWithShape="0">
                              <a:srgbClr val="000000">
                                <a:alpha val="31034"/>
                              </a:srgbClr>
                            </a:outerShdw>
                          </a:effectLst>
                          <a:uFillTx/>
                          <a:latin typeface="+mn-lt"/>
                          <a:ea typeface="+mn-ea"/>
                          <a:cs typeface="+mn-cs"/>
                          <a:sym typeface="Helvetica"/>
                        </a:endParaRPr>
                      </a:p>
                    </xdr:txBody>
                  </xdr:sp>
                  <xdr:grpSp>
                    <xdr:nvGrpSpPr>
                      <xdr:cNvPr id="278" name="Group 277">
                        <a:extLst>
                          <a:ext uri="{FF2B5EF4-FFF2-40B4-BE49-F238E27FC236}">
                            <a16:creationId xmlns:a16="http://schemas.microsoft.com/office/drawing/2014/main" id="{00000000-0008-0000-0200-000016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22" y="875457"/>
                        <a:ext cx="520060" cy="1014094"/>
                        <a:chOff x="5976922" y="875457"/>
                        <a:chExt cx="520060" cy="1014094"/>
                      </a:xfrm>
                    </xdr:grpSpPr>
                    <xdr:sp macro="" textlink="">
                      <xdr:nvSpPr>
                        <xdr:cNvPr id="279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17010000}"/>
                            </a:ext>
                          </a:extLst>
                        </xdr:cNvPr>
                        <xdr:cNvSpPr/>
                      </xdr:nvSpPr>
                      <xdr:spPr>
                        <a:xfrm flipH="1" flipV="1">
                          <a:off x="5976923" y="875457"/>
                          <a:ext cx="254940" cy="297419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sp macro="" textlink="">
                      <xdr:nvSpPr>
                        <xdr:cNvPr id="280" name="Rectangle 279">
                          <a:extLst>
                            <a:ext uri="{FF2B5EF4-FFF2-40B4-BE49-F238E27FC236}">
                              <a16:creationId xmlns:a16="http://schemas.microsoft.com/office/drawing/2014/main" id="{00000000-0008-0000-0200-000018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22" y="878621"/>
                          <a:ext cx="511627" cy="805473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GB" sz="1100"/>
                        </a:p>
                      </xdr:txBody>
                    </xdr:sp>
                    <xdr:sp macro="" textlink="">
                      <xdr:nvSpPr>
                        <xdr:cNvPr id="281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19010000}"/>
                            </a:ext>
                          </a:extLst>
                        </xdr:cNvPr>
                        <xdr:cNvSpPr/>
                      </xdr:nvSpPr>
                      <xdr:spPr>
                        <a:xfrm rot="5040000" flipH="1" flipV="1">
                          <a:off x="6220345" y="891428"/>
                          <a:ext cx="279414" cy="273861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cxnSp macro="">
                      <xdr:nvCxnSpPr>
                        <xdr:cNvPr id="282" name="Straight Connector 281">
                          <a:extLst>
                            <a:ext uri="{FF2B5EF4-FFF2-40B4-BE49-F238E27FC236}">
                              <a16:creationId xmlns:a16="http://schemas.microsoft.com/office/drawing/2014/main" id="{00000000-0008-0000-0200-00001A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143027" y="1684419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283" name="Straight Connector 282">
                          <a:extLst>
                            <a:ext uri="{FF2B5EF4-FFF2-40B4-BE49-F238E27FC236}">
                              <a16:creationId xmlns:a16="http://schemas.microsoft.com/office/drawing/2014/main" id="{00000000-0008-0000-0200-00001B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327249" y="1687310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</xdr:grpSp>
                </xdr:grpSp>
                <xdr:sp macro="" textlink="">
                  <xdr:nvSpPr>
                    <xdr:cNvPr id="276" name="Shape 6">
                      <a:extLst>
                        <a:ext uri="{FF2B5EF4-FFF2-40B4-BE49-F238E27FC236}">
                          <a16:creationId xmlns:a16="http://schemas.microsoft.com/office/drawing/2014/main" id="{00000000-0008-0000-0200-000014010000}"/>
                        </a:ext>
                      </a:extLst>
                    </xdr:cNvPr>
                    <xdr:cNvSpPr/>
                  </xdr:nvSpPr>
                  <xdr:spPr>
                    <a:xfrm>
                      <a:off x="6287662" y="1956312"/>
                      <a:ext cx="147372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dash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grpSp>
              <xdr:nvGrpSpPr>
                <xdr:cNvPr id="254" name="Group 253">
                  <a:extLst>
                    <a:ext uri="{FF2B5EF4-FFF2-40B4-BE49-F238E27FC236}">
                      <a16:creationId xmlns:a16="http://schemas.microsoft.com/office/drawing/2014/main" id="{00000000-0008-0000-0200-0000FE000000}"/>
                    </a:ext>
                  </a:extLst>
                </xdr:cNvPr>
                <xdr:cNvGrpSpPr/>
              </xdr:nvGrpSpPr>
              <xdr:grpSpPr>
                <a:xfrm>
                  <a:off x="10268085" y="3850532"/>
                  <a:ext cx="359570" cy="964540"/>
                  <a:chOff x="5976919" y="875457"/>
                  <a:chExt cx="528506" cy="1417708"/>
                </a:xfrm>
              </xdr:grpSpPr>
              <xdr:sp macro="" textlink="">
                <xdr:nvSpPr>
                  <xdr:cNvPr id="258" name="Shape 5">
                    <a:extLst>
                      <a:ext uri="{FF2B5EF4-FFF2-40B4-BE49-F238E27FC236}">
                        <a16:creationId xmlns:a16="http://schemas.microsoft.com/office/drawing/2014/main" id="{00000000-0008-0000-0200-000002010000}"/>
                      </a:ext>
                    </a:extLst>
                  </xdr:cNvPr>
                  <xdr:cNvSpPr/>
                </xdr:nvSpPr>
                <xdr:spPr>
                  <a:xfrm>
                    <a:off x="5985725" y="1892729"/>
                    <a:ext cx="510889" cy="400436"/>
                  </a:xfrm>
                  <a:prstGeom prst="line">
                    <a:avLst/>
                  </a:prstGeom>
                  <a:noFill/>
                  <a:ln w="6350" cap="flat">
                    <a:solidFill>
                      <a:srgbClr val="000000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59" name="Shape 8">
                    <a:extLst>
                      <a:ext uri="{FF2B5EF4-FFF2-40B4-BE49-F238E27FC236}">
                        <a16:creationId xmlns:a16="http://schemas.microsoft.com/office/drawing/2014/main" id="{00000000-0008-0000-0200-000003010000}"/>
                      </a:ext>
                    </a:extLst>
                  </xdr:cNvPr>
                  <xdr:cNvSpPr/>
                </xdr:nvSpPr>
                <xdr:spPr>
                  <a:xfrm>
                    <a:off x="6065923" y="2177865"/>
                    <a:ext cx="140766" cy="8190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21600" h="21600" extrusionOk="0">
                        <a:moveTo>
                          <a:pt x="0" y="19200"/>
                        </a:moveTo>
                        <a:cubicBezTo>
                          <a:pt x="2057" y="9600"/>
                          <a:pt x="5143" y="0"/>
                          <a:pt x="7200" y="0"/>
                        </a:cubicBezTo>
                        <a:cubicBezTo>
                          <a:pt x="9257" y="0"/>
                          <a:pt x="12343" y="21600"/>
                          <a:pt x="14400" y="21600"/>
                        </a:cubicBezTo>
                        <a:cubicBezTo>
                          <a:pt x="16457" y="21600"/>
                          <a:pt x="20571" y="4800"/>
                          <a:pt x="21600" y="2400"/>
                        </a:cubicBezTo>
                      </a:path>
                    </a:pathLst>
                  </a:cu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grpSp>
                <xdr:nvGrpSpPr>
                  <xdr:cNvPr id="260" name="Group 259">
                    <a:extLst>
                      <a:ext uri="{FF2B5EF4-FFF2-40B4-BE49-F238E27FC236}">
                        <a16:creationId xmlns:a16="http://schemas.microsoft.com/office/drawing/2014/main" id="{00000000-0008-0000-0200-000004010000}"/>
                      </a:ext>
                    </a:extLst>
                  </xdr:cNvPr>
                  <xdr:cNvGrpSpPr/>
                </xdr:nvGrpSpPr>
                <xdr:grpSpPr>
                  <a:xfrm>
                    <a:off x="5976919" y="875457"/>
                    <a:ext cx="528506" cy="1415685"/>
                    <a:chOff x="5976919" y="875457"/>
                    <a:chExt cx="528506" cy="1415685"/>
                  </a:xfrm>
                </xdr:grpSpPr>
                <xdr:sp macro="" textlink="">
                  <xdr:nvSpPr>
                    <xdr:cNvPr id="261" name="Shape 7">
                      <a:extLst>
                        <a:ext uri="{FF2B5EF4-FFF2-40B4-BE49-F238E27FC236}">
                          <a16:creationId xmlns:a16="http://schemas.microsoft.com/office/drawing/2014/main" id="{00000000-0008-0000-0200-000005010000}"/>
                        </a:ext>
                      </a:extLst>
                    </xdr:cNvPr>
                    <xdr:cNvSpPr/>
                  </xdr:nvSpPr>
                  <xdr:spPr>
                    <a:xfrm>
                      <a:off x="6275482" y="2006159"/>
                      <a:ext cx="153979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62" name="Group 261">
                      <a:extLst>
                        <a:ext uri="{FF2B5EF4-FFF2-40B4-BE49-F238E27FC236}">
                          <a16:creationId xmlns:a16="http://schemas.microsoft.com/office/drawing/2014/main" id="{00000000-0008-0000-0200-000006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64" name="Rectangle 263">
                        <a:extLst>
                          <a:ext uri="{FF2B5EF4-FFF2-40B4-BE49-F238E27FC236}">
                            <a16:creationId xmlns:a16="http://schemas.microsoft.com/office/drawing/2014/main" id="{00000000-0008-0000-0200-000008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76919" y="1886661"/>
                        <a:ext cx="528506" cy="404481"/>
                      </a:xfrm>
                      <a:prstGeom prst="rect">
                        <a:avLst/>
                      </a:prstGeom>
                      <a:noFill/>
                      <a:ln w="6350">
                        <a:solidFill>
                          <a:schemeClr val="tx1"/>
                        </a:solidFill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rot="0" spcFirstLastPara="1" vertOverflow="overflow" horzOverflow="overflow" vert="horz" wrap="square" lIns="50800" tIns="50800" rIns="50800" bIns="50800" numCol="1" spcCol="38100" rtlCol="0" anchor="ctr">
                        <a:noAutofit/>
                      </a:bodyPr>
                      <a:lstStyle/>
                      <a:p>
                        <a:pPr marL="0" marR="0" indent="0" algn="ctr" defTabSz="457200" rtl="0" fontAlgn="auto" latinLnBrk="1" hangingPunct="0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</a:pPr>
                        <a:endParaRPr kumimoji="0" lang="en-GB" sz="1200" b="0" i="0" u="none" strike="noStrike" cap="none" spc="0" normalizeH="0" baseline="0">
                          <a:ln>
                            <a:noFill/>
                          </a:ln>
                          <a:solidFill>
                            <a:srgbClr val="FFFFFF"/>
                          </a:solidFill>
                          <a:effectLst>
                            <a:outerShdw blurRad="25400" dist="23998" dir="2700000" rotWithShape="0">
                              <a:srgbClr val="000000">
                                <a:alpha val="31034"/>
                              </a:srgbClr>
                            </a:outerShdw>
                          </a:effectLst>
                          <a:uFillTx/>
                          <a:latin typeface="+mn-lt"/>
                          <a:ea typeface="+mn-ea"/>
                          <a:cs typeface="+mn-cs"/>
                          <a:sym typeface="Helvetica"/>
                        </a:endParaRPr>
                      </a:p>
                    </xdr:txBody>
                  </xdr:sp>
                  <xdr:grpSp>
                    <xdr:nvGrpSpPr>
                      <xdr:cNvPr id="265" name="Group 264">
                        <a:extLst>
                          <a:ext uri="{FF2B5EF4-FFF2-40B4-BE49-F238E27FC236}">
                            <a16:creationId xmlns:a16="http://schemas.microsoft.com/office/drawing/2014/main" id="{00000000-0008-0000-0200-000009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22" y="875457"/>
                        <a:ext cx="520060" cy="1014094"/>
                        <a:chOff x="5976922" y="875457"/>
                        <a:chExt cx="520060" cy="1014094"/>
                      </a:xfrm>
                    </xdr:grpSpPr>
                    <xdr:sp macro="" textlink="">
                      <xdr:nvSpPr>
                        <xdr:cNvPr id="266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0A010000}"/>
                            </a:ext>
                          </a:extLst>
                        </xdr:cNvPr>
                        <xdr:cNvSpPr/>
                      </xdr:nvSpPr>
                      <xdr:spPr>
                        <a:xfrm flipH="1" flipV="1">
                          <a:off x="5976923" y="875457"/>
                          <a:ext cx="254940" cy="297419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sp macro="" textlink="">
                      <xdr:nvSpPr>
                        <xdr:cNvPr id="267" name="Rectangle 266">
                          <a:extLst>
                            <a:ext uri="{FF2B5EF4-FFF2-40B4-BE49-F238E27FC236}">
                              <a16:creationId xmlns:a16="http://schemas.microsoft.com/office/drawing/2014/main" id="{00000000-0008-0000-0200-00000B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22" y="878621"/>
                          <a:ext cx="511627" cy="805473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GB" sz="1100"/>
                        </a:p>
                      </xdr:txBody>
                    </xdr:sp>
                    <xdr:sp macro="" textlink="">
                      <xdr:nvSpPr>
                        <xdr:cNvPr id="268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0C010000}"/>
                            </a:ext>
                          </a:extLst>
                        </xdr:cNvPr>
                        <xdr:cNvSpPr/>
                      </xdr:nvSpPr>
                      <xdr:spPr>
                        <a:xfrm rot="5040000" flipH="1" flipV="1">
                          <a:off x="6220345" y="891428"/>
                          <a:ext cx="279414" cy="273861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cxnSp macro="">
                      <xdr:nvCxnSpPr>
                        <xdr:cNvPr id="269" name="Straight Connector 268">
                          <a:extLst>
                            <a:ext uri="{FF2B5EF4-FFF2-40B4-BE49-F238E27FC236}">
                              <a16:creationId xmlns:a16="http://schemas.microsoft.com/office/drawing/2014/main" id="{00000000-0008-0000-0200-00000D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143027" y="1684419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270" name="Straight Connector 269">
                          <a:extLst>
                            <a:ext uri="{FF2B5EF4-FFF2-40B4-BE49-F238E27FC236}">
                              <a16:creationId xmlns:a16="http://schemas.microsoft.com/office/drawing/2014/main" id="{00000000-0008-0000-0200-00000E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327249" y="1687310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</xdr:grpSp>
                </xdr:grpSp>
                <xdr:sp macro="" textlink="">
                  <xdr:nvSpPr>
                    <xdr:cNvPr id="263" name="Shape 6">
                      <a:extLst>
                        <a:ext uri="{FF2B5EF4-FFF2-40B4-BE49-F238E27FC236}">
                          <a16:creationId xmlns:a16="http://schemas.microsoft.com/office/drawing/2014/main" id="{00000000-0008-0000-0200-000007010000}"/>
                        </a:ext>
                      </a:extLst>
                    </xdr:cNvPr>
                    <xdr:cNvSpPr/>
                  </xdr:nvSpPr>
                  <xdr:spPr>
                    <a:xfrm>
                      <a:off x="6287662" y="1956312"/>
                      <a:ext cx="147372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dash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sp macro="" textlink="">
              <xdr:nvSpPr>
                <xdr:cNvPr id="255" name="Shape 27">
                  <a:extLst>
                    <a:ext uri="{FF2B5EF4-FFF2-40B4-BE49-F238E27FC236}">
                      <a16:creationId xmlns:a16="http://schemas.microsoft.com/office/drawing/2014/main" id="{00000000-0008-0000-0200-0000FF000000}"/>
                    </a:ext>
                  </a:extLst>
                </xdr:cNvPr>
                <xdr:cNvSpPr/>
              </xdr:nvSpPr>
              <xdr:spPr>
                <a:xfrm>
                  <a:off x="10638097" y="4212580"/>
                  <a:ext cx="75217" cy="80841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56" name="Shape 27">
                  <a:extLst>
                    <a:ext uri="{FF2B5EF4-FFF2-40B4-BE49-F238E27FC236}">
                      <a16:creationId xmlns:a16="http://schemas.microsoft.com/office/drawing/2014/main" id="{00000000-0008-0000-0200-000000010000}"/>
                    </a:ext>
                  </a:extLst>
                </xdr:cNvPr>
                <xdr:cNvSpPr/>
              </xdr:nvSpPr>
              <xdr:spPr>
                <a:xfrm>
                  <a:off x="10763475" y="4216361"/>
                  <a:ext cx="75217" cy="80841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57" name="Shape 27">
                  <a:extLst>
                    <a:ext uri="{FF2B5EF4-FFF2-40B4-BE49-F238E27FC236}">
                      <a16:creationId xmlns:a16="http://schemas.microsoft.com/office/drawing/2014/main" id="{00000000-0008-0000-0200-000001010000}"/>
                    </a:ext>
                  </a:extLst>
                </xdr:cNvPr>
                <xdr:cNvSpPr/>
              </xdr:nvSpPr>
              <xdr:spPr>
                <a:xfrm>
                  <a:off x="10902364" y="4220140"/>
                  <a:ext cx="75217" cy="80841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248" name="Straight Connector 247">
                <a:extLst>
                  <a:ext uri="{FF2B5EF4-FFF2-40B4-BE49-F238E27FC236}">
                    <a16:creationId xmlns:a16="http://schemas.microsoft.com/office/drawing/2014/main" id="{00000000-0008-0000-0200-0000F8000000}"/>
                  </a:ext>
                </a:extLst>
              </xdr:cNvPr>
              <xdr:cNvCxnSpPr/>
            </xdr:nvCxnSpPr>
            <xdr:spPr>
              <a:xfrm>
                <a:off x="8397889" y="5075080"/>
                <a:ext cx="3664395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9" name="Straight Connector 248">
                <a:extLst>
                  <a:ext uri="{FF2B5EF4-FFF2-40B4-BE49-F238E27FC236}">
                    <a16:creationId xmlns:a16="http://schemas.microsoft.com/office/drawing/2014/main" id="{00000000-0008-0000-0200-0000F9000000}"/>
                  </a:ext>
                </a:extLst>
              </xdr:cNvPr>
              <xdr:cNvCxnSpPr/>
            </xdr:nvCxnSpPr>
            <xdr:spPr>
              <a:xfrm>
                <a:off x="9939320" y="4810832"/>
                <a:ext cx="0" cy="25943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0" name="Straight Connector 249">
                <a:extLst>
                  <a:ext uri="{FF2B5EF4-FFF2-40B4-BE49-F238E27FC236}">
                    <a16:creationId xmlns:a16="http://schemas.microsoft.com/office/drawing/2014/main" id="{00000000-0008-0000-0200-0000FA000000}"/>
                  </a:ext>
                </a:extLst>
              </xdr:cNvPr>
              <xdr:cNvCxnSpPr/>
            </xdr:nvCxnSpPr>
            <xdr:spPr>
              <a:xfrm>
                <a:off x="10442999" y="4814611"/>
                <a:ext cx="0" cy="25943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1" name="Straight Connector 250">
                <a:extLst>
                  <a:ext uri="{FF2B5EF4-FFF2-40B4-BE49-F238E27FC236}">
                    <a16:creationId xmlns:a16="http://schemas.microsoft.com/office/drawing/2014/main" id="{00000000-0008-0000-0200-0000FB000000}"/>
                  </a:ext>
                </a:extLst>
              </xdr:cNvPr>
              <xdr:cNvCxnSpPr/>
            </xdr:nvCxnSpPr>
            <xdr:spPr>
              <a:xfrm>
                <a:off x="11230405" y="4818392"/>
                <a:ext cx="0" cy="25943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sp macro="" textlink="">
        <xdr:nvSpPr>
          <xdr:cNvPr id="243" name="TextBox 242">
            <a:extLst>
              <a:ext uri="{FF2B5EF4-FFF2-40B4-BE49-F238E27FC236}">
                <a16:creationId xmlns:a16="http://schemas.microsoft.com/office/drawing/2014/main" id="{00000000-0008-0000-0200-0000F3000000}"/>
              </a:ext>
            </a:extLst>
          </xdr:cNvPr>
          <xdr:cNvSpPr txBox="1"/>
        </xdr:nvSpPr>
        <xdr:spPr>
          <a:xfrm>
            <a:off x="12239018" y="10533794"/>
            <a:ext cx="700892" cy="3745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800"/>
              <a:t>Q-Cable</a:t>
            </a:r>
          </a:p>
        </xdr:txBody>
      </xdr:sp>
      <xdr:grpSp>
        <xdr:nvGrpSpPr>
          <xdr:cNvPr id="232" name="Group 231">
            <a:extLst>
              <a:ext uri="{FF2B5EF4-FFF2-40B4-BE49-F238E27FC236}">
                <a16:creationId xmlns:a16="http://schemas.microsoft.com/office/drawing/2014/main" id="{00000000-0008-0000-0200-0000E8000000}"/>
              </a:ext>
            </a:extLst>
          </xdr:cNvPr>
          <xdr:cNvGrpSpPr/>
        </xdr:nvGrpSpPr>
        <xdr:grpSpPr>
          <a:xfrm>
            <a:off x="11269055" y="10625679"/>
            <a:ext cx="895511" cy="938419"/>
            <a:chOff x="11608524" y="11412343"/>
            <a:chExt cx="925593" cy="930846"/>
          </a:xfrm>
        </xdr:grpSpPr>
        <xdr:sp macro="" textlink="">
          <xdr:nvSpPr>
            <xdr:cNvPr id="234" name="Rectangle 233">
              <a:extLst>
                <a:ext uri="{FF2B5EF4-FFF2-40B4-BE49-F238E27FC236}">
                  <a16:creationId xmlns:a16="http://schemas.microsoft.com/office/drawing/2014/main" id="{00000000-0008-0000-0200-0000EA000000}"/>
                </a:ext>
              </a:extLst>
            </xdr:cNvPr>
            <xdr:cNvSpPr/>
          </xdr:nvSpPr>
          <xdr:spPr>
            <a:xfrm>
              <a:off x="11668900" y="11412343"/>
              <a:ext cx="797179" cy="440628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grpSp>
          <xdr:nvGrpSpPr>
            <xdr:cNvPr id="235" name="Group 234">
              <a:extLst>
                <a:ext uri="{FF2B5EF4-FFF2-40B4-BE49-F238E27FC236}">
                  <a16:creationId xmlns:a16="http://schemas.microsoft.com/office/drawing/2014/main" id="{00000000-0008-0000-0200-0000EB000000}"/>
                </a:ext>
              </a:extLst>
            </xdr:cNvPr>
            <xdr:cNvGrpSpPr/>
          </xdr:nvGrpSpPr>
          <xdr:grpSpPr>
            <a:xfrm>
              <a:off x="11608524" y="11484483"/>
              <a:ext cx="925593" cy="858706"/>
              <a:chOff x="11665973" y="11541665"/>
              <a:chExt cx="930700" cy="862790"/>
            </a:xfrm>
          </xdr:grpSpPr>
          <xdr:cxnSp macro="">
            <xdr:nvCxnSpPr>
              <xdr:cNvPr id="236" name="Straight Connector 235">
                <a:extLst>
                  <a:ext uri="{FF2B5EF4-FFF2-40B4-BE49-F238E27FC236}">
                    <a16:creationId xmlns:a16="http://schemas.microsoft.com/office/drawing/2014/main" id="{00000000-0008-0000-0200-0000EC000000}"/>
                  </a:ext>
                </a:extLst>
              </xdr:cNvPr>
              <xdr:cNvCxnSpPr>
                <a:cxnSpLocks/>
                <a:endCxn id="234" idx="3"/>
              </xdr:cNvCxnSpPr>
            </xdr:nvCxnSpPr>
            <xdr:spPr>
              <a:xfrm>
                <a:off x="12276530" y="11689420"/>
                <a:ext cx="250139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37" name="Straight Connector 236">
                <a:extLst>
                  <a:ext uri="{FF2B5EF4-FFF2-40B4-BE49-F238E27FC236}">
                    <a16:creationId xmlns:a16="http://schemas.microsoft.com/office/drawing/2014/main" id="{00000000-0008-0000-0200-0000ED000000}"/>
                  </a:ext>
                </a:extLst>
              </xdr:cNvPr>
              <xdr:cNvCxnSpPr>
                <a:cxnSpLocks/>
                <a:stCxn id="234" idx="1"/>
              </xdr:cNvCxnSpPr>
            </xdr:nvCxnSpPr>
            <xdr:spPr>
              <a:xfrm>
                <a:off x="11730559" y="11689420"/>
                <a:ext cx="235959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38" name="Shape 27">
                <a:extLst>
                  <a:ext uri="{FF2B5EF4-FFF2-40B4-BE49-F238E27FC236}">
                    <a16:creationId xmlns:a16="http://schemas.microsoft.com/office/drawing/2014/main" id="{00000000-0008-0000-0200-0000EE000000}"/>
                  </a:ext>
                </a:extLst>
              </xdr:cNvPr>
              <xdr:cNvSpPr/>
            </xdr:nvSpPr>
            <xdr:spPr>
              <a:xfrm>
                <a:off x="11950928" y="11642546"/>
                <a:ext cx="88419" cy="76229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39" name="Shape 26">
                <a:extLst>
                  <a:ext uri="{FF2B5EF4-FFF2-40B4-BE49-F238E27FC236}">
                    <a16:creationId xmlns:a16="http://schemas.microsoft.com/office/drawing/2014/main" id="{00000000-0008-0000-0200-0000EF000000}"/>
                  </a:ext>
                </a:extLst>
              </xdr:cNvPr>
              <xdr:cNvSpPr/>
            </xdr:nvSpPr>
            <xdr:spPr>
              <a:xfrm flipH="1" flipV="1">
                <a:off x="12010088" y="11541665"/>
                <a:ext cx="185088" cy="10934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0" name="TextBox 239">
                <a:extLst>
                  <a:ext uri="{FF2B5EF4-FFF2-40B4-BE49-F238E27FC236}">
                    <a16:creationId xmlns:a16="http://schemas.microsoft.com/office/drawing/2014/main" id="{00000000-0008-0000-0200-0000F0000000}"/>
                  </a:ext>
                </a:extLst>
              </xdr:cNvPr>
              <xdr:cNvSpPr txBox="1"/>
            </xdr:nvSpPr>
            <xdr:spPr>
              <a:xfrm>
                <a:off x="11665973" y="11732188"/>
                <a:ext cx="930700" cy="6722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Inverter Supply</a:t>
                </a:r>
              </a:p>
              <a:p>
                <a:pPr algn="ctr"/>
                <a:r>
                  <a:rPr lang="en-GB" sz="800"/>
                  <a:t>A.C. Isolator</a:t>
                </a:r>
              </a:p>
            </xdr:txBody>
          </xdr:sp>
          <xdr:sp macro="" textlink="">
            <xdr:nvSpPr>
              <xdr:cNvPr id="241" name="Shape 27">
                <a:extLst>
                  <a:ext uri="{FF2B5EF4-FFF2-40B4-BE49-F238E27FC236}">
                    <a16:creationId xmlns:a16="http://schemas.microsoft.com/office/drawing/2014/main" id="{00000000-0008-0000-0200-0000F1000000}"/>
                  </a:ext>
                </a:extLst>
              </xdr:cNvPr>
              <xdr:cNvSpPr/>
            </xdr:nvSpPr>
            <xdr:spPr>
              <a:xfrm>
                <a:off x="12177371" y="11637915"/>
                <a:ext cx="88420" cy="7840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</xdr:grpSp>
      <xdr:cxnSp macro="">
        <xdr:nvCxnSpPr>
          <xdr:cNvPr id="233" name="Straight Connector 232">
            <a:extLst>
              <a:ext uri="{FF2B5EF4-FFF2-40B4-BE49-F238E27FC236}">
                <a16:creationId xmlns:a16="http://schemas.microsoft.com/office/drawing/2014/main" id="{00000000-0008-0000-0200-0000E9000000}"/>
              </a:ext>
            </a:extLst>
          </xdr:cNvPr>
          <xdr:cNvCxnSpPr/>
        </xdr:nvCxnSpPr>
        <xdr:spPr>
          <a:xfrm flipH="1">
            <a:off x="2007133" y="10853357"/>
            <a:ext cx="937528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49</xdr:col>
      <xdr:colOff>159054</xdr:colOff>
      <xdr:row>39</xdr:row>
      <xdr:rowOff>154819</xdr:rowOff>
    </xdr:from>
    <xdr:to>
      <xdr:col>64</xdr:col>
      <xdr:colOff>174173</xdr:colOff>
      <xdr:row>60</xdr:row>
      <xdr:rowOff>193428</xdr:rowOff>
    </xdr:to>
    <xdr:sp macro="" textlink="">
      <xdr:nvSpPr>
        <xdr:cNvPr id="307" name="Dash2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SpPr/>
      </xdr:nvSpPr>
      <xdr:spPr>
        <a:xfrm>
          <a:off x="12605054" y="8079619"/>
          <a:ext cx="3825119" cy="4305809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63</xdr:col>
      <xdr:colOff>229926</xdr:colOff>
      <xdr:row>60</xdr:row>
      <xdr:rowOff>159453</xdr:rowOff>
    </xdr:from>
    <xdr:to>
      <xdr:col>65</xdr:col>
      <xdr:colOff>125495</xdr:colOff>
      <xdr:row>62</xdr:row>
      <xdr:rowOff>171526</xdr:rowOff>
    </xdr:to>
    <xdr:grpSp>
      <xdr:nvGrpSpPr>
        <xdr:cNvPr id="308" name="Ground2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pSpPr/>
      </xdr:nvGrpSpPr>
      <xdr:grpSpPr>
        <a:xfrm>
          <a:off x="16617516" y="12094393"/>
          <a:ext cx="415810" cy="409904"/>
          <a:chOff x="10160000" y="2820276"/>
          <a:chExt cx="508000" cy="401148"/>
        </a:xfrm>
      </xdr:grpSpPr>
      <xdr:grpSp>
        <xdr:nvGrpSpPr>
          <xdr:cNvPr id="309" name="Group 308">
            <a:extLst>
              <a:ext uri="{FF2B5EF4-FFF2-40B4-BE49-F238E27FC236}">
                <a16:creationId xmlns:a16="http://schemas.microsoft.com/office/drawing/2014/main" id="{00000000-0008-0000-0200-00003501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311" name="Straight Connector 310">
              <a:extLst>
                <a:ext uri="{FF2B5EF4-FFF2-40B4-BE49-F238E27FC236}">
                  <a16:creationId xmlns:a16="http://schemas.microsoft.com/office/drawing/2014/main" id="{00000000-0008-0000-0200-00003701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2" name="Straight Connector 311">
              <a:extLst>
                <a:ext uri="{FF2B5EF4-FFF2-40B4-BE49-F238E27FC236}">
                  <a16:creationId xmlns:a16="http://schemas.microsoft.com/office/drawing/2014/main" id="{00000000-0008-0000-0200-00003801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3" name="Straight Connector 312">
              <a:extLst>
                <a:ext uri="{FF2B5EF4-FFF2-40B4-BE49-F238E27FC236}">
                  <a16:creationId xmlns:a16="http://schemas.microsoft.com/office/drawing/2014/main" id="{00000000-0008-0000-0200-00003901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10" name="Straight Connector 309">
            <a:extLst>
              <a:ext uri="{FF2B5EF4-FFF2-40B4-BE49-F238E27FC236}">
                <a16:creationId xmlns:a16="http://schemas.microsoft.com/office/drawing/2014/main" id="{00000000-0008-0000-0200-00003601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78016</xdr:colOff>
      <xdr:row>39</xdr:row>
      <xdr:rowOff>138499</xdr:rowOff>
    </xdr:from>
    <xdr:to>
      <xdr:col>28</xdr:col>
      <xdr:colOff>110046</xdr:colOff>
      <xdr:row>41</xdr:row>
      <xdr:rowOff>173228</xdr:rowOff>
    </xdr:to>
    <xdr:grpSp>
      <xdr:nvGrpSpPr>
        <xdr:cNvPr id="314" name="Group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GrpSpPr/>
      </xdr:nvGrpSpPr>
      <xdr:grpSpPr>
        <a:xfrm>
          <a:off x="6581028" y="7896210"/>
          <a:ext cx="812391" cy="432560"/>
          <a:chOff x="11363731" y="10959822"/>
          <a:chExt cx="792918" cy="455892"/>
        </a:xfrm>
      </xdr:grpSpPr>
      <xdr:grpSp>
        <xdr:nvGrpSpPr>
          <xdr:cNvPr id="315" name="Group 314">
            <a:extLst>
              <a:ext uri="{FF2B5EF4-FFF2-40B4-BE49-F238E27FC236}">
                <a16:creationId xmlns:a16="http://schemas.microsoft.com/office/drawing/2014/main" id="{00000000-0008-0000-0200-00003B010000}"/>
              </a:ext>
            </a:extLst>
          </xdr:cNvPr>
          <xdr:cNvGrpSpPr/>
        </xdr:nvGrpSpPr>
        <xdr:grpSpPr>
          <a:xfrm>
            <a:off x="11363731" y="10959822"/>
            <a:ext cx="792918" cy="455892"/>
            <a:chOff x="7706281" y="4834074"/>
            <a:chExt cx="772113" cy="462257"/>
          </a:xfrm>
        </xdr:grpSpPr>
        <xdr:sp macro="" textlink="">
          <xdr:nvSpPr>
            <xdr:cNvPr id="318" name="Shape 27">
              <a:extLst>
                <a:ext uri="{FF2B5EF4-FFF2-40B4-BE49-F238E27FC236}">
                  <a16:creationId xmlns:a16="http://schemas.microsoft.com/office/drawing/2014/main" id="{00000000-0008-0000-0200-00003E010000}"/>
                </a:ext>
              </a:extLst>
            </xdr:cNvPr>
            <xdr:cNvSpPr/>
          </xdr:nvSpPr>
          <xdr:spPr>
            <a:xfrm>
              <a:off x="7933556" y="5025913"/>
              <a:ext cx="82282" cy="84706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19" name="Shape 26">
              <a:extLst>
                <a:ext uri="{FF2B5EF4-FFF2-40B4-BE49-F238E27FC236}">
                  <a16:creationId xmlns:a16="http://schemas.microsoft.com/office/drawing/2014/main" id="{00000000-0008-0000-0200-00003F010000}"/>
                </a:ext>
              </a:extLst>
            </xdr:cNvPr>
            <xdr:cNvSpPr/>
          </xdr:nvSpPr>
          <xdr:spPr>
            <a:xfrm flipH="1" flipV="1">
              <a:off x="7986945" y="4927938"/>
              <a:ext cx="182769" cy="10844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20" name="Rectangle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/>
          </xdr:nvSpPr>
          <xdr:spPr>
            <a:xfrm>
              <a:off x="7706281" y="4834074"/>
              <a:ext cx="772113" cy="462257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21" name="Shape 27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SpPr/>
          </xdr:nvSpPr>
          <xdr:spPr>
            <a:xfrm>
              <a:off x="8152132" y="5023222"/>
              <a:ext cx="82282" cy="84706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316" name="Straight Connector 315">
            <a:extLst>
              <a:ext uri="{FF2B5EF4-FFF2-40B4-BE49-F238E27FC236}">
                <a16:creationId xmlns:a16="http://schemas.microsoft.com/office/drawing/2014/main" id="{00000000-0008-0000-0200-00003C010000}"/>
              </a:ext>
            </a:extLst>
          </xdr:cNvPr>
          <xdr:cNvCxnSpPr>
            <a:endCxn id="320" idx="3"/>
          </xdr:cNvCxnSpPr>
        </xdr:nvCxnSpPr>
        <xdr:spPr>
          <a:xfrm>
            <a:off x="11907957" y="11187770"/>
            <a:ext cx="248692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7" name="Straight Connector 316">
            <a:extLst>
              <a:ext uri="{FF2B5EF4-FFF2-40B4-BE49-F238E27FC236}">
                <a16:creationId xmlns:a16="http://schemas.microsoft.com/office/drawing/2014/main" id="{00000000-0008-0000-0200-00003D010000}"/>
              </a:ext>
            </a:extLst>
          </xdr:cNvPr>
          <xdr:cNvCxnSpPr>
            <a:stCxn id="320" idx="1"/>
          </xdr:cNvCxnSpPr>
        </xdr:nvCxnSpPr>
        <xdr:spPr>
          <a:xfrm>
            <a:off x="11363731" y="11187770"/>
            <a:ext cx="234692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3599</xdr:colOff>
      <xdr:row>41</xdr:row>
      <xdr:rowOff>16335</xdr:rowOff>
    </xdr:from>
    <xdr:to>
      <xdr:col>28</xdr:col>
      <xdr:colOff>167525</xdr:colOff>
      <xdr:row>44</xdr:row>
      <xdr:rowOff>76803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6353599" y="8347535"/>
          <a:ext cx="925926" cy="670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Inverter Supply</a:t>
          </a:r>
        </a:p>
        <a:p>
          <a:pPr algn="ctr"/>
          <a:r>
            <a:rPr lang="en-GB" sz="800"/>
            <a:t>A.C. Isolator</a:t>
          </a:r>
        </a:p>
      </xdr:txBody>
    </xdr:sp>
    <xdr:clientData/>
  </xdr:twoCellAnchor>
  <xdr:twoCellAnchor>
    <xdr:from>
      <xdr:col>28</xdr:col>
      <xdr:colOff>250371</xdr:colOff>
      <xdr:row>28</xdr:row>
      <xdr:rowOff>1814</xdr:rowOff>
    </xdr:from>
    <xdr:to>
      <xdr:col>42</xdr:col>
      <xdr:colOff>209240</xdr:colOff>
      <xdr:row>48</xdr:row>
      <xdr:rowOff>27485</xdr:rowOff>
    </xdr:to>
    <xdr:grpSp>
      <xdr:nvGrpSpPr>
        <xdr:cNvPr id="323" name="L1-3A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/>
      </xdr:nvGrpSpPr>
      <xdr:grpSpPr>
        <a:xfrm>
          <a:off x="7533744" y="5571453"/>
          <a:ext cx="3600556" cy="4003984"/>
          <a:chOff x="10560606" y="7545401"/>
          <a:chExt cx="3557202" cy="3956624"/>
        </a:xfrm>
      </xdr:grpSpPr>
      <xdr:grpSp>
        <xdr:nvGrpSpPr>
          <xdr:cNvPr id="324" name="Group 323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560606" y="7545401"/>
            <a:ext cx="3557202" cy="1224927"/>
            <a:chOff x="13364535" y="9716977"/>
            <a:chExt cx="3455581" cy="1316034"/>
          </a:xfrm>
        </xdr:grpSpPr>
        <xdr:grpSp>
          <xdr:nvGrpSpPr>
            <xdr:cNvPr id="383" name="Group 382">
              <a:extLst>
                <a:ext uri="{FF2B5EF4-FFF2-40B4-BE49-F238E27FC236}">
                  <a16:creationId xmlns:a16="http://schemas.microsoft.com/office/drawing/2014/main" id="{00000000-0008-0000-0200-00007F010000}"/>
                </a:ext>
              </a:extLst>
            </xdr:cNvPr>
            <xdr:cNvGrpSpPr/>
          </xdr:nvGrpSpPr>
          <xdr:grpSpPr>
            <a:xfrm>
              <a:off x="13520478" y="9716977"/>
              <a:ext cx="3280913" cy="1287783"/>
              <a:chOff x="8740750" y="3850532"/>
              <a:chExt cx="3366835" cy="1262101"/>
            </a:xfrm>
          </xdr:grpSpPr>
          <xdr:sp macro="" textlink="">
            <xdr:nvSpPr>
              <xdr:cNvPr id="386" name="Rectangle 385">
                <a:extLst>
                  <a:ext uri="{FF2B5EF4-FFF2-40B4-BE49-F238E27FC236}">
                    <a16:creationId xmlns:a16="http://schemas.microsoft.com/office/drawing/2014/main" id="{00000000-0008-0000-0200-00008201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387" name="Group 386">
                <a:extLst>
                  <a:ext uri="{FF2B5EF4-FFF2-40B4-BE49-F238E27FC236}">
                    <a16:creationId xmlns:a16="http://schemas.microsoft.com/office/drawing/2014/main" id="{00000000-0008-0000-0200-000083010000}"/>
                  </a:ext>
                </a:extLst>
              </xdr:cNvPr>
              <xdr:cNvGrpSpPr/>
            </xdr:nvGrpSpPr>
            <xdr:grpSpPr>
              <a:xfrm>
                <a:off x="8740750" y="3850532"/>
                <a:ext cx="3334412" cy="1227296"/>
                <a:chOff x="8740750" y="3850532"/>
                <a:chExt cx="3334412" cy="1227296"/>
              </a:xfrm>
            </xdr:grpSpPr>
            <xdr:grpSp>
              <xdr:nvGrpSpPr>
                <xdr:cNvPr id="388" name="Group 387">
                  <a:extLst>
                    <a:ext uri="{FF2B5EF4-FFF2-40B4-BE49-F238E27FC236}">
                      <a16:creationId xmlns:a16="http://schemas.microsoft.com/office/drawing/2014/main" id="{00000000-0008-0000-0200-00008401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393" name="Group 392">
                    <a:extLst>
                      <a:ext uri="{FF2B5EF4-FFF2-40B4-BE49-F238E27FC236}">
                        <a16:creationId xmlns:a16="http://schemas.microsoft.com/office/drawing/2014/main" id="{00000000-0008-0000-0200-00008901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425" name="Shape 5">
                      <a:extLst>
                        <a:ext uri="{FF2B5EF4-FFF2-40B4-BE49-F238E27FC236}">
                          <a16:creationId xmlns:a16="http://schemas.microsoft.com/office/drawing/2014/main" id="{00000000-0008-0000-0200-0000A9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26" name="Shape 8">
                      <a:extLst>
                        <a:ext uri="{FF2B5EF4-FFF2-40B4-BE49-F238E27FC236}">
                          <a16:creationId xmlns:a16="http://schemas.microsoft.com/office/drawing/2014/main" id="{00000000-0008-0000-0200-0000AA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427" name="Group 426">
                      <a:extLst>
                        <a:ext uri="{FF2B5EF4-FFF2-40B4-BE49-F238E27FC236}">
                          <a16:creationId xmlns:a16="http://schemas.microsoft.com/office/drawing/2014/main" id="{00000000-0008-0000-0200-0000AB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428" name="Shape 7">
                        <a:extLst>
                          <a:ext uri="{FF2B5EF4-FFF2-40B4-BE49-F238E27FC236}">
                            <a16:creationId xmlns:a16="http://schemas.microsoft.com/office/drawing/2014/main" id="{00000000-0008-0000-0200-0000AC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429" name="Group 428">
                        <a:extLst>
                          <a:ext uri="{FF2B5EF4-FFF2-40B4-BE49-F238E27FC236}">
                            <a16:creationId xmlns:a16="http://schemas.microsoft.com/office/drawing/2014/main" id="{00000000-0008-0000-0200-0000AD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431" name="Rectangle 430">
                          <a:extLst>
                            <a:ext uri="{FF2B5EF4-FFF2-40B4-BE49-F238E27FC236}">
                              <a16:creationId xmlns:a16="http://schemas.microsoft.com/office/drawing/2014/main" id="{00000000-0008-0000-0200-0000AF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432" name="Group 431">
                          <a:extLst>
                            <a:ext uri="{FF2B5EF4-FFF2-40B4-BE49-F238E27FC236}">
                              <a16:creationId xmlns:a16="http://schemas.microsoft.com/office/drawing/2014/main" id="{00000000-0008-0000-0200-0000B0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433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B1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434" name="Rectangle 433">
                            <a:extLst>
                              <a:ext uri="{FF2B5EF4-FFF2-40B4-BE49-F238E27FC236}">
                                <a16:creationId xmlns:a16="http://schemas.microsoft.com/office/drawing/2014/main" id="{00000000-0008-0000-0200-0000B2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435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B3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436" name="Straight Connector 435">
                            <a:extLst>
                              <a:ext uri="{FF2B5EF4-FFF2-40B4-BE49-F238E27FC236}">
                                <a16:creationId xmlns:a16="http://schemas.microsoft.com/office/drawing/2014/main" id="{00000000-0008-0000-0200-0000B4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437" name="Straight Connector 436">
                            <a:extLst>
                              <a:ext uri="{FF2B5EF4-FFF2-40B4-BE49-F238E27FC236}">
                                <a16:creationId xmlns:a16="http://schemas.microsoft.com/office/drawing/2014/main" id="{00000000-0008-0000-0200-0000B5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430" name="Shape 6">
                        <a:extLst>
                          <a:ext uri="{FF2B5EF4-FFF2-40B4-BE49-F238E27FC236}">
                            <a16:creationId xmlns:a16="http://schemas.microsoft.com/office/drawing/2014/main" id="{00000000-0008-0000-0200-0000AE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394" name="Group 393">
                    <a:extLst>
                      <a:ext uri="{FF2B5EF4-FFF2-40B4-BE49-F238E27FC236}">
                        <a16:creationId xmlns:a16="http://schemas.microsoft.com/office/drawing/2014/main" id="{00000000-0008-0000-0200-00008A01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412" name="Shape 5">
                      <a:extLst>
                        <a:ext uri="{FF2B5EF4-FFF2-40B4-BE49-F238E27FC236}">
                          <a16:creationId xmlns:a16="http://schemas.microsoft.com/office/drawing/2014/main" id="{00000000-0008-0000-0200-00009C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13" name="Shape 8">
                      <a:extLst>
                        <a:ext uri="{FF2B5EF4-FFF2-40B4-BE49-F238E27FC236}">
                          <a16:creationId xmlns:a16="http://schemas.microsoft.com/office/drawing/2014/main" id="{00000000-0008-0000-0200-00009D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414" name="Group 413">
                      <a:extLst>
                        <a:ext uri="{FF2B5EF4-FFF2-40B4-BE49-F238E27FC236}">
                          <a16:creationId xmlns:a16="http://schemas.microsoft.com/office/drawing/2014/main" id="{00000000-0008-0000-0200-00009E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415" name="Shape 7">
                        <a:extLst>
                          <a:ext uri="{FF2B5EF4-FFF2-40B4-BE49-F238E27FC236}">
                            <a16:creationId xmlns:a16="http://schemas.microsoft.com/office/drawing/2014/main" id="{00000000-0008-0000-0200-00009F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416" name="Group 415">
                        <a:extLst>
                          <a:ext uri="{FF2B5EF4-FFF2-40B4-BE49-F238E27FC236}">
                            <a16:creationId xmlns:a16="http://schemas.microsoft.com/office/drawing/2014/main" id="{00000000-0008-0000-0200-0000A0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418" name="Rectangle 417">
                          <a:extLst>
                            <a:ext uri="{FF2B5EF4-FFF2-40B4-BE49-F238E27FC236}">
                              <a16:creationId xmlns:a16="http://schemas.microsoft.com/office/drawing/2014/main" id="{00000000-0008-0000-0200-0000A2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419" name="Group 418">
                          <a:extLst>
                            <a:ext uri="{FF2B5EF4-FFF2-40B4-BE49-F238E27FC236}">
                              <a16:creationId xmlns:a16="http://schemas.microsoft.com/office/drawing/2014/main" id="{00000000-0008-0000-0200-0000A3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420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A4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421" name="Rectangle 420">
                            <a:extLst>
                              <a:ext uri="{FF2B5EF4-FFF2-40B4-BE49-F238E27FC236}">
                                <a16:creationId xmlns:a16="http://schemas.microsoft.com/office/drawing/2014/main" id="{00000000-0008-0000-0200-0000A5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422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A6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423" name="Straight Connector 422">
                            <a:extLst>
                              <a:ext uri="{FF2B5EF4-FFF2-40B4-BE49-F238E27FC236}">
                                <a16:creationId xmlns:a16="http://schemas.microsoft.com/office/drawing/2014/main" id="{00000000-0008-0000-0200-0000A7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424" name="Straight Connector 423">
                            <a:extLst>
                              <a:ext uri="{FF2B5EF4-FFF2-40B4-BE49-F238E27FC236}">
                                <a16:creationId xmlns:a16="http://schemas.microsoft.com/office/drawing/2014/main" id="{00000000-0008-0000-0200-0000A8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417" name="Shape 6">
                        <a:extLst>
                          <a:ext uri="{FF2B5EF4-FFF2-40B4-BE49-F238E27FC236}">
                            <a16:creationId xmlns:a16="http://schemas.microsoft.com/office/drawing/2014/main" id="{00000000-0008-0000-0200-0000A1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395" name="Group 394">
                    <a:extLst>
                      <a:ext uri="{FF2B5EF4-FFF2-40B4-BE49-F238E27FC236}">
                        <a16:creationId xmlns:a16="http://schemas.microsoft.com/office/drawing/2014/main" id="{00000000-0008-0000-0200-00008B01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99" name="Shape 5">
                      <a:extLst>
                        <a:ext uri="{FF2B5EF4-FFF2-40B4-BE49-F238E27FC236}">
                          <a16:creationId xmlns:a16="http://schemas.microsoft.com/office/drawing/2014/main" id="{00000000-0008-0000-0200-00008F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00" name="Shape 8">
                      <a:extLst>
                        <a:ext uri="{FF2B5EF4-FFF2-40B4-BE49-F238E27FC236}">
                          <a16:creationId xmlns:a16="http://schemas.microsoft.com/office/drawing/2014/main" id="{00000000-0008-0000-0200-000090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401" name="Group 400">
                      <a:extLst>
                        <a:ext uri="{FF2B5EF4-FFF2-40B4-BE49-F238E27FC236}">
                          <a16:creationId xmlns:a16="http://schemas.microsoft.com/office/drawing/2014/main" id="{00000000-0008-0000-0200-000091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402" name="Shape 7">
                        <a:extLst>
                          <a:ext uri="{FF2B5EF4-FFF2-40B4-BE49-F238E27FC236}">
                            <a16:creationId xmlns:a16="http://schemas.microsoft.com/office/drawing/2014/main" id="{00000000-0008-0000-0200-000092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403" name="Group 402">
                        <a:extLst>
                          <a:ext uri="{FF2B5EF4-FFF2-40B4-BE49-F238E27FC236}">
                            <a16:creationId xmlns:a16="http://schemas.microsoft.com/office/drawing/2014/main" id="{00000000-0008-0000-0200-000093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405" name="Rectangle 404">
                          <a:extLst>
                            <a:ext uri="{FF2B5EF4-FFF2-40B4-BE49-F238E27FC236}">
                              <a16:creationId xmlns:a16="http://schemas.microsoft.com/office/drawing/2014/main" id="{00000000-0008-0000-0200-000095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406" name="Group 405">
                          <a:extLst>
                            <a:ext uri="{FF2B5EF4-FFF2-40B4-BE49-F238E27FC236}">
                              <a16:creationId xmlns:a16="http://schemas.microsoft.com/office/drawing/2014/main" id="{00000000-0008-0000-0200-000096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407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97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408" name="Rectangle 407">
                            <a:extLst>
                              <a:ext uri="{FF2B5EF4-FFF2-40B4-BE49-F238E27FC236}">
                                <a16:creationId xmlns:a16="http://schemas.microsoft.com/office/drawing/2014/main" id="{00000000-0008-0000-0200-000098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409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99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410" name="Straight Connector 409">
                            <a:extLst>
                              <a:ext uri="{FF2B5EF4-FFF2-40B4-BE49-F238E27FC236}">
                                <a16:creationId xmlns:a16="http://schemas.microsoft.com/office/drawing/2014/main" id="{00000000-0008-0000-0200-00009A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411" name="Straight Connector 410">
                            <a:extLst>
                              <a:ext uri="{FF2B5EF4-FFF2-40B4-BE49-F238E27FC236}">
                                <a16:creationId xmlns:a16="http://schemas.microsoft.com/office/drawing/2014/main" id="{00000000-0008-0000-0200-00009B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404" name="Shape 6">
                        <a:extLst>
                          <a:ext uri="{FF2B5EF4-FFF2-40B4-BE49-F238E27FC236}">
                            <a16:creationId xmlns:a16="http://schemas.microsoft.com/office/drawing/2014/main" id="{00000000-0008-0000-0200-000094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396" name="Shape 27">
                    <a:extLst>
                      <a:ext uri="{FF2B5EF4-FFF2-40B4-BE49-F238E27FC236}">
                        <a16:creationId xmlns:a16="http://schemas.microsoft.com/office/drawing/2014/main" id="{00000000-0008-0000-0200-00008C01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97" name="Shape 27">
                    <a:extLst>
                      <a:ext uri="{FF2B5EF4-FFF2-40B4-BE49-F238E27FC236}">
                        <a16:creationId xmlns:a16="http://schemas.microsoft.com/office/drawing/2014/main" id="{00000000-0008-0000-0200-00008D01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98" name="Shape 27">
                    <a:extLst>
                      <a:ext uri="{FF2B5EF4-FFF2-40B4-BE49-F238E27FC236}">
                        <a16:creationId xmlns:a16="http://schemas.microsoft.com/office/drawing/2014/main" id="{00000000-0008-0000-0200-00008E01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389" name="Straight Connector 388">
                  <a:extLst>
                    <a:ext uri="{FF2B5EF4-FFF2-40B4-BE49-F238E27FC236}">
                      <a16:creationId xmlns:a16="http://schemas.microsoft.com/office/drawing/2014/main" id="{00000000-0008-0000-0200-000085010000}"/>
                    </a:ext>
                  </a:extLst>
                </xdr:cNvPr>
                <xdr:cNvCxnSpPr/>
              </xdr:nvCxnSpPr>
              <xdr:spPr>
                <a:xfrm>
                  <a:off x="8740750" y="5075080"/>
                  <a:ext cx="3334412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90" name="Straight Connector 389">
                  <a:extLst>
                    <a:ext uri="{FF2B5EF4-FFF2-40B4-BE49-F238E27FC236}">
                      <a16:creationId xmlns:a16="http://schemas.microsoft.com/office/drawing/2014/main" id="{00000000-0008-0000-0200-00008601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91" name="Straight Connector 390">
                  <a:extLst>
                    <a:ext uri="{FF2B5EF4-FFF2-40B4-BE49-F238E27FC236}">
                      <a16:creationId xmlns:a16="http://schemas.microsoft.com/office/drawing/2014/main" id="{00000000-0008-0000-0200-00008701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92" name="Straight Connector 391">
                  <a:extLst>
                    <a:ext uri="{FF2B5EF4-FFF2-40B4-BE49-F238E27FC236}">
                      <a16:creationId xmlns:a16="http://schemas.microsoft.com/office/drawing/2014/main" id="{00000000-0008-0000-0200-00008801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384" name="TextBox 383">
              <a:extLst>
                <a:ext uri="{FF2B5EF4-FFF2-40B4-BE49-F238E27FC236}">
                  <a16:creationId xmlns:a16="http://schemas.microsoft.com/office/drawing/2014/main" id="{00000000-0008-0000-0200-000080010000}"/>
                </a:ext>
              </a:extLst>
            </xdr:cNvPr>
            <xdr:cNvSpPr txBox="1"/>
          </xdr:nvSpPr>
          <xdr:spPr>
            <a:xfrm>
              <a:off x="13364535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385" name="TextBox 384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 txBox="1"/>
          </xdr:nvSpPr>
          <xdr:spPr>
            <a:xfrm>
              <a:off x="16107716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L1</a:t>
              </a:r>
            </a:p>
          </xdr:txBody>
        </xdr:sp>
      </xdr:grpSp>
      <xdr:grpSp>
        <xdr:nvGrpSpPr>
          <xdr:cNvPr id="325" name="Group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GrpSpPr/>
        </xdr:nvGrpSpPr>
        <xdr:grpSpPr>
          <a:xfrm>
            <a:off x="10564524" y="10273522"/>
            <a:ext cx="3553284" cy="1228503"/>
            <a:chOff x="13364535" y="9716977"/>
            <a:chExt cx="3455581" cy="1316034"/>
          </a:xfrm>
        </xdr:grpSpPr>
        <xdr:grpSp>
          <xdr:nvGrpSpPr>
            <xdr:cNvPr id="328" name="Group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GrpSpPr/>
          </xdr:nvGrpSpPr>
          <xdr:grpSpPr>
            <a:xfrm>
              <a:off x="13520482" y="9716977"/>
              <a:ext cx="3280909" cy="1287783"/>
              <a:chOff x="8740754" y="3850532"/>
              <a:chExt cx="3366831" cy="1262101"/>
            </a:xfrm>
          </xdr:grpSpPr>
          <xdr:sp macro="" textlink="">
            <xdr:nvSpPr>
              <xdr:cNvPr id="331" name="Rectangle 330">
                <a:extLst>
                  <a:ext uri="{FF2B5EF4-FFF2-40B4-BE49-F238E27FC236}">
                    <a16:creationId xmlns:a16="http://schemas.microsoft.com/office/drawing/2014/main" id="{00000000-0008-0000-0200-00004B01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332" name="Group 331">
                <a:extLst>
                  <a:ext uri="{FF2B5EF4-FFF2-40B4-BE49-F238E27FC236}">
                    <a16:creationId xmlns:a16="http://schemas.microsoft.com/office/drawing/2014/main" id="{00000000-0008-0000-0200-00004C010000}"/>
                  </a:ext>
                </a:extLst>
              </xdr:cNvPr>
              <xdr:cNvGrpSpPr/>
            </xdr:nvGrpSpPr>
            <xdr:grpSpPr>
              <a:xfrm>
                <a:off x="8740754" y="3850532"/>
                <a:ext cx="3334412" cy="1227296"/>
                <a:chOff x="8740754" y="3850532"/>
                <a:chExt cx="3334412" cy="1227296"/>
              </a:xfrm>
            </xdr:grpSpPr>
            <xdr:grpSp>
              <xdr:nvGrpSpPr>
                <xdr:cNvPr id="333" name="Group 332">
                  <a:extLst>
                    <a:ext uri="{FF2B5EF4-FFF2-40B4-BE49-F238E27FC236}">
                      <a16:creationId xmlns:a16="http://schemas.microsoft.com/office/drawing/2014/main" id="{00000000-0008-0000-0200-00004D01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338" name="Group 337">
                    <a:extLst>
                      <a:ext uri="{FF2B5EF4-FFF2-40B4-BE49-F238E27FC236}">
                        <a16:creationId xmlns:a16="http://schemas.microsoft.com/office/drawing/2014/main" id="{00000000-0008-0000-0200-00005201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70" name="Shape 5">
                      <a:extLst>
                        <a:ext uri="{FF2B5EF4-FFF2-40B4-BE49-F238E27FC236}">
                          <a16:creationId xmlns:a16="http://schemas.microsoft.com/office/drawing/2014/main" id="{00000000-0008-0000-0200-000072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71" name="Shape 8">
                      <a:extLst>
                        <a:ext uri="{FF2B5EF4-FFF2-40B4-BE49-F238E27FC236}">
                          <a16:creationId xmlns:a16="http://schemas.microsoft.com/office/drawing/2014/main" id="{00000000-0008-0000-0200-000073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72" name="Group 371">
                      <a:extLst>
                        <a:ext uri="{FF2B5EF4-FFF2-40B4-BE49-F238E27FC236}">
                          <a16:creationId xmlns:a16="http://schemas.microsoft.com/office/drawing/2014/main" id="{00000000-0008-0000-0200-000074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73" name="Shape 7">
                        <a:extLst>
                          <a:ext uri="{FF2B5EF4-FFF2-40B4-BE49-F238E27FC236}">
                            <a16:creationId xmlns:a16="http://schemas.microsoft.com/office/drawing/2014/main" id="{00000000-0008-0000-0200-000075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74" name="Group 373">
                        <a:extLst>
                          <a:ext uri="{FF2B5EF4-FFF2-40B4-BE49-F238E27FC236}">
                            <a16:creationId xmlns:a16="http://schemas.microsoft.com/office/drawing/2014/main" id="{00000000-0008-0000-0200-000076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76" name="Rectangle 375">
                          <a:extLst>
                            <a:ext uri="{FF2B5EF4-FFF2-40B4-BE49-F238E27FC236}">
                              <a16:creationId xmlns:a16="http://schemas.microsoft.com/office/drawing/2014/main" id="{00000000-0008-0000-0200-000078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77" name="Group 376">
                          <a:extLst>
                            <a:ext uri="{FF2B5EF4-FFF2-40B4-BE49-F238E27FC236}">
                              <a16:creationId xmlns:a16="http://schemas.microsoft.com/office/drawing/2014/main" id="{00000000-0008-0000-0200-000079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78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7A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79" name="Rectangle 378">
                            <a:extLst>
                              <a:ext uri="{FF2B5EF4-FFF2-40B4-BE49-F238E27FC236}">
                                <a16:creationId xmlns:a16="http://schemas.microsoft.com/office/drawing/2014/main" id="{00000000-0008-0000-0200-00007B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80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7C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81" name="Straight Connector 380">
                            <a:extLst>
                              <a:ext uri="{FF2B5EF4-FFF2-40B4-BE49-F238E27FC236}">
                                <a16:creationId xmlns:a16="http://schemas.microsoft.com/office/drawing/2014/main" id="{00000000-0008-0000-0200-00007D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82" name="Straight Connector 381">
                            <a:extLst>
                              <a:ext uri="{FF2B5EF4-FFF2-40B4-BE49-F238E27FC236}">
                                <a16:creationId xmlns:a16="http://schemas.microsoft.com/office/drawing/2014/main" id="{00000000-0008-0000-0200-00007E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75" name="Shape 6">
                        <a:extLst>
                          <a:ext uri="{FF2B5EF4-FFF2-40B4-BE49-F238E27FC236}">
                            <a16:creationId xmlns:a16="http://schemas.microsoft.com/office/drawing/2014/main" id="{00000000-0008-0000-0200-000077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339" name="Group 338">
                    <a:extLst>
                      <a:ext uri="{FF2B5EF4-FFF2-40B4-BE49-F238E27FC236}">
                        <a16:creationId xmlns:a16="http://schemas.microsoft.com/office/drawing/2014/main" id="{00000000-0008-0000-0200-00005301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57" name="Shape 5">
                      <a:extLst>
                        <a:ext uri="{FF2B5EF4-FFF2-40B4-BE49-F238E27FC236}">
                          <a16:creationId xmlns:a16="http://schemas.microsoft.com/office/drawing/2014/main" id="{00000000-0008-0000-0200-000065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58" name="Shape 8">
                      <a:extLst>
                        <a:ext uri="{FF2B5EF4-FFF2-40B4-BE49-F238E27FC236}">
                          <a16:creationId xmlns:a16="http://schemas.microsoft.com/office/drawing/2014/main" id="{00000000-0008-0000-0200-000066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59" name="Group 358">
                      <a:extLst>
                        <a:ext uri="{FF2B5EF4-FFF2-40B4-BE49-F238E27FC236}">
                          <a16:creationId xmlns:a16="http://schemas.microsoft.com/office/drawing/2014/main" id="{00000000-0008-0000-0200-000067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60" name="Shape 7">
                        <a:extLst>
                          <a:ext uri="{FF2B5EF4-FFF2-40B4-BE49-F238E27FC236}">
                            <a16:creationId xmlns:a16="http://schemas.microsoft.com/office/drawing/2014/main" id="{00000000-0008-0000-0200-000068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61" name="Group 360">
                        <a:extLst>
                          <a:ext uri="{FF2B5EF4-FFF2-40B4-BE49-F238E27FC236}">
                            <a16:creationId xmlns:a16="http://schemas.microsoft.com/office/drawing/2014/main" id="{00000000-0008-0000-0200-000069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63" name="Rectangle 362">
                          <a:extLst>
                            <a:ext uri="{FF2B5EF4-FFF2-40B4-BE49-F238E27FC236}">
                              <a16:creationId xmlns:a16="http://schemas.microsoft.com/office/drawing/2014/main" id="{00000000-0008-0000-0200-00006B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64" name="Group 363">
                          <a:extLst>
                            <a:ext uri="{FF2B5EF4-FFF2-40B4-BE49-F238E27FC236}">
                              <a16:creationId xmlns:a16="http://schemas.microsoft.com/office/drawing/2014/main" id="{00000000-0008-0000-0200-00006C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65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6D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66" name="Rectangle 365">
                            <a:extLst>
                              <a:ext uri="{FF2B5EF4-FFF2-40B4-BE49-F238E27FC236}">
                                <a16:creationId xmlns:a16="http://schemas.microsoft.com/office/drawing/2014/main" id="{00000000-0008-0000-0200-00006E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67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6F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68" name="Straight Connector 367">
                            <a:extLst>
                              <a:ext uri="{FF2B5EF4-FFF2-40B4-BE49-F238E27FC236}">
                                <a16:creationId xmlns:a16="http://schemas.microsoft.com/office/drawing/2014/main" id="{00000000-0008-0000-0200-000070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69" name="Straight Connector 368">
                            <a:extLst>
                              <a:ext uri="{FF2B5EF4-FFF2-40B4-BE49-F238E27FC236}">
                                <a16:creationId xmlns:a16="http://schemas.microsoft.com/office/drawing/2014/main" id="{00000000-0008-0000-0200-000071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62" name="Shape 6">
                        <a:extLst>
                          <a:ext uri="{FF2B5EF4-FFF2-40B4-BE49-F238E27FC236}">
                            <a16:creationId xmlns:a16="http://schemas.microsoft.com/office/drawing/2014/main" id="{00000000-0008-0000-0200-00006A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340" name="Group 339">
                    <a:extLst>
                      <a:ext uri="{FF2B5EF4-FFF2-40B4-BE49-F238E27FC236}">
                        <a16:creationId xmlns:a16="http://schemas.microsoft.com/office/drawing/2014/main" id="{00000000-0008-0000-0200-00005401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44" name="Shape 5">
                      <a:extLst>
                        <a:ext uri="{FF2B5EF4-FFF2-40B4-BE49-F238E27FC236}">
                          <a16:creationId xmlns:a16="http://schemas.microsoft.com/office/drawing/2014/main" id="{00000000-0008-0000-0200-000058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45" name="Shape 8">
                      <a:extLst>
                        <a:ext uri="{FF2B5EF4-FFF2-40B4-BE49-F238E27FC236}">
                          <a16:creationId xmlns:a16="http://schemas.microsoft.com/office/drawing/2014/main" id="{00000000-0008-0000-0200-000059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46" name="Group 345">
                      <a:extLst>
                        <a:ext uri="{FF2B5EF4-FFF2-40B4-BE49-F238E27FC236}">
                          <a16:creationId xmlns:a16="http://schemas.microsoft.com/office/drawing/2014/main" id="{00000000-0008-0000-0200-00005A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47" name="Shape 7">
                        <a:extLst>
                          <a:ext uri="{FF2B5EF4-FFF2-40B4-BE49-F238E27FC236}">
                            <a16:creationId xmlns:a16="http://schemas.microsoft.com/office/drawing/2014/main" id="{00000000-0008-0000-0200-00005B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48" name="Group 347">
                        <a:extLst>
                          <a:ext uri="{FF2B5EF4-FFF2-40B4-BE49-F238E27FC236}">
                            <a16:creationId xmlns:a16="http://schemas.microsoft.com/office/drawing/2014/main" id="{00000000-0008-0000-0200-00005C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50" name="Rectangle 349">
                          <a:extLst>
                            <a:ext uri="{FF2B5EF4-FFF2-40B4-BE49-F238E27FC236}">
                              <a16:creationId xmlns:a16="http://schemas.microsoft.com/office/drawing/2014/main" id="{00000000-0008-0000-0200-00005E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51" name="Group 350">
                          <a:extLst>
                            <a:ext uri="{FF2B5EF4-FFF2-40B4-BE49-F238E27FC236}">
                              <a16:creationId xmlns:a16="http://schemas.microsoft.com/office/drawing/2014/main" id="{00000000-0008-0000-0200-00005F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52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60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53" name="Rectangle 352">
                            <a:extLst>
                              <a:ext uri="{FF2B5EF4-FFF2-40B4-BE49-F238E27FC236}">
                                <a16:creationId xmlns:a16="http://schemas.microsoft.com/office/drawing/2014/main" id="{00000000-0008-0000-0200-000061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54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62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55" name="Straight Connector 354">
                            <a:extLst>
                              <a:ext uri="{FF2B5EF4-FFF2-40B4-BE49-F238E27FC236}">
                                <a16:creationId xmlns:a16="http://schemas.microsoft.com/office/drawing/2014/main" id="{00000000-0008-0000-0200-000063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56" name="Straight Connector 355">
                            <a:extLst>
                              <a:ext uri="{FF2B5EF4-FFF2-40B4-BE49-F238E27FC236}">
                                <a16:creationId xmlns:a16="http://schemas.microsoft.com/office/drawing/2014/main" id="{00000000-0008-0000-0200-000064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49" name="Shape 6">
                        <a:extLst>
                          <a:ext uri="{FF2B5EF4-FFF2-40B4-BE49-F238E27FC236}">
                            <a16:creationId xmlns:a16="http://schemas.microsoft.com/office/drawing/2014/main" id="{00000000-0008-0000-0200-00005D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341" name="Shape 27">
                    <a:extLst>
                      <a:ext uri="{FF2B5EF4-FFF2-40B4-BE49-F238E27FC236}">
                        <a16:creationId xmlns:a16="http://schemas.microsoft.com/office/drawing/2014/main" id="{00000000-0008-0000-0200-00005501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42" name="Shape 27">
                    <a:extLst>
                      <a:ext uri="{FF2B5EF4-FFF2-40B4-BE49-F238E27FC236}">
                        <a16:creationId xmlns:a16="http://schemas.microsoft.com/office/drawing/2014/main" id="{00000000-0008-0000-0200-00005601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43" name="Shape 27">
                    <a:extLst>
                      <a:ext uri="{FF2B5EF4-FFF2-40B4-BE49-F238E27FC236}">
                        <a16:creationId xmlns:a16="http://schemas.microsoft.com/office/drawing/2014/main" id="{00000000-0008-0000-0200-00005701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334" name="Straight Connector 333">
                  <a:extLst>
                    <a:ext uri="{FF2B5EF4-FFF2-40B4-BE49-F238E27FC236}">
                      <a16:creationId xmlns:a16="http://schemas.microsoft.com/office/drawing/2014/main" id="{00000000-0008-0000-0200-00004E010000}"/>
                    </a:ext>
                  </a:extLst>
                </xdr:cNvPr>
                <xdr:cNvCxnSpPr/>
              </xdr:nvCxnSpPr>
              <xdr:spPr>
                <a:xfrm>
                  <a:off x="8740754" y="5062392"/>
                  <a:ext cx="3334412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35" name="Straight Connector 334">
                  <a:extLst>
                    <a:ext uri="{FF2B5EF4-FFF2-40B4-BE49-F238E27FC236}">
                      <a16:creationId xmlns:a16="http://schemas.microsoft.com/office/drawing/2014/main" id="{00000000-0008-0000-0200-00004F01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36" name="Straight Connector 335">
                  <a:extLst>
                    <a:ext uri="{FF2B5EF4-FFF2-40B4-BE49-F238E27FC236}">
                      <a16:creationId xmlns:a16="http://schemas.microsoft.com/office/drawing/2014/main" id="{00000000-0008-0000-0200-00005001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37" name="Straight Connector 336">
                  <a:extLst>
                    <a:ext uri="{FF2B5EF4-FFF2-40B4-BE49-F238E27FC236}">
                      <a16:creationId xmlns:a16="http://schemas.microsoft.com/office/drawing/2014/main" id="{00000000-0008-0000-0200-00005101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329" name="TextBox 328">
              <a:extLst>
                <a:ext uri="{FF2B5EF4-FFF2-40B4-BE49-F238E27FC236}">
                  <a16:creationId xmlns:a16="http://schemas.microsoft.com/office/drawing/2014/main" id="{00000000-0008-0000-0200-000049010000}"/>
                </a:ext>
              </a:extLst>
            </xdr:cNvPr>
            <xdr:cNvSpPr txBox="1"/>
          </xdr:nvSpPr>
          <xdr:spPr>
            <a:xfrm>
              <a:off x="13364535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330" name="TextBox 329">
              <a:extLst>
                <a:ext uri="{FF2B5EF4-FFF2-40B4-BE49-F238E27FC236}">
                  <a16:creationId xmlns:a16="http://schemas.microsoft.com/office/drawing/2014/main" id="{00000000-0008-0000-0200-00004A010000}"/>
                </a:ext>
              </a:extLst>
            </xdr:cNvPr>
            <xdr:cNvSpPr txBox="1"/>
          </xdr:nvSpPr>
          <xdr:spPr>
            <a:xfrm>
              <a:off x="16107716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L3</a:t>
              </a:r>
            </a:p>
          </xdr:txBody>
        </xdr:sp>
      </xdr:grpSp>
      <xdr:cxnSp macro="">
        <xdr:nvCxnSpPr>
          <xdr:cNvPr id="326" name="Straight Connector 325">
            <a:extLst>
              <a:ext uri="{FF2B5EF4-FFF2-40B4-BE49-F238E27FC236}">
                <a16:creationId xmlns:a16="http://schemas.microsoft.com/office/drawing/2014/main" id="{00000000-0008-0000-0200-000046010000}"/>
              </a:ext>
            </a:extLst>
          </xdr:cNvPr>
          <xdr:cNvCxnSpPr/>
        </xdr:nvCxnSpPr>
        <xdr:spPr>
          <a:xfrm>
            <a:off x="10712844" y="10083202"/>
            <a:ext cx="0" cy="135341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7" name="Straight Connector 326">
            <a:extLst>
              <a:ext uri="{FF2B5EF4-FFF2-40B4-BE49-F238E27FC236}">
                <a16:creationId xmlns:a16="http://schemas.microsoft.com/office/drawing/2014/main" id="{00000000-0008-0000-0200-000047010000}"/>
              </a:ext>
            </a:extLst>
          </xdr:cNvPr>
          <xdr:cNvCxnSpPr/>
        </xdr:nvCxnSpPr>
        <xdr:spPr>
          <a:xfrm>
            <a:off x="10712844" y="8711863"/>
            <a:ext cx="0" cy="137134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102204</xdr:colOff>
      <xdr:row>34</xdr:row>
      <xdr:rowOff>174776</xdr:rowOff>
    </xdr:from>
    <xdr:to>
      <xdr:col>42</xdr:col>
      <xdr:colOff>218906</xdr:colOff>
      <xdr:row>41</xdr:row>
      <xdr:rowOff>20813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pSpPr/>
      </xdr:nvGrpSpPr>
      <xdr:grpSpPr>
        <a:xfrm>
          <a:off x="7385577" y="6937909"/>
          <a:ext cx="3758389" cy="1238446"/>
          <a:chOff x="6984785" y="7139292"/>
          <a:chExt cx="3557992" cy="1279908"/>
        </a:xfrm>
      </xdr:grpSpPr>
      <xdr:grpSp>
        <xdr:nvGrpSpPr>
          <xdr:cNvPr id="439" name="Group 438">
            <a:extLst>
              <a:ext uri="{FF2B5EF4-FFF2-40B4-BE49-F238E27FC236}">
                <a16:creationId xmlns:a16="http://schemas.microsoft.com/office/drawing/2014/main" id="{00000000-0008-0000-0200-0000B7010000}"/>
              </a:ext>
            </a:extLst>
          </xdr:cNvPr>
          <xdr:cNvGrpSpPr/>
        </xdr:nvGrpSpPr>
        <xdr:grpSpPr>
          <a:xfrm>
            <a:off x="6984785" y="7139292"/>
            <a:ext cx="3557992" cy="1252433"/>
            <a:chOff x="8397889" y="3850532"/>
            <a:chExt cx="3709696" cy="1262101"/>
          </a:xfrm>
        </xdr:grpSpPr>
        <xdr:sp macro="" textlink="">
          <xdr:nvSpPr>
            <xdr:cNvPr id="442" name="Rectangle 441">
              <a:extLst>
                <a:ext uri="{FF2B5EF4-FFF2-40B4-BE49-F238E27FC236}">
                  <a16:creationId xmlns:a16="http://schemas.microsoft.com/office/drawing/2014/main" id="{00000000-0008-0000-0200-0000BA010000}"/>
                </a:ext>
              </a:extLst>
            </xdr:cNvPr>
            <xdr:cNvSpPr/>
          </xdr:nvSpPr>
          <xdr:spPr>
            <a:xfrm>
              <a:off x="12016984" y="5025958"/>
              <a:ext cx="90601" cy="86675"/>
            </a:xfrm>
            <a:prstGeom prst="rect">
              <a:avLst/>
            </a:pr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grpSp>
          <xdr:nvGrpSpPr>
            <xdr:cNvPr id="443" name="Group 442">
              <a:extLst>
                <a:ext uri="{FF2B5EF4-FFF2-40B4-BE49-F238E27FC236}">
                  <a16:creationId xmlns:a16="http://schemas.microsoft.com/office/drawing/2014/main" id="{00000000-0008-0000-0200-0000BB010000}"/>
                </a:ext>
              </a:extLst>
            </xdr:cNvPr>
            <xdr:cNvGrpSpPr/>
          </xdr:nvGrpSpPr>
          <xdr:grpSpPr>
            <a:xfrm>
              <a:off x="8397889" y="3850532"/>
              <a:ext cx="3664395" cy="1227296"/>
              <a:chOff x="8397889" y="3850532"/>
              <a:chExt cx="3664395" cy="1227296"/>
            </a:xfrm>
          </xdr:grpSpPr>
          <xdr:grpSp>
            <xdr:nvGrpSpPr>
              <xdr:cNvPr id="444" name="Group 443">
                <a:extLst>
                  <a:ext uri="{FF2B5EF4-FFF2-40B4-BE49-F238E27FC236}">
                    <a16:creationId xmlns:a16="http://schemas.microsoft.com/office/drawing/2014/main" id="{00000000-0008-0000-0200-0000BC010000}"/>
                  </a:ext>
                </a:extLst>
              </xdr:cNvPr>
              <xdr:cNvGrpSpPr/>
            </xdr:nvGrpSpPr>
            <xdr:grpSpPr>
              <a:xfrm>
                <a:off x="9773409" y="3850532"/>
                <a:ext cx="1629570" cy="969122"/>
                <a:chOff x="9773409" y="3850532"/>
                <a:chExt cx="1629570" cy="969122"/>
              </a:xfrm>
            </xdr:grpSpPr>
            <xdr:grpSp>
              <xdr:nvGrpSpPr>
                <xdr:cNvPr id="449" name="Group 448">
                  <a:extLst>
                    <a:ext uri="{FF2B5EF4-FFF2-40B4-BE49-F238E27FC236}">
                      <a16:creationId xmlns:a16="http://schemas.microsoft.com/office/drawing/2014/main" id="{00000000-0008-0000-0200-0000C1010000}"/>
                    </a:ext>
                  </a:extLst>
                </xdr:cNvPr>
                <xdr:cNvGrpSpPr/>
              </xdr:nvGrpSpPr>
              <xdr:grpSpPr>
                <a:xfrm>
                  <a:off x="11043409" y="3855114"/>
                  <a:ext cx="359570" cy="964540"/>
                  <a:chOff x="5976919" y="875457"/>
                  <a:chExt cx="528506" cy="1417708"/>
                </a:xfrm>
              </xdr:grpSpPr>
              <xdr:sp macro="" textlink="">
                <xdr:nvSpPr>
                  <xdr:cNvPr id="481" name="Shape 5">
                    <a:extLst>
                      <a:ext uri="{FF2B5EF4-FFF2-40B4-BE49-F238E27FC236}">
                        <a16:creationId xmlns:a16="http://schemas.microsoft.com/office/drawing/2014/main" id="{00000000-0008-0000-0200-0000E1010000}"/>
                      </a:ext>
                    </a:extLst>
                  </xdr:cNvPr>
                  <xdr:cNvSpPr/>
                </xdr:nvSpPr>
                <xdr:spPr>
                  <a:xfrm>
                    <a:off x="5985725" y="1892729"/>
                    <a:ext cx="510889" cy="400436"/>
                  </a:xfrm>
                  <a:prstGeom prst="line">
                    <a:avLst/>
                  </a:prstGeom>
                  <a:noFill/>
                  <a:ln w="6350" cap="flat">
                    <a:solidFill>
                      <a:srgbClr val="000000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82" name="Shape 8">
                    <a:extLst>
                      <a:ext uri="{FF2B5EF4-FFF2-40B4-BE49-F238E27FC236}">
                        <a16:creationId xmlns:a16="http://schemas.microsoft.com/office/drawing/2014/main" id="{00000000-0008-0000-0200-0000E2010000}"/>
                      </a:ext>
                    </a:extLst>
                  </xdr:cNvPr>
                  <xdr:cNvSpPr/>
                </xdr:nvSpPr>
                <xdr:spPr>
                  <a:xfrm>
                    <a:off x="6065923" y="2177865"/>
                    <a:ext cx="140766" cy="8190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21600" h="21600" extrusionOk="0">
                        <a:moveTo>
                          <a:pt x="0" y="19200"/>
                        </a:moveTo>
                        <a:cubicBezTo>
                          <a:pt x="2057" y="9600"/>
                          <a:pt x="5143" y="0"/>
                          <a:pt x="7200" y="0"/>
                        </a:cubicBezTo>
                        <a:cubicBezTo>
                          <a:pt x="9257" y="0"/>
                          <a:pt x="12343" y="21600"/>
                          <a:pt x="14400" y="21600"/>
                        </a:cubicBezTo>
                        <a:cubicBezTo>
                          <a:pt x="16457" y="21600"/>
                          <a:pt x="20571" y="4800"/>
                          <a:pt x="21600" y="2400"/>
                        </a:cubicBezTo>
                      </a:path>
                    </a:pathLst>
                  </a:cu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grpSp>
                <xdr:nvGrpSpPr>
                  <xdr:cNvPr id="483" name="Group 482">
                    <a:extLst>
                      <a:ext uri="{FF2B5EF4-FFF2-40B4-BE49-F238E27FC236}">
                        <a16:creationId xmlns:a16="http://schemas.microsoft.com/office/drawing/2014/main" id="{00000000-0008-0000-0200-0000E3010000}"/>
                      </a:ext>
                    </a:extLst>
                  </xdr:cNvPr>
                  <xdr:cNvGrpSpPr/>
                </xdr:nvGrpSpPr>
                <xdr:grpSpPr>
                  <a:xfrm>
                    <a:off x="5976919" y="875457"/>
                    <a:ext cx="528506" cy="1415685"/>
                    <a:chOff x="5976919" y="875457"/>
                    <a:chExt cx="528506" cy="1415685"/>
                  </a:xfrm>
                </xdr:grpSpPr>
                <xdr:sp macro="" textlink="">
                  <xdr:nvSpPr>
                    <xdr:cNvPr id="484" name="Shape 7">
                      <a:extLst>
                        <a:ext uri="{FF2B5EF4-FFF2-40B4-BE49-F238E27FC236}">
                          <a16:creationId xmlns:a16="http://schemas.microsoft.com/office/drawing/2014/main" id="{00000000-0008-0000-0200-0000E4010000}"/>
                        </a:ext>
                      </a:extLst>
                    </xdr:cNvPr>
                    <xdr:cNvSpPr/>
                  </xdr:nvSpPr>
                  <xdr:spPr>
                    <a:xfrm>
                      <a:off x="6275482" y="2006159"/>
                      <a:ext cx="153979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485" name="Group 484">
                      <a:extLst>
                        <a:ext uri="{FF2B5EF4-FFF2-40B4-BE49-F238E27FC236}">
                          <a16:creationId xmlns:a16="http://schemas.microsoft.com/office/drawing/2014/main" id="{00000000-0008-0000-0200-0000E5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487" name="Rectangle 486">
                        <a:extLst>
                          <a:ext uri="{FF2B5EF4-FFF2-40B4-BE49-F238E27FC236}">
                            <a16:creationId xmlns:a16="http://schemas.microsoft.com/office/drawing/2014/main" id="{00000000-0008-0000-0200-0000E7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76919" y="1886661"/>
                        <a:ext cx="528506" cy="404481"/>
                      </a:xfrm>
                      <a:prstGeom prst="rect">
                        <a:avLst/>
                      </a:prstGeom>
                      <a:noFill/>
                      <a:ln w="6350">
                        <a:solidFill>
                          <a:schemeClr val="tx1"/>
                        </a:solidFill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rot="0" spcFirstLastPara="1" vertOverflow="overflow" horzOverflow="overflow" vert="horz" wrap="square" lIns="50800" tIns="50800" rIns="50800" bIns="50800" numCol="1" spcCol="38100" rtlCol="0" anchor="ctr">
                        <a:noAutofit/>
                      </a:bodyPr>
                      <a:lstStyle/>
                      <a:p>
                        <a:pPr marL="0" marR="0" indent="0" algn="ctr" defTabSz="457200" rtl="0" fontAlgn="auto" latinLnBrk="1" hangingPunct="0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</a:pPr>
                        <a:endParaRPr kumimoji="0" lang="en-GB" sz="1200" b="0" i="0" u="none" strike="noStrike" cap="none" spc="0" normalizeH="0" baseline="0">
                          <a:ln>
                            <a:noFill/>
                          </a:ln>
                          <a:solidFill>
                            <a:srgbClr val="FFFFFF"/>
                          </a:solidFill>
                          <a:effectLst>
                            <a:outerShdw blurRad="25400" dist="23998" dir="2700000" rotWithShape="0">
                              <a:srgbClr val="000000">
                                <a:alpha val="31034"/>
                              </a:srgbClr>
                            </a:outerShdw>
                          </a:effectLst>
                          <a:uFillTx/>
                          <a:latin typeface="+mn-lt"/>
                          <a:ea typeface="+mn-ea"/>
                          <a:cs typeface="+mn-cs"/>
                          <a:sym typeface="Helvetica"/>
                        </a:endParaRPr>
                      </a:p>
                    </xdr:txBody>
                  </xdr:sp>
                  <xdr:grpSp>
                    <xdr:nvGrpSpPr>
                      <xdr:cNvPr id="488" name="Group 487">
                        <a:extLst>
                          <a:ext uri="{FF2B5EF4-FFF2-40B4-BE49-F238E27FC236}">
                            <a16:creationId xmlns:a16="http://schemas.microsoft.com/office/drawing/2014/main" id="{00000000-0008-0000-0200-0000E8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22" y="875457"/>
                        <a:ext cx="520060" cy="1014094"/>
                        <a:chOff x="5976922" y="875457"/>
                        <a:chExt cx="520060" cy="1014094"/>
                      </a:xfrm>
                    </xdr:grpSpPr>
                    <xdr:sp macro="" textlink="">
                      <xdr:nvSpPr>
                        <xdr:cNvPr id="489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E9010000}"/>
                            </a:ext>
                          </a:extLst>
                        </xdr:cNvPr>
                        <xdr:cNvSpPr/>
                      </xdr:nvSpPr>
                      <xdr:spPr>
                        <a:xfrm flipH="1" flipV="1">
                          <a:off x="5976923" y="875457"/>
                          <a:ext cx="254940" cy="297419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sp macro="" textlink="">
                      <xdr:nvSpPr>
                        <xdr:cNvPr id="490" name="Rectangle 489">
                          <a:extLst>
                            <a:ext uri="{FF2B5EF4-FFF2-40B4-BE49-F238E27FC236}">
                              <a16:creationId xmlns:a16="http://schemas.microsoft.com/office/drawing/2014/main" id="{00000000-0008-0000-0200-0000EA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22" y="878621"/>
                          <a:ext cx="511627" cy="805473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GB" sz="1100"/>
                        </a:p>
                      </xdr:txBody>
                    </xdr:sp>
                    <xdr:sp macro="" textlink="">
                      <xdr:nvSpPr>
                        <xdr:cNvPr id="491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EB010000}"/>
                            </a:ext>
                          </a:extLst>
                        </xdr:cNvPr>
                        <xdr:cNvSpPr/>
                      </xdr:nvSpPr>
                      <xdr:spPr>
                        <a:xfrm rot="5040000" flipH="1" flipV="1">
                          <a:off x="6220345" y="891428"/>
                          <a:ext cx="279414" cy="273861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cxnSp macro="">
                      <xdr:nvCxnSpPr>
                        <xdr:cNvPr id="492" name="Straight Connector 491">
                          <a:extLst>
                            <a:ext uri="{FF2B5EF4-FFF2-40B4-BE49-F238E27FC236}">
                              <a16:creationId xmlns:a16="http://schemas.microsoft.com/office/drawing/2014/main" id="{00000000-0008-0000-0200-0000EC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143027" y="1684419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493" name="Straight Connector 492">
                          <a:extLst>
                            <a:ext uri="{FF2B5EF4-FFF2-40B4-BE49-F238E27FC236}">
                              <a16:creationId xmlns:a16="http://schemas.microsoft.com/office/drawing/2014/main" id="{00000000-0008-0000-0200-0000ED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327249" y="1687310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</xdr:grpSp>
                </xdr:grpSp>
                <xdr:sp macro="" textlink="">
                  <xdr:nvSpPr>
                    <xdr:cNvPr id="486" name="Shape 6">
                      <a:extLst>
                        <a:ext uri="{FF2B5EF4-FFF2-40B4-BE49-F238E27FC236}">
                          <a16:creationId xmlns:a16="http://schemas.microsoft.com/office/drawing/2014/main" id="{00000000-0008-0000-0200-0000E6010000}"/>
                        </a:ext>
                      </a:extLst>
                    </xdr:cNvPr>
                    <xdr:cNvSpPr/>
                  </xdr:nvSpPr>
                  <xdr:spPr>
                    <a:xfrm>
                      <a:off x="6287662" y="1956312"/>
                      <a:ext cx="147372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dash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grpSp>
              <xdr:nvGrpSpPr>
                <xdr:cNvPr id="450" name="Group 449">
                  <a:extLst>
                    <a:ext uri="{FF2B5EF4-FFF2-40B4-BE49-F238E27FC236}">
                      <a16:creationId xmlns:a16="http://schemas.microsoft.com/office/drawing/2014/main" id="{00000000-0008-0000-0200-0000C201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359570" cy="964540"/>
                  <a:chOff x="5976919" y="875457"/>
                  <a:chExt cx="528506" cy="1417708"/>
                </a:xfrm>
              </xdr:grpSpPr>
              <xdr:sp macro="" textlink="">
                <xdr:nvSpPr>
                  <xdr:cNvPr id="468" name="Shape 5">
                    <a:extLst>
                      <a:ext uri="{FF2B5EF4-FFF2-40B4-BE49-F238E27FC236}">
                        <a16:creationId xmlns:a16="http://schemas.microsoft.com/office/drawing/2014/main" id="{00000000-0008-0000-0200-0000D4010000}"/>
                      </a:ext>
                    </a:extLst>
                  </xdr:cNvPr>
                  <xdr:cNvSpPr/>
                </xdr:nvSpPr>
                <xdr:spPr>
                  <a:xfrm>
                    <a:off x="5985725" y="1892729"/>
                    <a:ext cx="510889" cy="400436"/>
                  </a:xfrm>
                  <a:prstGeom prst="line">
                    <a:avLst/>
                  </a:prstGeom>
                  <a:noFill/>
                  <a:ln w="6350" cap="flat">
                    <a:solidFill>
                      <a:srgbClr val="000000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69" name="Shape 8">
                    <a:extLst>
                      <a:ext uri="{FF2B5EF4-FFF2-40B4-BE49-F238E27FC236}">
                        <a16:creationId xmlns:a16="http://schemas.microsoft.com/office/drawing/2014/main" id="{00000000-0008-0000-0200-0000D5010000}"/>
                      </a:ext>
                    </a:extLst>
                  </xdr:cNvPr>
                  <xdr:cNvSpPr/>
                </xdr:nvSpPr>
                <xdr:spPr>
                  <a:xfrm>
                    <a:off x="6065923" y="2177865"/>
                    <a:ext cx="140766" cy="8190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21600" h="21600" extrusionOk="0">
                        <a:moveTo>
                          <a:pt x="0" y="19200"/>
                        </a:moveTo>
                        <a:cubicBezTo>
                          <a:pt x="2057" y="9600"/>
                          <a:pt x="5143" y="0"/>
                          <a:pt x="7200" y="0"/>
                        </a:cubicBezTo>
                        <a:cubicBezTo>
                          <a:pt x="9257" y="0"/>
                          <a:pt x="12343" y="21600"/>
                          <a:pt x="14400" y="21600"/>
                        </a:cubicBezTo>
                        <a:cubicBezTo>
                          <a:pt x="16457" y="21600"/>
                          <a:pt x="20571" y="4800"/>
                          <a:pt x="21600" y="2400"/>
                        </a:cubicBezTo>
                      </a:path>
                    </a:pathLst>
                  </a:cu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grpSp>
                <xdr:nvGrpSpPr>
                  <xdr:cNvPr id="470" name="Group 469">
                    <a:extLst>
                      <a:ext uri="{FF2B5EF4-FFF2-40B4-BE49-F238E27FC236}">
                        <a16:creationId xmlns:a16="http://schemas.microsoft.com/office/drawing/2014/main" id="{00000000-0008-0000-0200-0000D6010000}"/>
                      </a:ext>
                    </a:extLst>
                  </xdr:cNvPr>
                  <xdr:cNvGrpSpPr/>
                </xdr:nvGrpSpPr>
                <xdr:grpSpPr>
                  <a:xfrm>
                    <a:off x="5976919" y="875457"/>
                    <a:ext cx="528506" cy="1415685"/>
                    <a:chOff x="5976919" y="875457"/>
                    <a:chExt cx="528506" cy="1415685"/>
                  </a:xfrm>
                </xdr:grpSpPr>
                <xdr:sp macro="" textlink="">
                  <xdr:nvSpPr>
                    <xdr:cNvPr id="471" name="Shape 7">
                      <a:extLst>
                        <a:ext uri="{FF2B5EF4-FFF2-40B4-BE49-F238E27FC236}">
                          <a16:creationId xmlns:a16="http://schemas.microsoft.com/office/drawing/2014/main" id="{00000000-0008-0000-0200-0000D7010000}"/>
                        </a:ext>
                      </a:extLst>
                    </xdr:cNvPr>
                    <xdr:cNvSpPr/>
                  </xdr:nvSpPr>
                  <xdr:spPr>
                    <a:xfrm>
                      <a:off x="6275482" y="2006159"/>
                      <a:ext cx="153979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472" name="Group 471">
                      <a:extLst>
                        <a:ext uri="{FF2B5EF4-FFF2-40B4-BE49-F238E27FC236}">
                          <a16:creationId xmlns:a16="http://schemas.microsoft.com/office/drawing/2014/main" id="{00000000-0008-0000-0200-0000D8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474" name="Rectangle 473">
                        <a:extLst>
                          <a:ext uri="{FF2B5EF4-FFF2-40B4-BE49-F238E27FC236}">
                            <a16:creationId xmlns:a16="http://schemas.microsoft.com/office/drawing/2014/main" id="{00000000-0008-0000-0200-0000DA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76919" y="1886661"/>
                        <a:ext cx="528506" cy="404481"/>
                      </a:xfrm>
                      <a:prstGeom prst="rect">
                        <a:avLst/>
                      </a:prstGeom>
                      <a:noFill/>
                      <a:ln w="6350">
                        <a:solidFill>
                          <a:schemeClr val="tx1"/>
                        </a:solidFill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rot="0" spcFirstLastPara="1" vertOverflow="overflow" horzOverflow="overflow" vert="horz" wrap="square" lIns="50800" tIns="50800" rIns="50800" bIns="50800" numCol="1" spcCol="38100" rtlCol="0" anchor="ctr">
                        <a:noAutofit/>
                      </a:bodyPr>
                      <a:lstStyle/>
                      <a:p>
                        <a:pPr marL="0" marR="0" indent="0" algn="ctr" defTabSz="457200" rtl="0" fontAlgn="auto" latinLnBrk="1" hangingPunct="0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</a:pPr>
                        <a:endParaRPr kumimoji="0" lang="en-GB" sz="1200" b="0" i="0" u="none" strike="noStrike" cap="none" spc="0" normalizeH="0" baseline="0">
                          <a:ln>
                            <a:noFill/>
                          </a:ln>
                          <a:solidFill>
                            <a:srgbClr val="FFFFFF"/>
                          </a:solidFill>
                          <a:effectLst>
                            <a:outerShdw blurRad="25400" dist="23998" dir="2700000" rotWithShape="0">
                              <a:srgbClr val="000000">
                                <a:alpha val="31034"/>
                              </a:srgbClr>
                            </a:outerShdw>
                          </a:effectLst>
                          <a:uFillTx/>
                          <a:latin typeface="+mn-lt"/>
                          <a:ea typeface="+mn-ea"/>
                          <a:cs typeface="+mn-cs"/>
                          <a:sym typeface="Helvetica"/>
                        </a:endParaRPr>
                      </a:p>
                    </xdr:txBody>
                  </xdr:sp>
                  <xdr:grpSp>
                    <xdr:nvGrpSpPr>
                      <xdr:cNvPr id="475" name="Group 474">
                        <a:extLst>
                          <a:ext uri="{FF2B5EF4-FFF2-40B4-BE49-F238E27FC236}">
                            <a16:creationId xmlns:a16="http://schemas.microsoft.com/office/drawing/2014/main" id="{00000000-0008-0000-0200-0000DB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22" y="875457"/>
                        <a:ext cx="520060" cy="1014094"/>
                        <a:chOff x="5976922" y="875457"/>
                        <a:chExt cx="520060" cy="1014094"/>
                      </a:xfrm>
                    </xdr:grpSpPr>
                    <xdr:sp macro="" textlink="">
                      <xdr:nvSpPr>
                        <xdr:cNvPr id="476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DC010000}"/>
                            </a:ext>
                          </a:extLst>
                        </xdr:cNvPr>
                        <xdr:cNvSpPr/>
                      </xdr:nvSpPr>
                      <xdr:spPr>
                        <a:xfrm flipH="1" flipV="1">
                          <a:off x="5976923" y="875457"/>
                          <a:ext cx="254940" cy="297419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sp macro="" textlink="">
                      <xdr:nvSpPr>
                        <xdr:cNvPr id="477" name="Rectangle 476">
                          <a:extLst>
                            <a:ext uri="{FF2B5EF4-FFF2-40B4-BE49-F238E27FC236}">
                              <a16:creationId xmlns:a16="http://schemas.microsoft.com/office/drawing/2014/main" id="{00000000-0008-0000-0200-0000DD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22" y="878621"/>
                          <a:ext cx="511627" cy="805473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GB" sz="1100"/>
                        </a:p>
                      </xdr:txBody>
                    </xdr:sp>
                    <xdr:sp macro="" textlink="">
                      <xdr:nvSpPr>
                        <xdr:cNvPr id="478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DE010000}"/>
                            </a:ext>
                          </a:extLst>
                        </xdr:cNvPr>
                        <xdr:cNvSpPr/>
                      </xdr:nvSpPr>
                      <xdr:spPr>
                        <a:xfrm rot="5040000" flipH="1" flipV="1">
                          <a:off x="6220345" y="891428"/>
                          <a:ext cx="279414" cy="273861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cxnSp macro="">
                      <xdr:nvCxnSpPr>
                        <xdr:cNvPr id="479" name="Straight Connector 478">
                          <a:extLst>
                            <a:ext uri="{FF2B5EF4-FFF2-40B4-BE49-F238E27FC236}">
                              <a16:creationId xmlns:a16="http://schemas.microsoft.com/office/drawing/2014/main" id="{00000000-0008-0000-0200-0000DF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143027" y="1684419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480" name="Straight Connector 479">
                          <a:extLst>
                            <a:ext uri="{FF2B5EF4-FFF2-40B4-BE49-F238E27FC236}">
                              <a16:creationId xmlns:a16="http://schemas.microsoft.com/office/drawing/2014/main" id="{00000000-0008-0000-0200-0000E0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327249" y="1687310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</xdr:grpSp>
                </xdr:grpSp>
                <xdr:sp macro="" textlink="">
                  <xdr:nvSpPr>
                    <xdr:cNvPr id="473" name="Shape 6">
                      <a:extLst>
                        <a:ext uri="{FF2B5EF4-FFF2-40B4-BE49-F238E27FC236}">
                          <a16:creationId xmlns:a16="http://schemas.microsoft.com/office/drawing/2014/main" id="{00000000-0008-0000-0200-0000D9010000}"/>
                        </a:ext>
                      </a:extLst>
                    </xdr:cNvPr>
                    <xdr:cNvSpPr/>
                  </xdr:nvSpPr>
                  <xdr:spPr>
                    <a:xfrm>
                      <a:off x="6287662" y="1956312"/>
                      <a:ext cx="147372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dash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grpSp>
              <xdr:nvGrpSpPr>
                <xdr:cNvPr id="451" name="Group 450">
                  <a:extLst>
                    <a:ext uri="{FF2B5EF4-FFF2-40B4-BE49-F238E27FC236}">
                      <a16:creationId xmlns:a16="http://schemas.microsoft.com/office/drawing/2014/main" id="{00000000-0008-0000-0200-0000C3010000}"/>
                    </a:ext>
                  </a:extLst>
                </xdr:cNvPr>
                <xdr:cNvGrpSpPr/>
              </xdr:nvGrpSpPr>
              <xdr:grpSpPr>
                <a:xfrm>
                  <a:off x="10268085" y="3850532"/>
                  <a:ext cx="359570" cy="964540"/>
                  <a:chOff x="5976919" y="875457"/>
                  <a:chExt cx="528506" cy="1417708"/>
                </a:xfrm>
              </xdr:grpSpPr>
              <xdr:sp macro="" textlink="">
                <xdr:nvSpPr>
                  <xdr:cNvPr id="455" name="Shape 5">
                    <a:extLst>
                      <a:ext uri="{FF2B5EF4-FFF2-40B4-BE49-F238E27FC236}">
                        <a16:creationId xmlns:a16="http://schemas.microsoft.com/office/drawing/2014/main" id="{00000000-0008-0000-0200-0000C7010000}"/>
                      </a:ext>
                    </a:extLst>
                  </xdr:cNvPr>
                  <xdr:cNvSpPr/>
                </xdr:nvSpPr>
                <xdr:spPr>
                  <a:xfrm>
                    <a:off x="5985725" y="1892729"/>
                    <a:ext cx="510889" cy="400436"/>
                  </a:xfrm>
                  <a:prstGeom prst="line">
                    <a:avLst/>
                  </a:prstGeom>
                  <a:noFill/>
                  <a:ln w="6350" cap="flat">
                    <a:solidFill>
                      <a:srgbClr val="000000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56" name="Shape 8">
                    <a:extLst>
                      <a:ext uri="{FF2B5EF4-FFF2-40B4-BE49-F238E27FC236}">
                        <a16:creationId xmlns:a16="http://schemas.microsoft.com/office/drawing/2014/main" id="{00000000-0008-0000-0200-0000C8010000}"/>
                      </a:ext>
                    </a:extLst>
                  </xdr:cNvPr>
                  <xdr:cNvSpPr/>
                </xdr:nvSpPr>
                <xdr:spPr>
                  <a:xfrm>
                    <a:off x="6065923" y="2177865"/>
                    <a:ext cx="140766" cy="8190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21600" h="21600" extrusionOk="0">
                        <a:moveTo>
                          <a:pt x="0" y="19200"/>
                        </a:moveTo>
                        <a:cubicBezTo>
                          <a:pt x="2057" y="9600"/>
                          <a:pt x="5143" y="0"/>
                          <a:pt x="7200" y="0"/>
                        </a:cubicBezTo>
                        <a:cubicBezTo>
                          <a:pt x="9257" y="0"/>
                          <a:pt x="12343" y="21600"/>
                          <a:pt x="14400" y="21600"/>
                        </a:cubicBezTo>
                        <a:cubicBezTo>
                          <a:pt x="16457" y="21600"/>
                          <a:pt x="20571" y="4800"/>
                          <a:pt x="21600" y="2400"/>
                        </a:cubicBezTo>
                      </a:path>
                    </a:pathLst>
                  </a:cu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grpSp>
                <xdr:nvGrpSpPr>
                  <xdr:cNvPr id="457" name="Group 456">
                    <a:extLst>
                      <a:ext uri="{FF2B5EF4-FFF2-40B4-BE49-F238E27FC236}">
                        <a16:creationId xmlns:a16="http://schemas.microsoft.com/office/drawing/2014/main" id="{00000000-0008-0000-0200-0000C9010000}"/>
                      </a:ext>
                    </a:extLst>
                  </xdr:cNvPr>
                  <xdr:cNvGrpSpPr/>
                </xdr:nvGrpSpPr>
                <xdr:grpSpPr>
                  <a:xfrm>
                    <a:off x="5976919" y="875457"/>
                    <a:ext cx="528506" cy="1415685"/>
                    <a:chOff x="5976919" y="875457"/>
                    <a:chExt cx="528506" cy="1415685"/>
                  </a:xfrm>
                </xdr:grpSpPr>
                <xdr:sp macro="" textlink="">
                  <xdr:nvSpPr>
                    <xdr:cNvPr id="458" name="Shape 7">
                      <a:extLst>
                        <a:ext uri="{FF2B5EF4-FFF2-40B4-BE49-F238E27FC236}">
                          <a16:creationId xmlns:a16="http://schemas.microsoft.com/office/drawing/2014/main" id="{00000000-0008-0000-0200-0000CA010000}"/>
                        </a:ext>
                      </a:extLst>
                    </xdr:cNvPr>
                    <xdr:cNvSpPr/>
                  </xdr:nvSpPr>
                  <xdr:spPr>
                    <a:xfrm>
                      <a:off x="6275482" y="2006159"/>
                      <a:ext cx="153979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459" name="Group 458">
                      <a:extLst>
                        <a:ext uri="{FF2B5EF4-FFF2-40B4-BE49-F238E27FC236}">
                          <a16:creationId xmlns:a16="http://schemas.microsoft.com/office/drawing/2014/main" id="{00000000-0008-0000-0200-0000CB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461" name="Rectangle 460">
                        <a:extLst>
                          <a:ext uri="{FF2B5EF4-FFF2-40B4-BE49-F238E27FC236}">
                            <a16:creationId xmlns:a16="http://schemas.microsoft.com/office/drawing/2014/main" id="{00000000-0008-0000-0200-0000CD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76919" y="1886661"/>
                        <a:ext cx="528506" cy="404481"/>
                      </a:xfrm>
                      <a:prstGeom prst="rect">
                        <a:avLst/>
                      </a:prstGeom>
                      <a:noFill/>
                      <a:ln w="6350">
                        <a:solidFill>
                          <a:schemeClr val="tx1"/>
                        </a:solidFill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rot="0" spcFirstLastPara="1" vertOverflow="overflow" horzOverflow="overflow" vert="horz" wrap="square" lIns="50800" tIns="50800" rIns="50800" bIns="50800" numCol="1" spcCol="38100" rtlCol="0" anchor="ctr">
                        <a:noAutofit/>
                      </a:bodyPr>
                      <a:lstStyle/>
                      <a:p>
                        <a:pPr marL="0" marR="0" indent="0" algn="ctr" defTabSz="457200" rtl="0" fontAlgn="auto" latinLnBrk="1" hangingPunct="0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</a:pPr>
                        <a:endParaRPr kumimoji="0" lang="en-GB" sz="1200" b="0" i="0" u="none" strike="noStrike" cap="none" spc="0" normalizeH="0" baseline="0">
                          <a:ln>
                            <a:noFill/>
                          </a:ln>
                          <a:solidFill>
                            <a:srgbClr val="FFFFFF"/>
                          </a:solidFill>
                          <a:effectLst>
                            <a:outerShdw blurRad="25400" dist="23998" dir="2700000" rotWithShape="0">
                              <a:srgbClr val="000000">
                                <a:alpha val="31034"/>
                              </a:srgbClr>
                            </a:outerShdw>
                          </a:effectLst>
                          <a:uFillTx/>
                          <a:latin typeface="+mn-lt"/>
                          <a:ea typeface="+mn-ea"/>
                          <a:cs typeface="+mn-cs"/>
                          <a:sym typeface="Helvetica"/>
                        </a:endParaRPr>
                      </a:p>
                    </xdr:txBody>
                  </xdr:sp>
                  <xdr:grpSp>
                    <xdr:nvGrpSpPr>
                      <xdr:cNvPr id="462" name="Group 461">
                        <a:extLst>
                          <a:ext uri="{FF2B5EF4-FFF2-40B4-BE49-F238E27FC236}">
                            <a16:creationId xmlns:a16="http://schemas.microsoft.com/office/drawing/2014/main" id="{00000000-0008-0000-0200-0000CE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22" y="875457"/>
                        <a:ext cx="520060" cy="1014094"/>
                        <a:chOff x="5976922" y="875457"/>
                        <a:chExt cx="520060" cy="1014094"/>
                      </a:xfrm>
                    </xdr:grpSpPr>
                    <xdr:sp macro="" textlink="">
                      <xdr:nvSpPr>
                        <xdr:cNvPr id="463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CF010000}"/>
                            </a:ext>
                          </a:extLst>
                        </xdr:cNvPr>
                        <xdr:cNvSpPr/>
                      </xdr:nvSpPr>
                      <xdr:spPr>
                        <a:xfrm flipH="1" flipV="1">
                          <a:off x="5976923" y="875457"/>
                          <a:ext cx="254940" cy="297419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sp macro="" textlink="">
                      <xdr:nvSpPr>
                        <xdr:cNvPr id="464" name="Rectangle 463">
                          <a:extLst>
                            <a:ext uri="{FF2B5EF4-FFF2-40B4-BE49-F238E27FC236}">
                              <a16:creationId xmlns:a16="http://schemas.microsoft.com/office/drawing/2014/main" id="{00000000-0008-0000-0200-0000D0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22" y="878621"/>
                          <a:ext cx="511627" cy="805473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GB" sz="1100"/>
                        </a:p>
                      </xdr:txBody>
                    </xdr:sp>
                    <xdr:sp macro="" textlink="">
                      <xdr:nvSpPr>
                        <xdr:cNvPr id="465" name="Shape 46">
                          <a:extLst>
                            <a:ext uri="{FF2B5EF4-FFF2-40B4-BE49-F238E27FC236}">
                              <a16:creationId xmlns:a16="http://schemas.microsoft.com/office/drawing/2014/main" id="{00000000-0008-0000-0200-0000D1010000}"/>
                            </a:ext>
                          </a:extLst>
                        </xdr:cNvPr>
                        <xdr:cNvSpPr/>
                      </xdr:nvSpPr>
                      <xdr:spPr>
                        <a:xfrm rot="5040000" flipH="1" flipV="1">
                          <a:off x="6220345" y="891428"/>
                          <a:ext cx="279414" cy="273861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cxnSp macro="">
                      <xdr:nvCxnSpPr>
                        <xdr:cNvPr id="466" name="Straight Connector 465">
                          <a:extLst>
                            <a:ext uri="{FF2B5EF4-FFF2-40B4-BE49-F238E27FC236}">
                              <a16:creationId xmlns:a16="http://schemas.microsoft.com/office/drawing/2014/main" id="{00000000-0008-0000-0200-0000D2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143027" y="1684419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467" name="Straight Connector 466">
                          <a:extLst>
                            <a:ext uri="{FF2B5EF4-FFF2-40B4-BE49-F238E27FC236}">
                              <a16:creationId xmlns:a16="http://schemas.microsoft.com/office/drawing/2014/main" id="{00000000-0008-0000-0200-0000D3010000}"/>
                            </a:ext>
                          </a:extLst>
                        </xdr:cNvPr>
                        <xdr:cNvCxnSpPr/>
                      </xdr:nvCxnSpPr>
                      <xdr:spPr>
                        <a:xfrm>
                          <a:off x="6327249" y="1687310"/>
                          <a:ext cx="0" cy="202241"/>
                        </a:xfrm>
                        <a:prstGeom prst="line">
                          <a:avLst/>
                        </a:prstGeom>
                        <a:ln>
                          <a:solidFill>
                            <a:schemeClr val="tx1"/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</xdr:grpSp>
                </xdr:grpSp>
                <xdr:sp macro="" textlink="">
                  <xdr:nvSpPr>
                    <xdr:cNvPr id="460" name="Shape 6">
                      <a:extLst>
                        <a:ext uri="{FF2B5EF4-FFF2-40B4-BE49-F238E27FC236}">
                          <a16:creationId xmlns:a16="http://schemas.microsoft.com/office/drawing/2014/main" id="{00000000-0008-0000-0200-0000CC010000}"/>
                        </a:ext>
                      </a:extLst>
                    </xdr:cNvPr>
                    <xdr:cNvSpPr/>
                  </xdr:nvSpPr>
                  <xdr:spPr>
                    <a:xfrm>
                      <a:off x="6287662" y="1956312"/>
                      <a:ext cx="147372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dash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sp macro="" textlink="">
              <xdr:nvSpPr>
                <xdr:cNvPr id="452" name="Shape 27">
                  <a:extLst>
                    <a:ext uri="{FF2B5EF4-FFF2-40B4-BE49-F238E27FC236}">
                      <a16:creationId xmlns:a16="http://schemas.microsoft.com/office/drawing/2014/main" id="{00000000-0008-0000-0200-0000C4010000}"/>
                    </a:ext>
                  </a:extLst>
                </xdr:cNvPr>
                <xdr:cNvSpPr/>
              </xdr:nvSpPr>
              <xdr:spPr>
                <a:xfrm>
                  <a:off x="10638097" y="4212580"/>
                  <a:ext cx="75217" cy="80841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53" name="Shape 27">
                  <a:extLst>
                    <a:ext uri="{FF2B5EF4-FFF2-40B4-BE49-F238E27FC236}">
                      <a16:creationId xmlns:a16="http://schemas.microsoft.com/office/drawing/2014/main" id="{00000000-0008-0000-0200-0000C5010000}"/>
                    </a:ext>
                  </a:extLst>
                </xdr:cNvPr>
                <xdr:cNvSpPr/>
              </xdr:nvSpPr>
              <xdr:spPr>
                <a:xfrm>
                  <a:off x="10763475" y="4216361"/>
                  <a:ext cx="75217" cy="80841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54" name="Shape 27">
                  <a:extLst>
                    <a:ext uri="{FF2B5EF4-FFF2-40B4-BE49-F238E27FC236}">
                      <a16:creationId xmlns:a16="http://schemas.microsoft.com/office/drawing/2014/main" id="{00000000-0008-0000-0200-0000C6010000}"/>
                    </a:ext>
                  </a:extLst>
                </xdr:cNvPr>
                <xdr:cNvSpPr/>
              </xdr:nvSpPr>
              <xdr:spPr>
                <a:xfrm>
                  <a:off x="10902364" y="4220140"/>
                  <a:ext cx="75217" cy="80841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445" name="Straight Connector 444">
                <a:extLst>
                  <a:ext uri="{FF2B5EF4-FFF2-40B4-BE49-F238E27FC236}">
                    <a16:creationId xmlns:a16="http://schemas.microsoft.com/office/drawing/2014/main" id="{00000000-0008-0000-0200-0000BD010000}"/>
                  </a:ext>
                </a:extLst>
              </xdr:cNvPr>
              <xdr:cNvCxnSpPr/>
            </xdr:nvCxnSpPr>
            <xdr:spPr>
              <a:xfrm>
                <a:off x="8397889" y="5075080"/>
                <a:ext cx="3664395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46" name="Straight Connector 445">
                <a:extLst>
                  <a:ext uri="{FF2B5EF4-FFF2-40B4-BE49-F238E27FC236}">
                    <a16:creationId xmlns:a16="http://schemas.microsoft.com/office/drawing/2014/main" id="{00000000-0008-0000-0200-0000BE010000}"/>
                  </a:ext>
                </a:extLst>
              </xdr:cNvPr>
              <xdr:cNvCxnSpPr/>
            </xdr:nvCxnSpPr>
            <xdr:spPr>
              <a:xfrm>
                <a:off x="9939320" y="4810832"/>
                <a:ext cx="0" cy="25943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47" name="Straight Connector 446">
                <a:extLst>
                  <a:ext uri="{FF2B5EF4-FFF2-40B4-BE49-F238E27FC236}">
                    <a16:creationId xmlns:a16="http://schemas.microsoft.com/office/drawing/2014/main" id="{00000000-0008-0000-0200-0000BF010000}"/>
                  </a:ext>
                </a:extLst>
              </xdr:cNvPr>
              <xdr:cNvCxnSpPr/>
            </xdr:nvCxnSpPr>
            <xdr:spPr>
              <a:xfrm>
                <a:off x="10442999" y="4814611"/>
                <a:ext cx="0" cy="25943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48" name="Straight Connector 447">
                <a:extLst>
                  <a:ext uri="{FF2B5EF4-FFF2-40B4-BE49-F238E27FC236}">
                    <a16:creationId xmlns:a16="http://schemas.microsoft.com/office/drawing/2014/main" id="{00000000-0008-0000-0200-0000C0010000}"/>
                  </a:ext>
                </a:extLst>
              </xdr:cNvPr>
              <xdr:cNvCxnSpPr/>
            </xdr:nvCxnSpPr>
            <xdr:spPr>
              <a:xfrm>
                <a:off x="11230405" y="4818392"/>
                <a:ext cx="0" cy="25943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sp macro="" textlink="">
        <xdr:nvSpPr>
          <xdr:cNvPr id="440" name="TextBox 439">
            <a:extLst>
              <a:ext uri="{FF2B5EF4-FFF2-40B4-BE49-F238E27FC236}">
                <a16:creationId xmlns:a16="http://schemas.microsoft.com/office/drawing/2014/main" id="{00000000-0008-0000-0200-0000B8010000}"/>
              </a:ext>
            </a:extLst>
          </xdr:cNvPr>
          <xdr:cNvSpPr txBox="1"/>
        </xdr:nvSpPr>
        <xdr:spPr>
          <a:xfrm>
            <a:off x="7160142" y="8044101"/>
            <a:ext cx="701161" cy="375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800"/>
              <a:t>Q-Cable</a:t>
            </a:r>
          </a:p>
        </xdr:txBody>
      </xdr:sp>
    </xdr:grpSp>
    <xdr:clientData/>
  </xdr:twoCellAnchor>
  <xdr:twoCellAnchor>
    <xdr:from>
      <xdr:col>40</xdr:col>
      <xdr:colOff>27787</xdr:colOff>
      <xdr:row>39</xdr:row>
      <xdr:rowOff>55391</xdr:rowOff>
    </xdr:from>
    <xdr:to>
      <xdr:col>42</xdr:col>
      <xdr:colOff>237335</xdr:colOff>
      <xdr:row>41</xdr:row>
      <xdr:rowOff>20813</xdr:rowOff>
    </xdr:to>
    <xdr:sp macro="" textlink="">
      <xdr:nvSpPr>
        <xdr:cNvPr id="441" name="TboxL2S1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 txBox="1"/>
      </xdr:nvSpPr>
      <xdr:spPr>
        <a:xfrm>
          <a:off x="9860045" y="8044101"/>
          <a:ext cx="701161" cy="3750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L2</a:t>
          </a:r>
        </a:p>
      </xdr:txBody>
    </xdr:sp>
    <xdr:clientData/>
  </xdr:twoCellAnchor>
  <xdr:twoCellAnchor>
    <xdr:from>
      <xdr:col>28</xdr:col>
      <xdr:colOff>205621</xdr:colOff>
      <xdr:row>27</xdr:row>
      <xdr:rowOff>103414</xdr:rowOff>
    </xdr:from>
    <xdr:to>
      <xdr:col>43</xdr:col>
      <xdr:colOff>220740</xdr:colOff>
      <xdr:row>48</xdr:row>
      <xdr:rowOff>142023</xdr:rowOff>
    </xdr:to>
    <xdr:sp macro="" textlink="">
      <xdr:nvSpPr>
        <xdr:cNvPr id="494" name="Dash1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/>
      </xdr:nvSpPr>
      <xdr:spPr>
        <a:xfrm>
          <a:off x="7317621" y="5589814"/>
          <a:ext cx="3825119" cy="4305809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43</xdr:col>
      <xdr:colOff>23858</xdr:colOff>
      <xdr:row>48</xdr:row>
      <xdr:rowOff>80386</xdr:rowOff>
    </xdr:from>
    <xdr:to>
      <xdr:col>44</xdr:col>
      <xdr:colOff>173427</xdr:colOff>
      <xdr:row>50</xdr:row>
      <xdr:rowOff>92459</xdr:rowOff>
    </xdr:to>
    <xdr:grpSp>
      <xdr:nvGrpSpPr>
        <xdr:cNvPr id="495" name="Ground1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GrpSpPr/>
      </xdr:nvGrpSpPr>
      <xdr:grpSpPr>
        <a:xfrm>
          <a:off x="11209039" y="9628338"/>
          <a:ext cx="409689" cy="409904"/>
          <a:chOff x="10160000" y="2820276"/>
          <a:chExt cx="508000" cy="401148"/>
        </a:xfrm>
      </xdr:grpSpPr>
      <xdr:grpSp>
        <xdr:nvGrpSpPr>
          <xdr:cNvPr id="496" name="Group 495">
            <a:extLst>
              <a:ext uri="{FF2B5EF4-FFF2-40B4-BE49-F238E27FC236}">
                <a16:creationId xmlns:a16="http://schemas.microsoft.com/office/drawing/2014/main" id="{00000000-0008-0000-0200-0000F001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498" name="Straight Connector 497">
              <a:extLst>
                <a:ext uri="{FF2B5EF4-FFF2-40B4-BE49-F238E27FC236}">
                  <a16:creationId xmlns:a16="http://schemas.microsoft.com/office/drawing/2014/main" id="{00000000-0008-0000-0200-0000F201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9" name="Straight Connector 498">
              <a:extLst>
                <a:ext uri="{FF2B5EF4-FFF2-40B4-BE49-F238E27FC236}">
                  <a16:creationId xmlns:a16="http://schemas.microsoft.com/office/drawing/2014/main" id="{00000000-0008-0000-0200-0000F301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00" name="Straight Connector 499">
              <a:extLst>
                <a:ext uri="{FF2B5EF4-FFF2-40B4-BE49-F238E27FC236}">
                  <a16:creationId xmlns:a16="http://schemas.microsoft.com/office/drawing/2014/main" id="{00000000-0008-0000-0200-0000F401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97" name="Straight Connector 496">
            <a:extLst>
              <a:ext uri="{FF2B5EF4-FFF2-40B4-BE49-F238E27FC236}">
                <a16:creationId xmlns:a16="http://schemas.microsoft.com/office/drawing/2014/main" id="{00000000-0008-0000-0200-0000F101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18</xdr:col>
      <xdr:colOff>50800</xdr:colOff>
      <xdr:row>17</xdr:row>
      <xdr:rowOff>25400</xdr:rowOff>
    </xdr:from>
    <xdr:to>
      <xdr:col>22</xdr:col>
      <xdr:colOff>64505</xdr:colOff>
      <xdr:row>19</xdr:row>
      <xdr:rowOff>4388</xdr:rowOff>
    </xdr:to>
    <xdr:sp macro="" textlink="">
      <xdr:nvSpPr>
        <xdr:cNvPr id="501" name="TextBox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22800" y="3479800"/>
          <a:ext cx="1029705" cy="3853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900"/>
            <a:t>Consumption CT</a:t>
          </a:r>
        </a:p>
      </xdr:txBody>
    </xdr:sp>
    <xdr:clientData/>
  </xdr:twoCellAnchor>
  <xdr:twoCellAnchor>
    <xdr:from>
      <xdr:col>34</xdr:col>
      <xdr:colOff>214358</xdr:colOff>
      <xdr:row>4</xdr:row>
      <xdr:rowOff>42286</xdr:rowOff>
    </xdr:from>
    <xdr:to>
      <xdr:col>65</xdr:col>
      <xdr:colOff>55305</xdr:colOff>
      <xdr:row>15</xdr:row>
      <xdr:rowOff>166465</xdr:rowOff>
    </xdr:to>
    <xdr:grpSp>
      <xdr:nvGrpSpPr>
        <xdr:cNvPr id="507" name="Bdiag">
          <a:extLst>
            <a:ext uri="{FF2B5EF4-FFF2-40B4-BE49-F238E27FC236}">
              <a16:creationId xmlns:a16="http://schemas.microsoft.com/office/drawing/2014/main" id="{00000000-0008-0000-0200-0000FB010000}"/>
            </a:ext>
          </a:extLst>
        </xdr:cNvPr>
        <xdr:cNvGrpSpPr/>
      </xdr:nvGrpSpPr>
      <xdr:grpSpPr>
        <a:xfrm>
          <a:off x="9058454" y="837949"/>
          <a:ext cx="7904682" cy="2312251"/>
          <a:chOff x="8916004" y="866017"/>
          <a:chExt cx="7714947" cy="2359379"/>
        </a:xfrm>
      </xdr:grpSpPr>
      <xdr:grpSp>
        <xdr:nvGrpSpPr>
          <xdr:cNvPr id="508" name="Group 507">
            <a:extLst>
              <a:ext uri="{FF2B5EF4-FFF2-40B4-BE49-F238E27FC236}">
                <a16:creationId xmlns:a16="http://schemas.microsoft.com/office/drawing/2014/main" id="{00000000-0008-0000-0200-0000FC010000}"/>
              </a:ext>
            </a:extLst>
          </xdr:cNvPr>
          <xdr:cNvGrpSpPr/>
        </xdr:nvGrpSpPr>
        <xdr:grpSpPr>
          <a:xfrm>
            <a:off x="8916004" y="866017"/>
            <a:ext cx="7714947" cy="2359379"/>
            <a:chOff x="8936163" y="3123795"/>
            <a:chExt cx="7714947" cy="2359379"/>
          </a:xfrm>
        </xdr:grpSpPr>
        <xdr:sp macro="" textlink="">
          <xdr:nvSpPr>
            <xdr:cNvPr id="510" name="Rectangle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SpPr/>
          </xdr:nvSpPr>
          <xdr:spPr>
            <a:xfrm>
              <a:off x="9782628" y="4087140"/>
              <a:ext cx="750210" cy="394149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11" name="Rectangle 510">
              <a:extLst>
                <a:ext uri="{FF2B5EF4-FFF2-40B4-BE49-F238E27FC236}">
                  <a16:creationId xmlns:a16="http://schemas.microsoft.com/office/drawing/2014/main" id="{00000000-0008-0000-0200-0000FF010000}"/>
                </a:ext>
              </a:extLst>
            </xdr:cNvPr>
            <xdr:cNvSpPr/>
          </xdr:nvSpPr>
          <xdr:spPr>
            <a:xfrm>
              <a:off x="11124393" y="4078270"/>
              <a:ext cx="750210" cy="394149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12" name="Rectangle 511">
              <a:extLst>
                <a:ext uri="{FF2B5EF4-FFF2-40B4-BE49-F238E27FC236}">
                  <a16:creationId xmlns:a16="http://schemas.microsoft.com/office/drawing/2014/main" id="{00000000-0008-0000-0200-000000020000}"/>
                </a:ext>
              </a:extLst>
            </xdr:cNvPr>
            <xdr:cNvSpPr/>
          </xdr:nvSpPr>
          <xdr:spPr>
            <a:xfrm>
              <a:off x="13131396" y="4069400"/>
              <a:ext cx="750210" cy="394149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13" name="Rectangle 512">
              <a:extLst>
                <a:ext uri="{FF2B5EF4-FFF2-40B4-BE49-F238E27FC236}">
                  <a16:creationId xmlns:a16="http://schemas.microsoft.com/office/drawing/2014/main" id="{00000000-0008-0000-0200-000001020000}"/>
                </a:ext>
              </a:extLst>
            </xdr:cNvPr>
            <xdr:cNvSpPr/>
          </xdr:nvSpPr>
          <xdr:spPr>
            <a:xfrm>
              <a:off x="15178717" y="4040371"/>
              <a:ext cx="750210" cy="394149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grpSp>
          <xdr:nvGrpSpPr>
            <xdr:cNvPr id="514" name="Group 513">
              <a:extLst>
                <a:ext uri="{FF2B5EF4-FFF2-40B4-BE49-F238E27FC236}">
                  <a16:creationId xmlns:a16="http://schemas.microsoft.com/office/drawing/2014/main" id="{00000000-0008-0000-0200-000002020000}"/>
                </a:ext>
              </a:extLst>
            </xdr:cNvPr>
            <xdr:cNvGrpSpPr/>
          </xdr:nvGrpSpPr>
          <xdr:grpSpPr>
            <a:xfrm>
              <a:off x="8936163" y="3123795"/>
              <a:ext cx="7714947" cy="2359379"/>
              <a:chOff x="8956322" y="866018"/>
              <a:chExt cx="7714947" cy="2359379"/>
            </a:xfrm>
          </xdr:grpSpPr>
          <xdr:sp macro="" textlink="">
            <xdr:nvSpPr>
              <xdr:cNvPr id="515" name="Rectangle 514">
                <a:extLst>
                  <a:ext uri="{FF2B5EF4-FFF2-40B4-BE49-F238E27FC236}">
                    <a16:creationId xmlns:a16="http://schemas.microsoft.com/office/drawing/2014/main" id="{00000000-0008-0000-0200-000003020000}"/>
                  </a:ext>
                </a:extLst>
              </xdr:cNvPr>
              <xdr:cNvSpPr/>
            </xdr:nvSpPr>
            <xdr:spPr>
              <a:xfrm>
                <a:off x="8956322" y="866018"/>
                <a:ext cx="7714947" cy="2359379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516" name="Group 515">
                <a:extLst>
                  <a:ext uri="{FF2B5EF4-FFF2-40B4-BE49-F238E27FC236}">
                    <a16:creationId xmlns:a16="http://schemas.microsoft.com/office/drawing/2014/main" id="{00000000-0008-0000-0200-000004020000}"/>
                  </a:ext>
                </a:extLst>
              </xdr:cNvPr>
              <xdr:cNvGrpSpPr/>
            </xdr:nvGrpSpPr>
            <xdr:grpSpPr>
              <a:xfrm>
                <a:off x="9762470" y="1679379"/>
                <a:ext cx="6128573" cy="779986"/>
                <a:chOff x="9762470" y="1679379"/>
                <a:chExt cx="6128573" cy="779986"/>
              </a:xfrm>
            </xdr:grpSpPr>
            <xdr:cxnSp macro="">
              <xdr:nvCxnSpPr>
                <xdr:cNvPr id="517" name="Straight Connector 516">
                  <a:extLst>
                    <a:ext uri="{FF2B5EF4-FFF2-40B4-BE49-F238E27FC236}">
                      <a16:creationId xmlns:a16="http://schemas.microsoft.com/office/drawing/2014/main" id="{00000000-0008-0000-0200-000005020000}"/>
                    </a:ext>
                  </a:extLst>
                </xdr:cNvPr>
                <xdr:cNvCxnSpPr/>
              </xdr:nvCxnSpPr>
              <xdr:spPr>
                <a:xfrm flipV="1">
                  <a:off x="10544387" y="2056696"/>
                  <a:ext cx="583231" cy="1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8" name="Straight Connector 517">
                  <a:extLst>
                    <a:ext uri="{FF2B5EF4-FFF2-40B4-BE49-F238E27FC236}">
                      <a16:creationId xmlns:a16="http://schemas.microsoft.com/office/drawing/2014/main" id="{00000000-0008-0000-0200-000006020000}"/>
                    </a:ext>
                  </a:extLst>
                </xdr:cNvPr>
                <xdr:cNvCxnSpPr/>
              </xdr:nvCxnSpPr>
              <xdr:spPr>
                <a:xfrm flipV="1">
                  <a:off x="11886153" y="2047827"/>
                  <a:ext cx="1237180" cy="1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9" name="Straight Connector 518">
                  <a:extLst>
                    <a:ext uri="{FF2B5EF4-FFF2-40B4-BE49-F238E27FC236}">
                      <a16:creationId xmlns:a16="http://schemas.microsoft.com/office/drawing/2014/main" id="{00000000-0008-0000-0200-000007020000}"/>
                    </a:ext>
                  </a:extLst>
                </xdr:cNvPr>
                <xdr:cNvCxnSpPr/>
              </xdr:nvCxnSpPr>
              <xdr:spPr>
                <a:xfrm flipV="1">
                  <a:off x="13913315" y="2038957"/>
                  <a:ext cx="1237180" cy="1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20" name="TextBox 519">
                  <a:extLst>
                    <a:ext uri="{FF2B5EF4-FFF2-40B4-BE49-F238E27FC236}">
                      <a16:creationId xmlns:a16="http://schemas.microsoft.com/office/drawing/2014/main" id="{00000000-0008-0000-0200-000008020000}"/>
                    </a:ext>
                  </a:extLst>
                </xdr:cNvPr>
                <xdr:cNvSpPr txBox="1"/>
              </xdr:nvSpPr>
              <xdr:spPr>
                <a:xfrm>
                  <a:off x="9762470" y="1889837"/>
                  <a:ext cx="716156" cy="38516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000"/>
                    <a:t>MSB</a:t>
                  </a:r>
                </a:p>
              </xdr:txBody>
            </xdr:sp>
            <xdr:sp macro="" textlink="">
              <xdr:nvSpPr>
                <xdr:cNvPr id="521" name="TextBox 520">
                  <a:extLst>
                    <a:ext uri="{FF2B5EF4-FFF2-40B4-BE49-F238E27FC236}">
                      <a16:creationId xmlns:a16="http://schemas.microsoft.com/office/drawing/2014/main" id="{00000000-0008-0000-0200-000009020000}"/>
                    </a:ext>
                  </a:extLst>
                </xdr:cNvPr>
                <xdr:cNvSpPr txBox="1"/>
              </xdr:nvSpPr>
              <xdr:spPr>
                <a:xfrm>
                  <a:off x="11164711" y="1679379"/>
                  <a:ext cx="716156" cy="77998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000"/>
                    <a:t>PV</a:t>
                  </a:r>
                </a:p>
                <a:p>
                  <a:pPr algn="ctr"/>
                  <a:r>
                    <a:rPr lang="en-GB" sz="1000"/>
                    <a:t>DB</a:t>
                  </a:r>
                </a:p>
              </xdr:txBody>
            </xdr:sp>
            <xdr:sp macro="" textlink="">
              <xdr:nvSpPr>
                <xdr:cNvPr id="522" name="TextBox 521">
                  <a:extLst>
                    <a:ext uri="{FF2B5EF4-FFF2-40B4-BE49-F238E27FC236}">
                      <a16:creationId xmlns:a16="http://schemas.microsoft.com/office/drawing/2014/main" id="{00000000-0008-0000-0200-00000A020000}"/>
                    </a:ext>
                  </a:extLst>
                </xdr:cNvPr>
                <xdr:cNvSpPr txBox="1"/>
              </xdr:nvSpPr>
              <xdr:spPr>
                <a:xfrm>
                  <a:off x="13171714" y="1872096"/>
                  <a:ext cx="703456" cy="38516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000"/>
                    <a:t>Sub</a:t>
                  </a:r>
                  <a:r>
                    <a:rPr lang="en-GB" sz="1000" baseline="0"/>
                    <a:t> 1</a:t>
                  </a:r>
                </a:p>
              </xdr:txBody>
            </xdr:sp>
            <xdr:sp macro="" textlink="">
              <xdr:nvSpPr>
                <xdr:cNvPr id="523" name="TextBox 522">
                  <a:extLst>
                    <a:ext uri="{FF2B5EF4-FFF2-40B4-BE49-F238E27FC236}">
                      <a16:creationId xmlns:a16="http://schemas.microsoft.com/office/drawing/2014/main" id="{00000000-0008-0000-0200-00000B020000}"/>
                    </a:ext>
                  </a:extLst>
                </xdr:cNvPr>
                <xdr:cNvSpPr txBox="1"/>
              </xdr:nvSpPr>
              <xdr:spPr>
                <a:xfrm>
                  <a:off x="15187587" y="1851938"/>
                  <a:ext cx="703456" cy="38516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000"/>
                    <a:t>Sub</a:t>
                  </a:r>
                  <a:r>
                    <a:rPr lang="en-GB" sz="1000" baseline="0"/>
                    <a:t> 2</a:t>
                  </a:r>
                  <a:endParaRPr lang="en-GB" sz="1000"/>
                </a:p>
              </xdr:txBody>
            </xdr:sp>
          </xdr:grpSp>
        </xdr:grpSp>
      </xdr:grpSp>
      <xdr:sp macro="" textlink="">
        <xdr:nvSpPr>
          <xdr:cNvPr id="509" name="TextBox 508">
            <a:extLst>
              <a:ext uri="{FF2B5EF4-FFF2-40B4-BE49-F238E27FC236}">
                <a16:creationId xmlns:a16="http://schemas.microsoft.com/office/drawing/2014/main" id="{00000000-0008-0000-0200-0000FD010000}"/>
              </a:ext>
            </a:extLst>
          </xdr:cNvPr>
          <xdr:cNvSpPr txBox="1"/>
        </xdr:nvSpPr>
        <xdr:spPr>
          <a:xfrm>
            <a:off x="9091587" y="967619"/>
            <a:ext cx="1350635" cy="36285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 b="1" u="sng"/>
              <a:t>Block Diagram</a:t>
            </a:r>
          </a:p>
        </xdr:txBody>
      </xdr:sp>
    </xdr:grpSp>
    <xdr:clientData/>
  </xdr:twoCellAnchor>
  <xdr:twoCellAnchor>
    <xdr:from>
      <xdr:col>12</xdr:col>
      <xdr:colOff>36384</xdr:colOff>
      <xdr:row>17</xdr:row>
      <xdr:rowOff>163744</xdr:rowOff>
    </xdr:from>
    <xdr:to>
      <xdr:col>19</xdr:col>
      <xdr:colOff>77118</xdr:colOff>
      <xdr:row>34</xdr:row>
      <xdr:rowOff>3749</xdr:rowOff>
    </xdr:to>
    <xdr:grpSp>
      <xdr:nvGrpSpPr>
        <xdr:cNvPr id="84" name="XEnvoy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GrpSpPr/>
      </xdr:nvGrpSpPr>
      <xdr:grpSpPr>
        <a:xfrm>
          <a:off x="3157830" y="3545310"/>
          <a:ext cx="1861577" cy="3221572"/>
          <a:chOff x="3135086" y="3502177"/>
          <a:chExt cx="1840051" cy="3180776"/>
        </a:xfrm>
      </xdr:grpSpPr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CxnSpPr/>
        </xdr:nvCxnSpPr>
        <xdr:spPr>
          <a:xfrm>
            <a:off x="4368825" y="5059388"/>
            <a:ext cx="0" cy="68905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Envoy1P2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CxnSpPr/>
        </xdr:nvCxnSpPr>
        <xdr:spPr>
          <a:xfrm flipH="1">
            <a:off x="4232787" y="5294694"/>
            <a:ext cx="260071" cy="17442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87" name="rt j cs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GrpSpPr/>
        </xdr:nvGrpSpPr>
        <xdr:grpSpPr>
          <a:xfrm>
            <a:off x="3135086" y="3502177"/>
            <a:ext cx="1840051" cy="3180776"/>
            <a:chOff x="3135086" y="3502177"/>
            <a:chExt cx="1840051" cy="3180776"/>
          </a:xfrm>
        </xdr:grpSpPr>
        <xdr:sp macro="" textlink="">
          <xdr:nvSpPr>
            <xdr:cNvPr id="88" name="TextBox 87">
              <a:extLst>
                <a:ext uri="{FF2B5EF4-FFF2-40B4-BE49-F238E27FC236}">
                  <a16:creationId xmlns:a16="http://schemas.microsoft.com/office/drawing/2014/main" id="{00000000-0008-0000-0200-000058000000}"/>
                </a:ext>
              </a:extLst>
            </xdr:cNvPr>
            <xdr:cNvSpPr txBox="1"/>
          </xdr:nvSpPr>
          <xdr:spPr>
            <a:xfrm>
              <a:off x="3978156" y="6283248"/>
              <a:ext cx="700372" cy="37158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Envoy</a:t>
              </a:r>
            </a:p>
          </xdr:txBody>
        </xdr:sp>
        <xdr:sp macro="" textlink="">
          <xdr:nvSpPr>
            <xdr:cNvPr id="89" name="Rectangle 88">
              <a:extLst>
                <a:ext uri="{FF2B5EF4-FFF2-40B4-BE49-F238E27FC236}">
                  <a16:creationId xmlns:a16="http://schemas.microsoft.com/office/drawing/2014/main" id="{00000000-0008-0000-0200-000059000000}"/>
                </a:ext>
              </a:extLst>
            </xdr:cNvPr>
            <xdr:cNvSpPr/>
          </xdr:nvSpPr>
          <xdr:spPr>
            <a:xfrm>
              <a:off x="3951122" y="6302425"/>
              <a:ext cx="730919" cy="380528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90" name="Straight Connector 89">
              <a:extLst>
                <a:ext uri="{FF2B5EF4-FFF2-40B4-BE49-F238E27FC236}">
                  <a16:creationId xmlns:a16="http://schemas.microsoft.com/office/drawing/2014/main" id="{00000000-0008-0000-0200-00005A000000}"/>
                </a:ext>
              </a:extLst>
            </xdr:cNvPr>
            <xdr:cNvCxnSpPr/>
          </xdr:nvCxnSpPr>
          <xdr:spPr>
            <a:xfrm>
              <a:off x="4963534" y="3698723"/>
              <a:ext cx="0" cy="2790988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CxnSpPr/>
          </xdr:nvCxnSpPr>
          <xdr:spPr>
            <a:xfrm>
              <a:off x="4694540" y="6487470"/>
              <a:ext cx="265083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92" name="Group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GrpSpPr/>
          </xdr:nvGrpSpPr>
          <xdr:grpSpPr>
            <a:xfrm>
              <a:off x="4320212" y="5744540"/>
              <a:ext cx="272607" cy="568941"/>
              <a:chOff x="3291679" y="5440218"/>
              <a:chExt cx="275787" cy="572328"/>
            </a:xfrm>
          </xdr:grpSpPr>
          <xdr:grpSp>
            <xdr:nvGrpSpPr>
              <xdr:cNvPr id="95" name="Group 94">
                <a:extLst>
                  <a:ext uri="{FF2B5EF4-FFF2-40B4-BE49-F238E27FC236}">
                    <a16:creationId xmlns:a16="http://schemas.microsoft.com/office/drawing/2014/main" id="{00000000-0008-0000-0200-00005F000000}"/>
                  </a:ext>
                </a:extLst>
              </xdr:cNvPr>
              <xdr:cNvGrpSpPr/>
            </xdr:nvGrpSpPr>
            <xdr:grpSpPr>
              <a:xfrm>
                <a:off x="3291679" y="5440218"/>
                <a:ext cx="275787" cy="318559"/>
                <a:chOff x="3291679" y="5440218"/>
                <a:chExt cx="275787" cy="318559"/>
              </a:xfrm>
            </xdr:grpSpPr>
            <xdr:sp macro="" textlink="">
              <xdr:nvSpPr>
                <xdr:cNvPr id="97" name="Shape 27">
                  <a:extLst>
                    <a:ext uri="{FF2B5EF4-FFF2-40B4-BE49-F238E27FC236}">
                      <a16:creationId xmlns:a16="http://schemas.microsoft.com/office/drawing/2014/main" id="{00000000-0008-0000-0200-000061000000}"/>
                    </a:ext>
                  </a:extLst>
                </xdr:cNvPr>
                <xdr:cNvSpPr/>
              </xdr:nvSpPr>
              <xdr:spPr>
                <a:xfrm>
                  <a:off x="3291679" y="5440218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8" name="Shape 27">
                  <a:extLst>
                    <a:ext uri="{FF2B5EF4-FFF2-40B4-BE49-F238E27FC236}">
                      <a16:creationId xmlns:a16="http://schemas.microsoft.com/office/drawing/2014/main" id="{00000000-0008-0000-0200-000062000000}"/>
                    </a:ext>
                  </a:extLst>
                </xdr:cNvPr>
                <xdr:cNvSpPr/>
              </xdr:nvSpPr>
              <xdr:spPr>
                <a:xfrm>
                  <a:off x="3292522" y="5659090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9" name="Shape 26">
                  <a:extLst>
                    <a:ext uri="{FF2B5EF4-FFF2-40B4-BE49-F238E27FC236}">
                      <a16:creationId xmlns:a16="http://schemas.microsoft.com/office/drawing/2014/main" id="{00000000-0008-0000-0200-000063000000}"/>
                    </a:ext>
                  </a:extLst>
                </xdr:cNvPr>
                <xdr:cNvSpPr/>
              </xdr:nvSpPr>
              <xdr:spPr>
                <a:xfrm flipH="1">
                  <a:off x="3354767" y="5472735"/>
                  <a:ext cx="212699" cy="188825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96" name="Straight Connector 95">
                <a:extLst>
                  <a:ext uri="{FF2B5EF4-FFF2-40B4-BE49-F238E27FC236}">
                    <a16:creationId xmlns:a16="http://schemas.microsoft.com/office/drawing/2014/main" id="{00000000-0008-0000-0200-000060000000}"/>
                  </a:ext>
                </a:extLst>
              </xdr:cNvPr>
              <xdr:cNvCxnSpPr/>
            </xdr:nvCxnSpPr>
            <xdr:spPr>
              <a:xfrm>
                <a:off x="3340311" y="5762003"/>
                <a:ext cx="0" cy="250543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/>
          </xdr:nvCxnSpPr>
          <xdr:spPr>
            <a:xfrm>
              <a:off x="3403208" y="3698723"/>
              <a:ext cx="1571929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94" name="bo">
              <a:extLst>
                <a:ext uri="{FF2B5EF4-FFF2-40B4-BE49-F238E27FC236}">
                  <a16:creationId xmlns:a16="http://schemas.microsoft.com/office/drawing/2014/main" id="{00000000-0008-0000-0200-00005E000000}"/>
                </a:ext>
              </a:extLst>
            </xdr:cNvPr>
            <xdr:cNvSpPr/>
          </xdr:nvSpPr>
          <xdr:spPr>
            <a:xfrm>
              <a:off x="3135086" y="3502177"/>
              <a:ext cx="498816" cy="197583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2</xdr:col>
      <xdr:colOff>235631</xdr:colOff>
      <xdr:row>25</xdr:row>
      <xdr:rowOff>165100</xdr:rowOff>
    </xdr:from>
    <xdr:to>
      <xdr:col>18</xdr:col>
      <xdr:colOff>128256</xdr:colOff>
      <xdr:row>66</xdr:row>
      <xdr:rowOff>60677</xdr:rowOff>
    </xdr:to>
    <xdr:grpSp>
      <xdr:nvGrpSpPr>
        <xdr:cNvPr id="535" name="ExtraArray">
          <a:extLst>
            <a:ext uri="{FF2B5EF4-FFF2-40B4-BE49-F238E27FC236}">
              <a16:creationId xmlns:a16="http://schemas.microsoft.com/office/drawing/2014/main" id="{00000000-0008-0000-0200-000017020000}"/>
            </a:ext>
          </a:extLst>
        </xdr:cNvPr>
        <xdr:cNvGrpSpPr/>
      </xdr:nvGrpSpPr>
      <xdr:grpSpPr>
        <a:xfrm>
          <a:off x="755872" y="5137992"/>
          <a:ext cx="4054553" cy="8051119"/>
          <a:chOff x="1927733" y="4432300"/>
          <a:chExt cx="3956599" cy="8226777"/>
        </a:xfrm>
      </xdr:grpSpPr>
      <xdr:grpSp>
        <xdr:nvGrpSpPr>
          <xdr:cNvPr id="536" name="Group 535">
            <a:extLst>
              <a:ext uri="{FF2B5EF4-FFF2-40B4-BE49-F238E27FC236}">
                <a16:creationId xmlns:a16="http://schemas.microsoft.com/office/drawing/2014/main" id="{00000000-0008-0000-0200-000018020000}"/>
              </a:ext>
            </a:extLst>
          </xdr:cNvPr>
          <xdr:cNvGrpSpPr/>
        </xdr:nvGrpSpPr>
        <xdr:grpSpPr>
          <a:xfrm>
            <a:off x="1981200" y="10960100"/>
            <a:ext cx="3705287" cy="1269276"/>
            <a:chOff x="3998020" y="4975411"/>
            <a:chExt cx="3623241" cy="1316399"/>
          </a:xfrm>
        </xdr:grpSpPr>
        <xdr:grpSp>
          <xdr:nvGrpSpPr>
            <xdr:cNvPr id="545" name="Group 544">
              <a:extLst>
                <a:ext uri="{FF2B5EF4-FFF2-40B4-BE49-F238E27FC236}">
                  <a16:creationId xmlns:a16="http://schemas.microsoft.com/office/drawing/2014/main" id="{00000000-0008-0000-0200-00002102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553" name="Group 552">
                <a:extLst>
                  <a:ext uri="{FF2B5EF4-FFF2-40B4-BE49-F238E27FC236}">
                    <a16:creationId xmlns:a16="http://schemas.microsoft.com/office/drawing/2014/main" id="{00000000-0008-0000-0200-00002902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555" name="Shape 5">
                  <a:extLst>
                    <a:ext uri="{FF2B5EF4-FFF2-40B4-BE49-F238E27FC236}">
                      <a16:creationId xmlns:a16="http://schemas.microsoft.com/office/drawing/2014/main" id="{00000000-0008-0000-0200-00002B02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556" name="Shape 6">
                  <a:extLst>
                    <a:ext uri="{FF2B5EF4-FFF2-40B4-BE49-F238E27FC236}">
                      <a16:creationId xmlns:a16="http://schemas.microsoft.com/office/drawing/2014/main" id="{00000000-0008-0000-0200-00002C02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557" name="Shape 7">
                  <a:extLst>
                    <a:ext uri="{FF2B5EF4-FFF2-40B4-BE49-F238E27FC236}">
                      <a16:creationId xmlns:a16="http://schemas.microsoft.com/office/drawing/2014/main" id="{00000000-0008-0000-0200-00002D02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558" name="Shape 8">
                  <a:extLst>
                    <a:ext uri="{FF2B5EF4-FFF2-40B4-BE49-F238E27FC236}">
                      <a16:creationId xmlns:a16="http://schemas.microsoft.com/office/drawing/2014/main" id="{00000000-0008-0000-0200-00002E02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554" name="Rectangle 553">
                <a:extLst>
                  <a:ext uri="{FF2B5EF4-FFF2-40B4-BE49-F238E27FC236}">
                    <a16:creationId xmlns:a16="http://schemas.microsoft.com/office/drawing/2014/main" id="{00000000-0008-0000-0200-00002A02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546" name="Group 545">
              <a:extLst>
                <a:ext uri="{FF2B5EF4-FFF2-40B4-BE49-F238E27FC236}">
                  <a16:creationId xmlns:a16="http://schemas.microsoft.com/office/drawing/2014/main" id="{00000000-0008-0000-0200-000022020000}"/>
                </a:ext>
              </a:extLst>
            </xdr:cNvPr>
            <xdr:cNvGrpSpPr/>
          </xdr:nvGrpSpPr>
          <xdr:grpSpPr>
            <a:xfrm>
              <a:off x="3998020" y="5492101"/>
              <a:ext cx="2859982" cy="564535"/>
              <a:chOff x="5534014" y="6917765"/>
              <a:chExt cx="2851685" cy="545353"/>
            </a:xfrm>
          </xdr:grpSpPr>
          <xdr:sp macro="" textlink="">
            <xdr:nvSpPr>
              <xdr:cNvPr id="547" name="Shape 27">
                <a:extLst>
                  <a:ext uri="{FF2B5EF4-FFF2-40B4-BE49-F238E27FC236}">
                    <a16:creationId xmlns:a16="http://schemas.microsoft.com/office/drawing/2014/main" id="{00000000-0008-0000-0200-00002302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8" name="Shape 27">
                <a:extLst>
                  <a:ext uri="{FF2B5EF4-FFF2-40B4-BE49-F238E27FC236}">
                    <a16:creationId xmlns:a16="http://schemas.microsoft.com/office/drawing/2014/main" id="{00000000-0008-0000-0200-00002402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9" name="Shape 26">
                <a:extLst>
                  <a:ext uri="{FF2B5EF4-FFF2-40B4-BE49-F238E27FC236}">
                    <a16:creationId xmlns:a16="http://schemas.microsoft.com/office/drawing/2014/main" id="{00000000-0008-0000-0200-00002502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550" name="Straight Connector 549">
                <a:extLst>
                  <a:ext uri="{FF2B5EF4-FFF2-40B4-BE49-F238E27FC236}">
                    <a16:creationId xmlns:a16="http://schemas.microsoft.com/office/drawing/2014/main" id="{00000000-0008-0000-0200-000026020000}"/>
                  </a:ext>
                </a:extLst>
              </xdr:cNvPr>
              <xdr:cNvCxnSpPr/>
            </xdr:nvCxnSpPr>
            <xdr:spPr>
              <a:xfrm flipH="1">
                <a:off x="5534014" y="7270910"/>
                <a:ext cx="1585457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51" name="Straight Connector 550">
                <a:extLst>
                  <a:ext uri="{FF2B5EF4-FFF2-40B4-BE49-F238E27FC236}">
                    <a16:creationId xmlns:a16="http://schemas.microsoft.com/office/drawing/2014/main" id="{00000000-0008-0000-0200-00002702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52" name="Rectangle 551">
                <a:extLst>
                  <a:ext uri="{FF2B5EF4-FFF2-40B4-BE49-F238E27FC236}">
                    <a16:creationId xmlns:a16="http://schemas.microsoft.com/office/drawing/2014/main" id="{00000000-0008-0000-0200-00002802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537" name="Group 536">
            <a:extLst>
              <a:ext uri="{FF2B5EF4-FFF2-40B4-BE49-F238E27FC236}">
                <a16:creationId xmlns:a16="http://schemas.microsoft.com/office/drawing/2014/main" id="{00000000-0008-0000-0200-000019020000}"/>
              </a:ext>
            </a:extLst>
          </xdr:cNvPr>
          <xdr:cNvGrpSpPr/>
        </xdr:nvGrpSpPr>
        <xdr:grpSpPr>
          <a:xfrm>
            <a:off x="1927733" y="5053183"/>
            <a:ext cx="269223" cy="6757816"/>
            <a:chOff x="3285898" y="4554138"/>
            <a:chExt cx="275786" cy="6714679"/>
          </a:xfrm>
        </xdr:grpSpPr>
        <xdr:grpSp>
          <xdr:nvGrpSpPr>
            <xdr:cNvPr id="540" name="Group 539">
              <a:extLst>
                <a:ext uri="{FF2B5EF4-FFF2-40B4-BE49-F238E27FC236}">
                  <a16:creationId xmlns:a16="http://schemas.microsoft.com/office/drawing/2014/main" id="{00000000-0008-0000-0200-00001C020000}"/>
                </a:ext>
              </a:extLst>
            </xdr:cNvPr>
            <xdr:cNvGrpSpPr/>
          </xdr:nvGrpSpPr>
          <xdr:grpSpPr>
            <a:xfrm>
              <a:off x="3285898" y="4554138"/>
              <a:ext cx="275786" cy="318559"/>
              <a:chOff x="3285898" y="4554138"/>
              <a:chExt cx="275786" cy="318559"/>
            </a:xfrm>
          </xdr:grpSpPr>
          <xdr:sp macro="" textlink="">
            <xdr:nvSpPr>
              <xdr:cNvPr id="542" name="Shape 27">
                <a:extLst>
                  <a:ext uri="{FF2B5EF4-FFF2-40B4-BE49-F238E27FC236}">
                    <a16:creationId xmlns:a16="http://schemas.microsoft.com/office/drawing/2014/main" id="{00000000-0008-0000-0200-00001E020000}"/>
                  </a:ext>
                </a:extLst>
              </xdr:cNvPr>
              <xdr:cNvSpPr/>
            </xdr:nvSpPr>
            <xdr:spPr>
              <a:xfrm>
                <a:off x="3285898" y="455413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3" name="Shape 27">
                <a:extLst>
                  <a:ext uri="{FF2B5EF4-FFF2-40B4-BE49-F238E27FC236}">
                    <a16:creationId xmlns:a16="http://schemas.microsoft.com/office/drawing/2014/main" id="{00000000-0008-0000-0200-00001F020000}"/>
                  </a:ext>
                </a:extLst>
              </xdr:cNvPr>
              <xdr:cNvSpPr/>
            </xdr:nvSpPr>
            <xdr:spPr>
              <a:xfrm>
                <a:off x="3286741" y="477301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4" name="Shape 26">
                <a:extLst>
                  <a:ext uri="{FF2B5EF4-FFF2-40B4-BE49-F238E27FC236}">
                    <a16:creationId xmlns:a16="http://schemas.microsoft.com/office/drawing/2014/main" id="{00000000-0008-0000-0200-000020020000}"/>
                  </a:ext>
                </a:extLst>
              </xdr:cNvPr>
              <xdr:cNvSpPr/>
            </xdr:nvSpPr>
            <xdr:spPr>
              <a:xfrm flipH="1">
                <a:off x="3348985" y="458665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541" name="Straight Connector 540">
              <a:extLst>
                <a:ext uri="{FF2B5EF4-FFF2-40B4-BE49-F238E27FC236}">
                  <a16:creationId xmlns:a16="http://schemas.microsoft.com/office/drawing/2014/main" id="{00000000-0008-0000-0200-00001D020000}"/>
                </a:ext>
              </a:extLst>
            </xdr:cNvPr>
            <xdr:cNvCxnSpPr/>
          </xdr:nvCxnSpPr>
          <xdr:spPr>
            <a:xfrm>
              <a:off x="3340311" y="4867489"/>
              <a:ext cx="0" cy="6401328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38" name="Straight Connector 537">
            <a:extLst>
              <a:ext uri="{FF2B5EF4-FFF2-40B4-BE49-F238E27FC236}">
                <a16:creationId xmlns:a16="http://schemas.microsoft.com/office/drawing/2014/main" id="{00000000-0008-0000-0200-00001A020000}"/>
              </a:ext>
            </a:extLst>
          </xdr:cNvPr>
          <xdr:cNvCxnSpPr/>
        </xdr:nvCxnSpPr>
        <xdr:spPr>
          <a:xfrm>
            <a:off x="1974949" y="4432300"/>
            <a:ext cx="0" cy="62230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39" name="Dash">
            <a:extLst>
              <a:ext uri="{FF2B5EF4-FFF2-40B4-BE49-F238E27FC236}">
                <a16:creationId xmlns:a16="http://schemas.microsoft.com/office/drawing/2014/main" id="{00000000-0008-0000-0200-00001B02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20</xdr:col>
      <xdr:colOff>22106</xdr:colOff>
      <xdr:row>27</xdr:row>
      <xdr:rowOff>9870</xdr:rowOff>
    </xdr:from>
    <xdr:to>
      <xdr:col>21</xdr:col>
      <xdr:colOff>39125</xdr:colOff>
      <xdr:row>28</xdr:row>
      <xdr:rowOff>77199</xdr:rowOff>
    </xdr:to>
    <xdr:grpSp>
      <xdr:nvGrpSpPr>
        <xdr:cNvPr id="559" name="3PLoads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GrpSpPr/>
      </xdr:nvGrpSpPr>
      <xdr:grpSpPr>
        <a:xfrm>
          <a:off x="5224516" y="5380593"/>
          <a:ext cx="277139" cy="266245"/>
          <a:chOff x="1809832" y="5419314"/>
          <a:chExt cx="267883" cy="271157"/>
        </a:xfrm>
      </xdr:grpSpPr>
      <xdr:cxnSp macro="">
        <xdr:nvCxnSpPr>
          <xdr:cNvPr id="560" name="Envoy1P1">
            <a:extLst>
              <a:ext uri="{FF2B5EF4-FFF2-40B4-BE49-F238E27FC236}">
                <a16:creationId xmlns:a16="http://schemas.microsoft.com/office/drawing/2014/main" id="{00000000-0008-0000-0200-000030020000}"/>
              </a:ext>
            </a:extLst>
          </xdr:cNvPr>
          <xdr:cNvCxnSpPr/>
        </xdr:nvCxnSpPr>
        <xdr:spPr>
          <a:xfrm flipH="1">
            <a:off x="1809832" y="5419314"/>
            <a:ext cx="253847" cy="18104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1" name="1P">
            <a:extLst>
              <a:ext uri="{FF2B5EF4-FFF2-40B4-BE49-F238E27FC236}">
                <a16:creationId xmlns:a16="http://schemas.microsoft.com/office/drawing/2014/main" id="{00000000-0008-0000-0200-000031020000}"/>
              </a:ext>
            </a:extLst>
          </xdr:cNvPr>
          <xdr:cNvCxnSpPr/>
        </xdr:nvCxnSpPr>
        <xdr:spPr>
          <a:xfrm flipH="1">
            <a:off x="1823868" y="5509431"/>
            <a:ext cx="253847" cy="18104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19500</xdr:colOff>
      <xdr:row>26</xdr:row>
      <xdr:rowOff>125213</xdr:rowOff>
    </xdr:from>
    <xdr:to>
      <xdr:col>21</xdr:col>
      <xdr:colOff>8944</xdr:colOff>
      <xdr:row>27</xdr:row>
      <xdr:rowOff>103519</xdr:rowOff>
    </xdr:to>
    <xdr:cxnSp macro="">
      <xdr:nvCxnSpPr>
        <xdr:cNvPr id="562" name="Straight Connector 561">
          <a:extLst>
            <a:ext uri="{FF2B5EF4-FFF2-40B4-BE49-F238E27FC236}">
              <a16:creationId xmlns:a16="http://schemas.microsoft.com/office/drawing/2014/main" id="{00000000-0008-0000-0200-000032020000}"/>
            </a:ext>
          </a:extLst>
        </xdr:cNvPr>
        <xdr:cNvCxnSpPr/>
      </xdr:nvCxnSpPr>
      <xdr:spPr>
        <a:xfrm flipH="1">
          <a:off x="5027951" y="5473523"/>
          <a:ext cx="239866" cy="18401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bsolar-operations/jobs/templates/Design%20For%20Three%20Phase%20Suppl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an/Desktop/myTemplate%20v1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"/>
      <sheetName val="Rules"/>
      <sheetName val="Defined Names"/>
      <sheetName val="Reference - Panel"/>
      <sheetName val="Reference - Inverter"/>
      <sheetName val="Reference - Cable"/>
      <sheetName val="Design VRC"/>
      <sheetName val="1x1"/>
      <sheetName val="1x1 (C)"/>
      <sheetName val="1x2"/>
      <sheetName val="1x2 (C)"/>
      <sheetName val="SLD Components"/>
    </sheetNames>
    <sheetDataSet>
      <sheetData sheetId="0">
        <row r="28">
          <cell r="I28">
            <v>9</v>
          </cell>
        </row>
        <row r="29">
          <cell r="I29">
            <v>9</v>
          </cell>
        </row>
      </sheetData>
      <sheetData sheetId="1">
        <row r="5">
          <cell r="C5" t="b">
            <v>0</v>
          </cell>
        </row>
        <row r="6">
          <cell r="C6" t="b">
            <v>0</v>
          </cell>
        </row>
        <row r="10">
          <cell r="C10" t="b">
            <v>0</v>
          </cell>
        </row>
        <row r="11">
          <cell r="C11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"/>
      <sheetName val="Vrise"/>
      <sheetName val="1MPPT-string"/>
      <sheetName val="2MPPT-string"/>
      <sheetName val="Enphase"/>
      <sheetName val="Enphase - BATT"/>
      <sheetName val="PW2G"/>
      <sheetName val="Sonnen"/>
      <sheetName val="PW2-0"/>
      <sheetName val="Sonnen V"/>
      <sheetName val="SENEC"/>
      <sheetName val="myTemplate v1.2"/>
    </sheetNames>
    <definedNames>
      <definedName name="Button_ENP"/>
    </definedNames>
    <sheetDataSet>
      <sheetData sheetId="0">
        <row r="2">
          <cell r="A2">
            <v>26213</v>
          </cell>
        </row>
      </sheetData>
      <sheetData sheetId="1">
        <row r="34">
          <cell r="G34">
            <v>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849B-E273-F44B-9CC5-2C53F577DEC6}">
  <sheetPr codeName="Feuil12"/>
  <dimension ref="A1:H44"/>
  <sheetViews>
    <sheetView topLeftCell="A13" zoomScale="99" workbookViewId="0">
      <selection activeCell="B25" sqref="B25"/>
    </sheetView>
  </sheetViews>
  <sheetFormatPr baseColWidth="10" defaultRowHeight="16" x14ac:dyDescent="0.2"/>
  <cols>
    <col min="1" max="1" width="22.1640625" style="95" customWidth="1"/>
    <col min="2" max="2" width="37.1640625" style="36" customWidth="1"/>
    <col min="3" max="3" width="19.1640625" style="36" customWidth="1"/>
    <col min="4" max="4" width="19.83203125" style="36" customWidth="1"/>
    <col min="5" max="5" width="16.6640625" style="70" customWidth="1"/>
    <col min="6" max="6" width="18" style="75" customWidth="1"/>
    <col min="7" max="7" width="21.1640625" style="75" customWidth="1"/>
    <col min="8" max="8" width="15.5" style="95" customWidth="1"/>
  </cols>
  <sheetData>
    <row r="1" spans="1:8" x14ac:dyDescent="0.2">
      <c r="A1" s="124" t="s">
        <v>76</v>
      </c>
      <c r="B1" s="124"/>
      <c r="C1" s="101"/>
    </row>
    <row r="2" spans="1:8" x14ac:dyDescent="0.2">
      <c r="A2" s="71" t="s">
        <v>77</v>
      </c>
      <c r="B2" s="71">
        <v>26181</v>
      </c>
      <c r="C2" s="98"/>
    </row>
    <row r="3" spans="1:8" ht="17" x14ac:dyDescent="0.2">
      <c r="A3" s="72" t="s">
        <v>79</v>
      </c>
      <c r="B3" s="71" t="s">
        <v>75</v>
      </c>
      <c r="C3" s="98"/>
    </row>
    <row r="4" spans="1:8" ht="24" customHeight="1" x14ac:dyDescent="0.2">
      <c r="A4" s="71" t="s">
        <v>78</v>
      </c>
      <c r="B4" s="71" t="s">
        <v>89</v>
      </c>
      <c r="C4" s="98"/>
    </row>
    <row r="5" spans="1:8" x14ac:dyDescent="0.2">
      <c r="A5" s="71" t="s">
        <v>57</v>
      </c>
      <c r="B5" s="71">
        <v>1</v>
      </c>
      <c r="C5" s="98"/>
    </row>
    <row r="6" spans="1:8" x14ac:dyDescent="0.2">
      <c r="A6" s="101"/>
      <c r="B6" s="101"/>
      <c r="C6" s="94"/>
    </row>
    <row r="7" spans="1:8" x14ac:dyDescent="0.2">
      <c r="A7" s="101"/>
      <c r="B7" s="101"/>
    </row>
    <row r="8" spans="1:8" x14ac:dyDescent="0.2">
      <c r="A8" s="101"/>
      <c r="B8" s="101"/>
    </row>
    <row r="10" spans="1:8" x14ac:dyDescent="0.2">
      <c r="A10" s="125" t="s">
        <v>85</v>
      </c>
      <c r="B10" s="126"/>
      <c r="C10" s="94"/>
      <c r="D10" s="94"/>
      <c r="E10" s="96"/>
      <c r="F10" s="98"/>
    </row>
    <row r="11" spans="1:8" x14ac:dyDescent="0.2">
      <c r="A11" s="97" t="s">
        <v>80</v>
      </c>
      <c r="B11" s="74" t="s">
        <v>66</v>
      </c>
      <c r="C11" s="94"/>
      <c r="D11" s="94"/>
      <c r="E11" s="96"/>
      <c r="F11" s="98"/>
      <c r="G11" s="98"/>
      <c r="H11" s="98"/>
    </row>
    <row r="12" spans="1:8" x14ac:dyDescent="0.2">
      <c r="A12" s="97" t="s">
        <v>81</v>
      </c>
      <c r="B12" s="74" t="s">
        <v>74</v>
      </c>
      <c r="C12" s="94"/>
      <c r="D12" s="94"/>
      <c r="E12" s="96"/>
      <c r="F12" s="98"/>
      <c r="G12" s="98"/>
      <c r="H12" s="98"/>
    </row>
    <row r="13" spans="1:8" x14ac:dyDescent="0.2">
      <c r="A13" s="97" t="s">
        <v>82</v>
      </c>
      <c r="B13" s="74">
        <v>18</v>
      </c>
      <c r="C13" s="99"/>
      <c r="D13" s="99"/>
      <c r="E13" s="99"/>
      <c r="F13" s="93"/>
      <c r="G13" s="93"/>
      <c r="H13" s="94"/>
    </row>
    <row r="14" spans="1:8" x14ac:dyDescent="0.2">
      <c r="A14" s="71" t="s">
        <v>86</v>
      </c>
      <c r="B14" s="74">
        <v>365</v>
      </c>
    </row>
    <row r="15" spans="1:8" x14ac:dyDescent="0.2">
      <c r="A15" s="71" t="s">
        <v>87</v>
      </c>
      <c r="B15" s="73">
        <v>41.7</v>
      </c>
    </row>
    <row r="16" spans="1:8" x14ac:dyDescent="0.2">
      <c r="A16" s="71" t="s">
        <v>88</v>
      </c>
      <c r="B16" s="73">
        <v>10.88</v>
      </c>
      <c r="C16" s="100"/>
      <c r="D16" s="100"/>
      <c r="E16" s="100"/>
      <c r="F16" s="100"/>
    </row>
    <row r="17" spans="1:6" x14ac:dyDescent="0.2">
      <c r="B17" s="100"/>
      <c r="C17" s="100"/>
      <c r="D17" s="100"/>
      <c r="E17" s="100"/>
      <c r="F17" s="100"/>
    </row>
    <row r="18" spans="1:6" x14ac:dyDescent="0.2">
      <c r="A18" s="124" t="s">
        <v>90</v>
      </c>
      <c r="B18" s="124"/>
      <c r="C18" s="100"/>
      <c r="D18" s="100"/>
      <c r="E18" s="100"/>
      <c r="F18" s="100"/>
    </row>
    <row r="19" spans="1:6" x14ac:dyDescent="0.2">
      <c r="A19" s="71" t="s">
        <v>83</v>
      </c>
      <c r="B19" s="71" t="s">
        <v>91</v>
      </c>
      <c r="C19" s="100"/>
      <c r="D19" s="100"/>
      <c r="E19" s="100"/>
      <c r="F19" s="100"/>
    </row>
    <row r="20" spans="1:6" ht="16" customHeight="1" x14ac:dyDescent="0.2">
      <c r="A20" s="71" t="s">
        <v>84</v>
      </c>
      <c r="B20" s="71" t="s">
        <v>92</v>
      </c>
      <c r="C20" s="100"/>
      <c r="D20" s="100"/>
      <c r="E20" s="100"/>
      <c r="F20" s="100"/>
    </row>
    <row r="21" spans="1:6" ht="16" customHeight="1" x14ac:dyDescent="0.2">
      <c r="A21" s="71" t="s">
        <v>44</v>
      </c>
      <c r="B21" s="71">
        <v>4</v>
      </c>
      <c r="C21" s="100"/>
      <c r="D21" s="100"/>
      <c r="E21" s="100"/>
      <c r="F21" s="100"/>
    </row>
    <row r="22" spans="1:6" x14ac:dyDescent="0.2">
      <c r="A22" s="71" t="s">
        <v>108</v>
      </c>
      <c r="B22" s="71"/>
      <c r="C22" s="100"/>
      <c r="D22" s="100"/>
      <c r="E22" s="100"/>
      <c r="F22" s="100"/>
    </row>
    <row r="23" spans="1:6" x14ac:dyDescent="0.2">
      <c r="A23" s="71" t="s">
        <v>109</v>
      </c>
      <c r="B23" s="71"/>
      <c r="C23" s="100"/>
      <c r="D23" s="100"/>
      <c r="E23" s="100"/>
      <c r="F23" s="100"/>
    </row>
    <row r="24" spans="1:6" x14ac:dyDescent="0.2">
      <c r="A24" s="71" t="s">
        <v>110</v>
      </c>
      <c r="B24" s="71"/>
      <c r="C24" s="100"/>
      <c r="D24" s="100"/>
      <c r="E24" s="100"/>
      <c r="F24" s="100"/>
    </row>
    <row r="25" spans="1:6" x14ac:dyDescent="0.2">
      <c r="A25" s="102" t="s">
        <v>111</v>
      </c>
      <c r="B25" s="102"/>
      <c r="C25" s="100"/>
      <c r="D25" s="100"/>
      <c r="E25" s="100"/>
      <c r="F25" s="100"/>
    </row>
    <row r="26" spans="1:6" x14ac:dyDescent="0.2">
      <c r="A26" s="71" t="s">
        <v>112</v>
      </c>
      <c r="B26" s="71"/>
    </row>
    <row r="27" spans="1:6" x14ac:dyDescent="0.2">
      <c r="A27" s="71" t="s">
        <v>113</v>
      </c>
      <c r="B27" s="71"/>
    </row>
    <row r="28" spans="1:6" x14ac:dyDescent="0.2">
      <c r="A28" s="71" t="s">
        <v>98</v>
      </c>
      <c r="B28" s="71"/>
    </row>
    <row r="30" spans="1:6" x14ac:dyDescent="0.2">
      <c r="A30" s="127" t="s">
        <v>93</v>
      </c>
      <c r="B30" s="128"/>
    </row>
    <row r="31" spans="1:6" x14ac:dyDescent="0.2">
      <c r="A31" s="71" t="s">
        <v>94</v>
      </c>
      <c r="B31" s="71"/>
    </row>
    <row r="32" spans="1:6" x14ac:dyDescent="0.2">
      <c r="A32" s="71" t="s">
        <v>95</v>
      </c>
      <c r="B32" s="71"/>
    </row>
    <row r="33" spans="1:2" x14ac:dyDescent="0.2">
      <c r="A33" s="71" t="s">
        <v>96</v>
      </c>
      <c r="B33" s="71"/>
    </row>
    <row r="34" spans="1:2" x14ac:dyDescent="0.2">
      <c r="A34" s="71" t="s">
        <v>97</v>
      </c>
      <c r="B34" s="71">
        <v>4</v>
      </c>
    </row>
    <row r="35" spans="1:2" x14ac:dyDescent="0.2">
      <c r="A35" s="71" t="s">
        <v>107</v>
      </c>
      <c r="B35" s="71"/>
    </row>
    <row r="36" spans="1:2" x14ac:dyDescent="0.2">
      <c r="A36" s="71" t="s">
        <v>117</v>
      </c>
      <c r="B36" s="71">
        <v>1</v>
      </c>
    </row>
    <row r="37" spans="1:2" x14ac:dyDescent="0.2">
      <c r="A37" s="71" t="s">
        <v>125</v>
      </c>
      <c r="B37" s="71"/>
    </row>
    <row r="41" spans="1:2" x14ac:dyDescent="0.2">
      <c r="A41" s="124" t="s">
        <v>114</v>
      </c>
      <c r="B41" s="124"/>
    </row>
    <row r="42" spans="1:2" x14ac:dyDescent="0.2">
      <c r="A42" s="71" t="s">
        <v>115</v>
      </c>
      <c r="B42" s="71"/>
    </row>
    <row r="43" spans="1:2" x14ac:dyDescent="0.2">
      <c r="A43" s="71" t="s">
        <v>116</v>
      </c>
      <c r="B43" s="71"/>
    </row>
    <row r="44" spans="1:2" x14ac:dyDescent="0.2">
      <c r="A44" s="71" t="s">
        <v>124</v>
      </c>
      <c r="B44" s="71"/>
    </row>
  </sheetData>
  <mergeCells count="5">
    <mergeCell ref="A1:B1"/>
    <mergeCell ref="A10:B10"/>
    <mergeCell ref="A18:B18"/>
    <mergeCell ref="A30:B30"/>
    <mergeCell ref="A41:B41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7F70-F295-3042-ADEC-DA24459744A4}">
  <sheetPr codeName="Sheet1">
    <pageSetUpPr fitToPage="1"/>
  </sheetPr>
  <dimension ref="B6:G41"/>
  <sheetViews>
    <sheetView topLeftCell="A11" workbookViewId="0">
      <selection activeCell="C26" sqref="C26"/>
    </sheetView>
  </sheetViews>
  <sheetFormatPr baseColWidth="10" defaultRowHeight="16" x14ac:dyDescent="0.2"/>
  <cols>
    <col min="2" max="2" width="25" customWidth="1"/>
    <col min="3" max="3" width="25.6640625" customWidth="1"/>
    <col min="4" max="4" width="24.83203125" customWidth="1"/>
    <col min="5" max="5" width="23.83203125" customWidth="1"/>
    <col min="6" max="6" width="20" customWidth="1"/>
    <col min="7" max="7" width="21" customWidth="1"/>
  </cols>
  <sheetData>
    <row r="6" s="2" customFormat="1" x14ac:dyDescent="0.2"/>
    <row r="29" spans="2:7" ht="17" thickBot="1" x14ac:dyDescent="0.25">
      <c r="B29" s="69"/>
      <c r="C29" s="69"/>
      <c r="D29" s="69"/>
      <c r="E29" s="69"/>
      <c r="F29" s="69"/>
      <c r="G29" s="69"/>
    </row>
    <row r="30" spans="2:7" ht="17" thickBot="1" x14ac:dyDescent="0.25">
      <c r="B30" s="37" t="s">
        <v>53</v>
      </c>
      <c r="C30" s="38" t="str">
        <f>Param!B3</f>
        <v xml:space="preserve">Miller, Ian </v>
      </c>
      <c r="D30" s="37" t="s">
        <v>54</v>
      </c>
      <c r="E30" s="129" t="str">
        <f>Param!B4</f>
        <v>154 Princeton Ave  Adamstown Heights</v>
      </c>
      <c r="F30" s="130"/>
      <c r="G30" s="131"/>
    </row>
    <row r="31" spans="2:7" ht="17" thickBot="1" x14ac:dyDescent="0.25">
      <c r="B31" s="132" t="str">
        <f>IF(Param!B12&lt;&gt;0,"Service Main","Service+Consumer Main")</f>
        <v>Service Main</v>
      </c>
      <c r="C31" s="133"/>
      <c r="D31" s="132" t="s">
        <v>55</v>
      </c>
      <c r="E31" s="133"/>
      <c r="F31" s="134" t="s">
        <v>56</v>
      </c>
      <c r="G31" s="135"/>
    </row>
    <row r="32" spans="2:7" x14ac:dyDescent="0.2">
      <c r="B32" s="39" t="s">
        <v>57</v>
      </c>
      <c r="C32" s="40">
        <f>Param!B36</f>
        <v>1</v>
      </c>
      <c r="D32" s="39" t="s">
        <v>57</v>
      </c>
      <c r="E32" s="40">
        <f>Param!B36</f>
        <v>1</v>
      </c>
      <c r="F32" s="41" t="s">
        <v>57</v>
      </c>
      <c r="G32" s="42">
        <f>Param!B36</f>
        <v>1</v>
      </c>
    </row>
    <row r="33" spans="2:7" x14ac:dyDescent="0.2">
      <c r="B33" s="39" t="s">
        <v>58</v>
      </c>
      <c r="C33" s="43" t="s">
        <v>59</v>
      </c>
      <c r="D33" s="39" t="s">
        <v>58</v>
      </c>
      <c r="E33" s="44" t="s">
        <v>59</v>
      </c>
      <c r="F33" s="45" t="s">
        <v>58</v>
      </c>
      <c r="G33" s="46" t="s">
        <v>59</v>
      </c>
    </row>
    <row r="34" spans="2:7" x14ac:dyDescent="0.2">
      <c r="B34" s="47" t="s">
        <v>60</v>
      </c>
      <c r="C34" s="48">
        <v>16</v>
      </c>
      <c r="D34" s="47" t="s">
        <v>60</v>
      </c>
      <c r="E34" s="48">
        <v>16</v>
      </c>
      <c r="F34" s="47" t="s">
        <v>60</v>
      </c>
      <c r="G34" s="49">
        <f>Param!B34</f>
        <v>4</v>
      </c>
    </row>
    <row r="35" spans="2:7" x14ac:dyDescent="0.2">
      <c r="B35" s="50" t="s">
        <v>61</v>
      </c>
      <c r="C35" s="51">
        <f>Param!B31</f>
        <v>0</v>
      </c>
      <c r="D35" s="50" t="s">
        <v>61</v>
      </c>
      <c r="E35" s="52">
        <f>Param!B32</f>
        <v>0</v>
      </c>
      <c r="F35" s="50" t="s">
        <v>61</v>
      </c>
      <c r="G35" s="52">
        <f>Param!B33</f>
        <v>0</v>
      </c>
    </row>
    <row r="36" spans="2:7" x14ac:dyDescent="0.2">
      <c r="B36" s="50" t="s">
        <v>62</v>
      </c>
      <c r="C36" s="53">
        <f>Param!B35</f>
        <v>0</v>
      </c>
      <c r="D36" s="50" t="s">
        <v>62</v>
      </c>
      <c r="E36" s="54">
        <f>Param!B35</f>
        <v>0</v>
      </c>
      <c r="F36" s="50" t="s">
        <v>62</v>
      </c>
      <c r="G36" s="54">
        <f>Param!B35</f>
        <v>0</v>
      </c>
    </row>
    <row r="37" spans="2:7" ht="17" thickBot="1" x14ac:dyDescent="0.25">
      <c r="B37" s="55" t="s">
        <v>63</v>
      </c>
      <c r="C37" s="56" cm="1">
        <f t="array" ref="C37">AmPerPcntVd(C34,C32)</f>
        <v>818</v>
      </c>
      <c r="D37" s="57" t="s">
        <v>63</v>
      </c>
      <c r="E37" s="56" cm="1">
        <f t="array" ref="E37">AmPerPcntVd(E34,E32)</f>
        <v>818</v>
      </c>
      <c r="F37" s="57" t="s">
        <v>63</v>
      </c>
      <c r="G37" s="58" cm="1">
        <f t="array" ref="G37">AmPerPcntVd(G34,G32)</f>
        <v>205</v>
      </c>
    </row>
    <row r="38" spans="2:7" ht="17" thickBot="1" x14ac:dyDescent="0.25">
      <c r="B38" s="59" t="s">
        <v>64</v>
      </c>
      <c r="C38" s="60" cm="1">
        <f t="array" ref="C38">VoltageDrop(C36,C34,C35,C32)/100</f>
        <v>0</v>
      </c>
      <c r="D38" s="61" t="s">
        <v>64</v>
      </c>
      <c r="E38" s="60" cm="1">
        <f t="array" ref="E38">VoltageDrop(E36,E34,E35,E32)/100</f>
        <v>0</v>
      </c>
      <c r="F38" s="61" t="s">
        <v>64</v>
      </c>
      <c r="G38" s="68" cm="1">
        <f t="array" ref="G38">VoltageDrop(G36,G34,G35,G32)/100</f>
        <v>0</v>
      </c>
    </row>
    <row r="39" spans="2:7" ht="17" thickBot="1" x14ac:dyDescent="0.25">
      <c r="B39" s="59" t="s">
        <v>65</v>
      </c>
      <c r="C39" s="62">
        <f>C38*IF(C32=1,230,400)</f>
        <v>0</v>
      </c>
      <c r="D39" s="59" t="s">
        <v>65</v>
      </c>
      <c r="E39" s="62">
        <f>E38*IF(E32=1,230,400)</f>
        <v>0</v>
      </c>
      <c r="F39" s="59" t="s">
        <v>65</v>
      </c>
      <c r="G39" s="67">
        <f>G38*IF(G32=1,230,400)</f>
        <v>0</v>
      </c>
    </row>
    <row r="40" spans="2:7" x14ac:dyDescent="0.2">
      <c r="B40" s="136" t="s">
        <v>29</v>
      </c>
      <c r="C40" s="63" t="str">
        <f>_xlfn.CONCAT(Param!B37)</f>
        <v/>
      </c>
      <c r="D40" s="64"/>
      <c r="E40" s="64"/>
      <c r="F40" s="138">
        <f>C38+G38+E38</f>
        <v>0</v>
      </c>
      <c r="G40" s="140">
        <f>G39+E39+C39</f>
        <v>0</v>
      </c>
    </row>
    <row r="41" spans="2:7" ht="17" thickBot="1" x14ac:dyDescent="0.25">
      <c r="B41" s="137"/>
      <c r="C41" s="65"/>
      <c r="D41" s="66"/>
      <c r="E41" s="66"/>
      <c r="F41" s="139"/>
      <c r="G41" s="141"/>
    </row>
  </sheetData>
  <mergeCells count="7">
    <mergeCell ref="E30:G30"/>
    <mergeCell ref="B31:C31"/>
    <mergeCell ref="D31:E31"/>
    <mergeCell ref="F31:G31"/>
    <mergeCell ref="B40:B41"/>
    <mergeCell ref="F40:F41"/>
    <mergeCell ref="G40:G41"/>
  </mergeCells>
  <conditionalFormatting sqref="C38 E38 G38">
    <cfRule type="cellIs" dxfId="9" priority="7" operator="greaterThan">
      <formula>0.01</formula>
    </cfRule>
    <cfRule type="cellIs" dxfId="8" priority="8" operator="lessThanOrEqual">
      <formula>0.01</formula>
    </cfRule>
  </conditionalFormatting>
  <conditionalFormatting sqref="C30 E30 C32:C33 C35:C36 E35:E36 G35:G36 E32:E33 G32:G33">
    <cfRule type="containsBlanks" dxfId="7" priority="9">
      <formula>LEN(TRIM(C30))=0</formula>
    </cfRule>
  </conditionalFormatting>
  <conditionalFormatting sqref="C39">
    <cfRule type="cellIs" dxfId="6" priority="5" operator="greaterThan">
      <formula>0.01</formula>
    </cfRule>
    <cfRule type="cellIs" dxfId="5" priority="6" operator="lessThanOrEqual">
      <formula>0.01</formula>
    </cfRule>
  </conditionalFormatting>
  <conditionalFormatting sqref="E39 K39">
    <cfRule type="cellIs" dxfId="4" priority="3" operator="greaterThan">
      <formula>0.01</formula>
    </cfRule>
    <cfRule type="cellIs" dxfId="3" priority="4" operator="lessThanOrEqual">
      <formula>0.01</formula>
    </cfRule>
  </conditionalFormatting>
  <conditionalFormatting sqref="G39 M39">
    <cfRule type="cellIs" dxfId="2" priority="1" operator="greaterThan">
      <formula>0.01</formula>
    </cfRule>
    <cfRule type="cellIs" dxfId="1" priority="2" operator="lessThanOrEqual">
      <formula>0.01</formula>
    </cfRule>
  </conditionalFormatting>
  <dataValidations count="4">
    <dataValidation type="list" allowBlank="1" showInputMessage="1" showErrorMessage="1" sqref="C34 E34 G34" xr:uid="{F878F764-7AC0-B540-B33B-54EB7F071147}">
      <formula1>conductor_size</formula1>
    </dataValidation>
    <dataValidation type="list" errorStyle="warning" allowBlank="1" showInputMessage="1" showErrorMessage="1" sqref="E32" xr:uid="{5CE42D14-9641-D249-875A-11CC6B32B0B2}">
      <formula1>select_phases</formula1>
    </dataValidation>
    <dataValidation type="list" allowBlank="1" showInputMessage="1" showErrorMessage="1" sqref="C33 E33 G33" xr:uid="{E12E9D8C-A363-F84B-896A-2DE5EBCA9D36}">
      <formula1>select_conductor_type</formula1>
    </dataValidation>
    <dataValidation type="list" allowBlank="1" showInputMessage="1" showErrorMessage="1" sqref="C32 G32" xr:uid="{5475BD4C-086E-0F46-81AC-E14853108651}">
      <formula1>select_phases</formula1>
    </dataValidation>
  </dataValidations>
  <pageMargins left="0.7" right="0.7" top="0.75" bottom="0.75" header="0.3" footer="0.3"/>
  <pageSetup paperSize="9" scale="7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int_Vrise">
                <anchor moveWithCells="1" sizeWithCells="1">
                  <from>
                    <xdr:col>6</xdr:col>
                    <xdr:colOff>1409700</xdr:colOff>
                    <xdr:row>16</xdr:row>
                    <xdr:rowOff>152400</xdr:rowOff>
                  </from>
                  <to>
                    <xdr:col>8</xdr:col>
                    <xdr:colOff>508000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28FEC-F35F-E247-B35F-E3B104D33D72}">
  <sheetPr codeName="Feuil16">
    <pageSetUpPr fitToPage="1"/>
  </sheetPr>
  <dimension ref="B5:CD74"/>
  <sheetViews>
    <sheetView showGridLines="0" tabSelected="1" topLeftCell="B30" zoomScale="83" zoomScaleNormal="184" workbookViewId="0">
      <selection activeCell="Q54" sqref="Q54"/>
    </sheetView>
  </sheetViews>
  <sheetFormatPr baseColWidth="10" defaultRowHeight="16" x14ac:dyDescent="0.2"/>
  <cols>
    <col min="1" max="73" width="3.33203125" style="106" customWidth="1"/>
    <col min="74" max="74" width="5.33203125" style="106" bestFit="1" customWidth="1"/>
    <col min="75" max="83" width="3.33203125" style="106" customWidth="1"/>
    <col min="84" max="16384" width="10.83203125" style="106"/>
  </cols>
  <sheetData>
    <row r="5" spans="4:81" x14ac:dyDescent="0.2">
      <c r="D5" s="92" t="s">
        <v>71</v>
      </c>
      <c r="BR5" s="117" t="s">
        <v>52</v>
      </c>
      <c r="BS5" s="118"/>
      <c r="BT5" s="118"/>
      <c r="BU5" s="118"/>
      <c r="BV5" s="118"/>
      <c r="BW5" s="118"/>
      <c r="BX5" s="118"/>
      <c r="BY5" s="118"/>
      <c r="BZ5" s="119"/>
    </row>
    <row r="6" spans="4:81" x14ac:dyDescent="0.2">
      <c r="BJ6" s="35"/>
      <c r="BR6" s="120" t="s">
        <v>46</v>
      </c>
      <c r="BS6" s="116"/>
      <c r="BT6" s="116"/>
      <c r="BU6" s="116"/>
      <c r="BV6" s="183" t="str">
        <f>Param!B11</f>
        <v>LG Electronics</v>
      </c>
      <c r="BW6" s="183"/>
      <c r="BX6" s="183"/>
      <c r="BY6" s="183"/>
      <c r="BZ6" s="184"/>
    </row>
    <row r="7" spans="4:81" x14ac:dyDescent="0.2">
      <c r="BL7" s="34"/>
      <c r="BM7" s="34"/>
      <c r="BN7" s="34"/>
      <c r="BR7" s="120" t="s">
        <v>45</v>
      </c>
      <c r="BS7" s="116"/>
      <c r="BT7" s="116"/>
      <c r="BU7" s="116"/>
      <c r="BV7" s="185" t="str">
        <f>Param!B12</f>
        <v>LG NeON 2</v>
      </c>
      <c r="BW7" s="185"/>
      <c r="BX7" s="185"/>
      <c r="BY7" s="185"/>
      <c r="BZ7" s="186"/>
    </row>
    <row r="8" spans="4:81" x14ac:dyDescent="0.2">
      <c r="BL8" s="33"/>
      <c r="BM8" s="33"/>
      <c r="BN8" s="33"/>
      <c r="BR8" s="120" t="s">
        <v>120</v>
      </c>
      <c r="BS8" s="114"/>
      <c r="BT8" s="114"/>
      <c r="BU8" s="114"/>
      <c r="BV8" s="114"/>
      <c r="BX8" s="191">
        <f>Param!B13</f>
        <v>18</v>
      </c>
      <c r="BY8" s="191"/>
      <c r="BZ8" s="192"/>
    </row>
    <row r="9" spans="4:81" x14ac:dyDescent="0.2">
      <c r="BL9" s="32"/>
      <c r="BM9" s="32"/>
      <c r="BN9" s="32"/>
      <c r="BR9" s="120" t="s">
        <v>51</v>
      </c>
      <c r="BS9" s="116"/>
      <c r="BT9" s="116"/>
      <c r="BU9" s="116"/>
      <c r="BV9" s="116"/>
      <c r="BW9" s="116"/>
      <c r="BX9" s="187">
        <f>Param!B14</f>
        <v>365</v>
      </c>
      <c r="BY9" s="187"/>
      <c r="BZ9" s="188"/>
    </row>
    <row r="10" spans="4:81" x14ac:dyDescent="0.2">
      <c r="BR10" s="120" t="s">
        <v>50</v>
      </c>
      <c r="BS10" s="116"/>
      <c r="BT10" s="116"/>
      <c r="BU10" s="116"/>
      <c r="BV10" s="116"/>
      <c r="BW10" s="116"/>
      <c r="BX10" s="189">
        <f>Param!B15</f>
        <v>41.7</v>
      </c>
      <c r="BY10" s="189"/>
      <c r="BZ10" s="190"/>
    </row>
    <row r="11" spans="4:81" x14ac:dyDescent="0.2">
      <c r="BR11" s="120" t="s">
        <v>49</v>
      </c>
      <c r="BS11" s="116"/>
      <c r="BT11" s="116"/>
      <c r="BU11" s="116"/>
      <c r="BV11" s="116"/>
      <c r="BW11" s="116"/>
      <c r="BX11" s="193">
        <f>Param!B16</f>
        <v>10.88</v>
      </c>
      <c r="BY11" s="193"/>
      <c r="BZ11" s="194"/>
      <c r="CA11" s="159"/>
      <c r="CB11" s="159"/>
      <c r="CC11" s="159"/>
    </row>
    <row r="12" spans="4:81" x14ac:dyDescent="0.2">
      <c r="BR12" s="121" t="s">
        <v>121</v>
      </c>
      <c r="BS12" s="122"/>
      <c r="BT12" s="122"/>
      <c r="BU12" s="122"/>
      <c r="BV12" s="195" t="str">
        <f>_xlfn.CONCAT(BX8*BX9/1000," kWdc")</f>
        <v>6.57 kWdc</v>
      </c>
      <c r="BW12" s="195"/>
      <c r="BX12" s="195"/>
      <c r="BY12" s="195"/>
      <c r="BZ12" s="196"/>
      <c r="CC12" s="85"/>
    </row>
    <row r="13" spans="4:81" x14ac:dyDescent="0.2">
      <c r="CC13" s="85"/>
    </row>
    <row r="14" spans="4:81" x14ac:dyDescent="0.2">
      <c r="CC14" s="85"/>
    </row>
    <row r="15" spans="4:81" x14ac:dyDescent="0.2">
      <c r="BK15" s="85"/>
      <c r="BL15" s="85"/>
      <c r="BM15" s="85"/>
      <c r="BQ15" s="115"/>
      <c r="BR15" s="30" t="s">
        <v>48</v>
      </c>
      <c r="BS15" s="29"/>
      <c r="BT15" s="29"/>
      <c r="BU15" s="29"/>
      <c r="BV15" s="29"/>
      <c r="BW15" s="29"/>
      <c r="BX15" s="29"/>
      <c r="BY15" s="29"/>
      <c r="BZ15" s="28"/>
      <c r="CA15" s="115"/>
      <c r="CB15" s="115"/>
      <c r="CC15" s="85"/>
    </row>
    <row r="16" spans="4:81" x14ac:dyDescent="0.2">
      <c r="BQ16" s="115"/>
      <c r="BR16" s="27" t="s">
        <v>47</v>
      </c>
      <c r="BS16" s="22"/>
      <c r="BT16" s="22"/>
      <c r="BU16" s="22"/>
      <c r="BW16" s="22"/>
      <c r="BX16" s="198">
        <f>SUM(Param!B22:B27)</f>
        <v>0</v>
      </c>
      <c r="BY16" s="198"/>
      <c r="BZ16" s="199"/>
      <c r="CA16" s="115"/>
      <c r="CB16" s="115"/>
      <c r="CC16" s="85"/>
    </row>
    <row r="17" spans="5:82" x14ac:dyDescent="0.2"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Q17" s="115"/>
      <c r="BR17" s="27" t="s">
        <v>46</v>
      </c>
      <c r="BS17" s="22"/>
      <c r="BT17" s="22"/>
      <c r="BU17" s="22"/>
      <c r="BW17" s="22"/>
      <c r="BX17" s="198" t="str">
        <f>Param!B19</f>
        <v>SMA</v>
      </c>
      <c r="BY17" s="198"/>
      <c r="BZ17" s="199"/>
      <c r="CA17" s="85"/>
      <c r="CB17" s="85"/>
      <c r="CC17" s="85"/>
    </row>
    <row r="18" spans="5:82" ht="16" customHeight="1" x14ac:dyDescent="0.2"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Q18" s="115"/>
      <c r="BR18" s="25" t="s">
        <v>45</v>
      </c>
      <c r="BS18" s="24"/>
      <c r="BT18" s="22"/>
      <c r="BU18" s="22"/>
      <c r="BW18" s="22"/>
      <c r="BX18" s="198" t="str">
        <f>Param!B20</f>
        <v>SB4.0-1AV-40</v>
      </c>
      <c r="BY18" s="198"/>
      <c r="BZ18" s="199"/>
      <c r="CA18" s="22"/>
      <c r="CB18" s="22"/>
      <c r="CC18" s="22"/>
    </row>
    <row r="19" spans="5:82" ht="16" customHeight="1" x14ac:dyDescent="0.2"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Q19" s="115"/>
      <c r="BR19" s="25" t="s">
        <v>118</v>
      </c>
      <c r="BS19" s="113"/>
      <c r="BT19" s="113"/>
      <c r="BU19" s="113"/>
      <c r="BV19" s="113"/>
      <c r="BW19" s="200">
        <f>Param!B21</f>
        <v>4</v>
      </c>
      <c r="BX19" s="200"/>
      <c r="BY19" s="113" t="s">
        <v>43</v>
      </c>
      <c r="BZ19" s="26"/>
      <c r="CA19" s="148"/>
      <c r="CB19" s="148"/>
      <c r="CC19" s="22"/>
    </row>
    <row r="20" spans="5:82" x14ac:dyDescent="0.2">
      <c r="Y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Q20" s="115"/>
      <c r="BR20" s="31" t="s">
        <v>119</v>
      </c>
      <c r="BS20" s="84"/>
      <c r="BT20" s="84"/>
      <c r="BU20" s="84"/>
      <c r="BV20" s="84"/>
      <c r="BW20" s="201">
        <f>BW19*BX16</f>
        <v>0</v>
      </c>
      <c r="BX20" s="201"/>
      <c r="BY20" s="23" t="s">
        <v>43</v>
      </c>
      <c r="BZ20" s="1"/>
      <c r="CA20" s="86"/>
      <c r="CB20" s="86"/>
      <c r="CC20" s="22"/>
    </row>
    <row r="21" spans="5:82" x14ac:dyDescent="0.2">
      <c r="BE21" s="86"/>
      <c r="BF21" s="86"/>
      <c r="BG21" s="86"/>
      <c r="BH21" s="86"/>
      <c r="BI21" s="86"/>
      <c r="BJ21" s="86"/>
      <c r="BK21" s="86"/>
      <c r="BL21" s="86"/>
      <c r="BM21" s="86"/>
      <c r="BN21" s="86"/>
      <c r="BO21" s="86"/>
      <c r="CB21" s="86"/>
      <c r="CC21" s="104"/>
    </row>
    <row r="22" spans="5:82" x14ac:dyDescent="0.2">
      <c r="CB22" s="86"/>
      <c r="CC22" s="105"/>
    </row>
    <row r="23" spans="5:82" x14ac:dyDescent="0.2">
      <c r="BQ23" s="115"/>
      <c r="BR23" s="115"/>
      <c r="BS23" s="115"/>
      <c r="BT23" s="115"/>
      <c r="BU23" s="115"/>
      <c r="BV23" s="115"/>
      <c r="BW23" s="115"/>
      <c r="BX23" s="115"/>
      <c r="BY23" s="115"/>
      <c r="BZ23" s="115"/>
      <c r="CA23" s="115"/>
      <c r="CB23" s="86"/>
      <c r="CC23" s="79"/>
    </row>
    <row r="24" spans="5:82" x14ac:dyDescent="0.2">
      <c r="BQ24" s="181" t="s">
        <v>99</v>
      </c>
      <c r="BR24" s="182"/>
      <c r="BS24" s="182"/>
      <c r="BT24" s="182" t="s">
        <v>100</v>
      </c>
      <c r="BU24" s="182"/>
      <c r="BV24" s="182" t="s">
        <v>101</v>
      </c>
      <c r="BW24" s="182"/>
      <c r="BX24" s="182" t="s">
        <v>102</v>
      </c>
      <c r="BY24" s="182"/>
      <c r="BZ24" s="182" t="s">
        <v>103</v>
      </c>
      <c r="CA24" s="197"/>
      <c r="CB24" s="86"/>
      <c r="CC24" s="21"/>
    </row>
    <row r="25" spans="5:82" x14ac:dyDescent="0.2">
      <c r="BQ25" s="175" t="s">
        <v>104</v>
      </c>
      <c r="BR25" s="176"/>
      <c r="BS25" s="176"/>
      <c r="BT25" s="176" t="str">
        <f>Param!B20</f>
        <v>SB4.0-1AV-40</v>
      </c>
      <c r="BU25" s="176"/>
      <c r="BV25" s="176">
        <f>Param!B22*Param!B21</f>
        <v>0</v>
      </c>
      <c r="BW25" s="176"/>
      <c r="BX25" s="176">
        <f>Param!B23*Param!B21</f>
        <v>0</v>
      </c>
      <c r="BY25" s="176"/>
      <c r="BZ25" s="176">
        <f>Param!B24*Param!B21</f>
        <v>0</v>
      </c>
      <c r="CA25" s="177"/>
      <c r="CB25" s="21"/>
      <c r="CC25" s="21"/>
    </row>
    <row r="26" spans="5:82" x14ac:dyDescent="0.2">
      <c r="BQ26" s="142" t="s">
        <v>105</v>
      </c>
      <c r="BR26" s="143"/>
      <c r="BS26" s="143"/>
      <c r="BT26" s="143" t="str">
        <f>Param!B20</f>
        <v>SB4.0-1AV-40</v>
      </c>
      <c r="BU26" s="143"/>
      <c r="BV26" s="143">
        <f>Param!B25*Param!B21</f>
        <v>0</v>
      </c>
      <c r="BW26" s="143"/>
      <c r="BX26" s="143">
        <f>Param!B26*Param!B21</f>
        <v>0</v>
      </c>
      <c r="BY26" s="143"/>
      <c r="BZ26" s="143">
        <f>Param!B27*Param!B21</f>
        <v>0</v>
      </c>
      <c r="CA26" s="144"/>
      <c r="CB26" s="21"/>
      <c r="CC26" s="21"/>
    </row>
    <row r="27" spans="5:82" x14ac:dyDescent="0.2">
      <c r="BQ27" s="123"/>
      <c r="BR27" s="123"/>
      <c r="BS27" s="123"/>
      <c r="BT27" s="123"/>
      <c r="BU27" s="123"/>
      <c r="BV27" s="123"/>
      <c r="BW27" s="123"/>
      <c r="BX27" s="123"/>
      <c r="BY27" s="123"/>
      <c r="BZ27" s="123"/>
      <c r="CA27" s="123"/>
      <c r="CB27" s="123"/>
      <c r="CC27" s="123"/>
      <c r="CD27" s="123"/>
    </row>
    <row r="28" spans="5:82" x14ac:dyDescent="0.2">
      <c r="AJ28" s="7"/>
      <c r="BK28" s="86"/>
      <c r="BL28" s="86"/>
      <c r="BM28" s="86"/>
      <c r="BN28" s="86"/>
      <c r="BO28" s="86"/>
      <c r="BP28" s="86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</row>
    <row r="29" spans="5:82" x14ac:dyDescent="0.2">
      <c r="L29" s="20"/>
      <c r="M29" s="19"/>
      <c r="BK29" s="86"/>
      <c r="BL29" s="86"/>
      <c r="BM29" s="86"/>
      <c r="BN29" s="86"/>
      <c r="BO29" s="86"/>
      <c r="BP29" s="86"/>
      <c r="BQ29" s="123"/>
      <c r="BR29" s="123"/>
      <c r="BS29" s="123"/>
      <c r="BT29" s="123"/>
      <c r="BU29" s="123"/>
      <c r="BV29" s="123"/>
      <c r="BW29" s="123"/>
      <c r="BX29" s="123"/>
      <c r="BY29" s="123"/>
      <c r="BZ29" s="123"/>
      <c r="CA29" s="123"/>
      <c r="CB29" s="123"/>
      <c r="CC29" s="123"/>
      <c r="CD29" s="123"/>
    </row>
    <row r="30" spans="5:82" x14ac:dyDescent="0.2">
      <c r="E30" s="108" t="str">
        <f>IF(Param!B42&lt;&gt;"","Main Switch","")</f>
        <v/>
      </c>
      <c r="BK30" s="86"/>
      <c r="BL30" s="86"/>
      <c r="BM30" s="86"/>
      <c r="BN30" s="86"/>
      <c r="BO30" s="86"/>
      <c r="BP30" s="86"/>
      <c r="BQ30" s="166" t="s">
        <v>122</v>
      </c>
      <c r="BR30" s="167"/>
      <c r="BS30" s="167"/>
      <c r="BT30" s="167"/>
      <c r="BU30" s="167"/>
      <c r="BV30" s="167"/>
      <c r="BW30" s="167"/>
      <c r="BX30" s="167"/>
      <c r="BY30" s="167"/>
      <c r="BZ30" s="167"/>
      <c r="CA30" s="167"/>
      <c r="CB30" s="168"/>
      <c r="CC30" s="123"/>
      <c r="CD30" s="123"/>
    </row>
    <row r="31" spans="5:82" x14ac:dyDescent="0.2">
      <c r="E31" s="108"/>
      <c r="AP31" s="106" t="str">
        <f>IF(Param!B22&lt;&gt;"",_xlfn.CONCAT(Param!B22, " Panels"),"")</f>
        <v/>
      </c>
      <c r="BK31" s="86"/>
      <c r="BL31" s="86"/>
      <c r="BM31" s="86"/>
      <c r="BN31" s="86"/>
      <c r="BO31" s="86"/>
      <c r="BP31" s="86"/>
      <c r="BQ31" s="169" t="s">
        <v>94</v>
      </c>
      <c r="BR31" s="170"/>
      <c r="BS31" s="170"/>
      <c r="BT31" s="171"/>
      <c r="BU31" s="172" t="s">
        <v>95</v>
      </c>
      <c r="BV31" s="173"/>
      <c r="BW31" s="173"/>
      <c r="BX31" s="174"/>
      <c r="BY31" s="175" t="s">
        <v>123</v>
      </c>
      <c r="BZ31" s="176"/>
      <c r="CA31" s="176"/>
      <c r="CB31" s="177"/>
      <c r="CC31" s="123"/>
      <c r="CD31" s="123"/>
    </row>
    <row r="32" spans="5:82" x14ac:dyDescent="0.2">
      <c r="BK32" s="18"/>
      <c r="BL32" s="18"/>
      <c r="BM32" s="86"/>
      <c r="BN32" s="86"/>
      <c r="BO32" s="86"/>
      <c r="BP32" s="86"/>
      <c r="BQ32" s="178">
        <f>Vrise!C32</f>
        <v>1</v>
      </c>
      <c r="BR32" s="179"/>
      <c r="BS32" s="179"/>
      <c r="BT32" s="180"/>
      <c r="BU32" s="178">
        <f>Vrise!E32</f>
        <v>1</v>
      </c>
      <c r="BV32" s="179"/>
      <c r="BW32" s="179"/>
      <c r="BX32" s="179"/>
      <c r="BY32" s="178">
        <f>Vrise!G32</f>
        <v>1</v>
      </c>
      <c r="BZ32" s="179"/>
      <c r="CA32" s="179"/>
      <c r="CB32" s="180"/>
      <c r="CC32" s="123"/>
      <c r="CD32" s="123"/>
    </row>
    <row r="33" spans="5:82" x14ac:dyDescent="0.2">
      <c r="BI33" s="86"/>
      <c r="BJ33" s="86"/>
      <c r="BK33" s="86"/>
      <c r="BL33" s="86"/>
      <c r="BM33" s="86"/>
      <c r="BN33" s="86"/>
      <c r="BO33" s="86"/>
      <c r="BP33" s="86"/>
      <c r="BQ33" s="160">
        <f>Vrise!C34</f>
        <v>16</v>
      </c>
      <c r="BR33" s="161"/>
      <c r="BS33" s="161"/>
      <c r="BT33" s="162"/>
      <c r="BU33" s="160">
        <f>Vrise!E34</f>
        <v>16</v>
      </c>
      <c r="BV33" s="161"/>
      <c r="BW33" s="161"/>
      <c r="BX33" s="162"/>
      <c r="BY33" s="160">
        <f>Vrise!G34</f>
        <v>4</v>
      </c>
      <c r="BZ33" s="161"/>
      <c r="CA33" s="161"/>
      <c r="CB33" s="162"/>
      <c r="CC33" s="123"/>
      <c r="CD33" s="123"/>
    </row>
    <row r="34" spans="5:82" x14ac:dyDescent="0.2">
      <c r="E34" s="108" t="str">
        <f>IF(Param!B26&lt;&gt;"","Main Switch","")</f>
        <v/>
      </c>
      <c r="J34" s="106" t="s">
        <v>69</v>
      </c>
      <c r="BE34" s="86"/>
      <c r="BF34" s="86"/>
      <c r="BG34" s="86"/>
      <c r="BH34" s="86"/>
      <c r="BI34" s="86"/>
      <c r="BK34" s="86"/>
      <c r="BL34" s="86"/>
      <c r="BM34" s="86"/>
      <c r="BN34" s="86"/>
      <c r="BO34" s="86"/>
      <c r="BP34" s="78"/>
      <c r="BQ34" s="163">
        <f>Vrise!C36</f>
        <v>0</v>
      </c>
      <c r="BR34" s="164"/>
      <c r="BS34" s="164"/>
      <c r="BT34" s="165"/>
      <c r="BU34" s="163">
        <f>Vrise!E36</f>
        <v>0</v>
      </c>
      <c r="BV34" s="164"/>
      <c r="BW34" s="164"/>
      <c r="BX34" s="165"/>
      <c r="BY34" s="163">
        <f>Vrise!G36</f>
        <v>0</v>
      </c>
      <c r="BZ34" s="164"/>
      <c r="CA34" s="164"/>
      <c r="CB34" s="165"/>
      <c r="CC34" s="123"/>
      <c r="CD34" s="123"/>
    </row>
    <row r="35" spans="5:82" x14ac:dyDescent="0.2">
      <c r="E35" s="108" t="str">
        <f>IF(Param!B26 &lt;&gt; "","Inverter Supply","")</f>
        <v/>
      </c>
      <c r="J35" s="106" t="s">
        <v>70</v>
      </c>
      <c r="U35" s="106" t="s">
        <v>72</v>
      </c>
      <c r="BE35" s="86"/>
      <c r="BF35" s="86"/>
      <c r="BG35" s="86"/>
      <c r="BH35" s="86"/>
      <c r="BI35" s="86"/>
      <c r="BK35" s="86"/>
      <c r="BL35" s="86"/>
      <c r="BM35" s="86"/>
      <c r="BN35" s="86"/>
      <c r="BO35" s="86"/>
      <c r="BP35" s="78"/>
      <c r="BQ35" s="143" t="str">
        <f>_xlfn.CONCAT(Vrise!C35," m")</f>
        <v>0 m</v>
      </c>
      <c r="BR35" s="143"/>
      <c r="BS35" s="143"/>
      <c r="BT35" s="144"/>
      <c r="BU35" s="142" t="str">
        <f>_xlfn.CONCAT(Vrise!E35," m")</f>
        <v>0 m</v>
      </c>
      <c r="BV35" s="143"/>
      <c r="BW35" s="143"/>
      <c r="BX35" s="144"/>
      <c r="BY35" s="142" t="str">
        <f>_xlfn.CONCAT(Vrise!G35," m")</f>
        <v>0 m</v>
      </c>
      <c r="BZ35" s="143"/>
      <c r="CA35" s="143"/>
      <c r="CB35" s="144"/>
      <c r="CC35" s="123"/>
      <c r="CD35" s="123"/>
    </row>
    <row r="36" spans="5:82" x14ac:dyDescent="0.2">
      <c r="U36" s="106" t="s">
        <v>67</v>
      </c>
      <c r="BE36" s="86"/>
      <c r="BF36" s="86"/>
      <c r="BG36" s="86"/>
      <c r="BH36" s="86"/>
      <c r="BI36" s="86"/>
      <c r="BK36" s="86"/>
      <c r="BL36" s="86"/>
      <c r="BM36" s="86"/>
      <c r="BN36" s="86"/>
      <c r="BO36" s="86"/>
      <c r="BP36" s="86"/>
      <c r="BQ36" s="145">
        <f>Vrise!C38</f>
        <v>0</v>
      </c>
      <c r="BR36" s="146"/>
      <c r="BS36" s="146"/>
      <c r="BT36" s="147"/>
      <c r="BU36" s="145">
        <f>Vrise!E38</f>
        <v>0</v>
      </c>
      <c r="BV36" s="167"/>
      <c r="BW36" s="167"/>
      <c r="BX36" s="168"/>
      <c r="BY36" s="145">
        <f>Vrise!G38</f>
        <v>0</v>
      </c>
      <c r="BZ36" s="146"/>
      <c r="CA36" s="146"/>
      <c r="CB36" s="147"/>
      <c r="CC36" s="123"/>
      <c r="CD36" s="123"/>
    </row>
    <row r="37" spans="5:82" x14ac:dyDescent="0.2">
      <c r="AP37" s="109" t="str">
        <f>IF(Param!B23&lt;&gt;"",_xlfn.CONCAT(Param!B23, " Panels"),"")</f>
        <v/>
      </c>
      <c r="BE37" s="86"/>
      <c r="BF37" s="86"/>
      <c r="BG37" s="86"/>
      <c r="BH37" s="86"/>
      <c r="BI37" s="18"/>
      <c r="BJ37" s="18"/>
      <c r="BK37" s="86"/>
      <c r="BL37" s="86"/>
      <c r="BM37" s="86"/>
      <c r="BN37" s="86"/>
      <c r="BO37" s="86"/>
      <c r="BP37" s="86"/>
      <c r="BQ37" s="123"/>
      <c r="BR37" s="123"/>
      <c r="BS37" s="123"/>
      <c r="BT37" s="123"/>
      <c r="BU37" s="123"/>
      <c r="BV37" s="123"/>
      <c r="BW37" s="123"/>
      <c r="BX37" s="123"/>
      <c r="BY37" s="123"/>
      <c r="BZ37" s="123"/>
      <c r="CA37" s="123"/>
      <c r="CB37" s="123"/>
      <c r="CC37" s="123"/>
      <c r="CD37" s="123"/>
    </row>
    <row r="38" spans="5:82" x14ac:dyDescent="0.2">
      <c r="BE38" s="86"/>
      <c r="BF38" s="86"/>
      <c r="BG38" s="86"/>
      <c r="BH38" s="86"/>
      <c r="BI38" s="86"/>
      <c r="BQ38" s="123"/>
      <c r="BR38" s="123"/>
      <c r="BS38" s="123"/>
      <c r="BT38" s="123"/>
      <c r="BU38" s="123"/>
      <c r="BV38" s="123"/>
      <c r="BW38" s="123"/>
      <c r="BX38" s="123"/>
      <c r="BY38" s="123"/>
      <c r="BZ38" s="123"/>
      <c r="CA38" s="123"/>
      <c r="CB38" s="123"/>
      <c r="CC38" s="123"/>
      <c r="CD38" s="123"/>
    </row>
    <row r="39" spans="5:82" x14ac:dyDescent="0.2">
      <c r="BE39" s="86"/>
      <c r="BF39" s="86"/>
      <c r="BG39" s="86"/>
      <c r="BH39" s="86"/>
      <c r="BI39" s="86"/>
    </row>
    <row r="40" spans="5:82" x14ac:dyDescent="0.2">
      <c r="BE40" s="86"/>
      <c r="BF40" s="86"/>
      <c r="BG40" s="86"/>
      <c r="BH40" s="86"/>
      <c r="BI40" s="86"/>
      <c r="BR40" s="148"/>
      <c r="BS40" s="148"/>
      <c r="BT40" s="148"/>
      <c r="BU40" s="148"/>
      <c r="BV40" s="148"/>
      <c r="BW40" s="148"/>
      <c r="BX40" s="148"/>
      <c r="BY40" s="148"/>
      <c r="BZ40" s="148"/>
      <c r="CA40" s="148"/>
      <c r="CB40" s="148"/>
    </row>
    <row r="41" spans="5:82" x14ac:dyDescent="0.2">
      <c r="BE41" s="86"/>
      <c r="BF41" s="86"/>
      <c r="BG41" s="86"/>
      <c r="BH41" s="86"/>
      <c r="BI41" s="86"/>
      <c r="BR41" s="148"/>
      <c r="BS41" s="148"/>
      <c r="BT41" s="148"/>
      <c r="BU41" s="148"/>
      <c r="BV41" s="148"/>
      <c r="BW41" s="148"/>
      <c r="BX41" s="148"/>
      <c r="BY41" s="148"/>
      <c r="BZ41" s="148"/>
      <c r="CA41" s="148"/>
      <c r="CB41" s="148"/>
    </row>
    <row r="42" spans="5:82" x14ac:dyDescent="0.2">
      <c r="Q42" s="106" t="str">
        <f>IF(Param!B36=3,_xlfn.CONCAT(Vrise!G34,"mm 4C+E"),_xlfn.CONCAT(Vrise!G34,"mm 2C+E"))</f>
        <v>4mm 2C+E</v>
      </c>
      <c r="BE42" s="86"/>
      <c r="BF42" s="86"/>
      <c r="BG42" s="86"/>
      <c r="BH42" s="86"/>
      <c r="BI42" s="86"/>
      <c r="BR42" s="148"/>
      <c r="BS42" s="148"/>
      <c r="BT42" s="148"/>
      <c r="BU42" s="148"/>
      <c r="BV42" s="148"/>
      <c r="BW42" s="148"/>
      <c r="BX42" s="148"/>
      <c r="BY42" s="148"/>
      <c r="BZ42" s="148"/>
      <c r="CA42" s="148"/>
      <c r="CB42" s="148"/>
    </row>
    <row r="43" spans="5:82" x14ac:dyDescent="0.2">
      <c r="BK43" s="109" t="str">
        <f>IF(Param!B25&lt;&gt;"",_xlfn.CONCAT(Param!B25, " Panels"),"")</f>
        <v/>
      </c>
    </row>
    <row r="44" spans="5:82" x14ac:dyDescent="0.2">
      <c r="AP44" s="109" t="str">
        <f>IF(Param!B24&lt;&gt;"",_xlfn.CONCAT(Param!B24, " Panels"),"")</f>
        <v/>
      </c>
      <c r="BT44" s="84"/>
      <c r="BU44" s="84"/>
      <c r="BV44" s="84"/>
      <c r="BW44" s="84"/>
      <c r="BX44" s="84"/>
      <c r="BY44" s="84"/>
      <c r="BZ44" s="84"/>
      <c r="CA44" s="84"/>
      <c r="CB44" s="84"/>
    </row>
    <row r="45" spans="5:82" x14ac:dyDescent="0.2">
      <c r="BR45" s="17" t="s">
        <v>42</v>
      </c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5"/>
    </row>
    <row r="46" spans="5:82" x14ac:dyDescent="0.2">
      <c r="BR46" s="87" t="s">
        <v>41</v>
      </c>
      <c r="BS46" s="76"/>
      <c r="BT46" s="76"/>
      <c r="BU46" s="88"/>
      <c r="BV46" s="14" t="s">
        <v>40</v>
      </c>
      <c r="BW46" s="87" t="s">
        <v>39</v>
      </c>
      <c r="BX46" s="76"/>
      <c r="BY46" s="76"/>
      <c r="BZ46" s="76"/>
      <c r="CA46" s="76"/>
      <c r="CB46" s="76"/>
      <c r="CC46" s="76"/>
      <c r="CD46" s="88"/>
    </row>
    <row r="47" spans="5:82" x14ac:dyDescent="0.2">
      <c r="BR47" s="77" t="s">
        <v>38</v>
      </c>
      <c r="BS47" s="86"/>
      <c r="BT47" s="86"/>
      <c r="BU47" s="78"/>
      <c r="BV47" s="13">
        <f>BX16</f>
        <v>0</v>
      </c>
      <c r="BW47" s="77" t="str">
        <f>_xlfn.CONCAT(BV7," ",BX9,"W")</f>
        <v>LG NeON 2 365W</v>
      </c>
      <c r="BX47" s="86"/>
      <c r="BY47" s="86"/>
      <c r="BZ47" s="86"/>
      <c r="CA47" s="86"/>
      <c r="CB47" s="86"/>
      <c r="CC47" s="86"/>
      <c r="CD47" s="78"/>
    </row>
    <row r="48" spans="5:82" x14ac:dyDescent="0.2">
      <c r="AM48" s="103"/>
      <c r="AR48" s="103"/>
      <c r="BR48" s="77" t="s">
        <v>106</v>
      </c>
      <c r="BS48" s="86"/>
      <c r="BT48" s="86"/>
      <c r="BU48" s="78"/>
      <c r="BV48" s="13">
        <f>BX16</f>
        <v>0</v>
      </c>
      <c r="BW48" s="77" t="str">
        <f>_xlfn.CONCAT("Enphase ",BX18)</f>
        <v>Enphase SB4.0-1AV-40</v>
      </c>
      <c r="BX48" s="86"/>
      <c r="BY48" s="86"/>
      <c r="BZ48" s="86"/>
      <c r="CA48" s="86"/>
      <c r="CB48" s="86"/>
      <c r="CC48" s="86"/>
      <c r="CD48" s="78"/>
    </row>
    <row r="49" spans="6:82" x14ac:dyDescent="0.2">
      <c r="AM49" s="103"/>
      <c r="AR49" s="103"/>
      <c r="BR49" s="77" t="s">
        <v>37</v>
      </c>
      <c r="BS49" s="86"/>
      <c r="BT49" s="86"/>
      <c r="BU49" s="78"/>
      <c r="BV49" s="13"/>
      <c r="BW49" s="149">
        <f>BW19*BX16</f>
        <v>0</v>
      </c>
      <c r="BX49" s="150"/>
      <c r="BY49" s="150"/>
      <c r="BZ49" s="86"/>
      <c r="CA49" s="86"/>
      <c r="CB49" s="86"/>
      <c r="CC49" s="86"/>
      <c r="CD49" s="78"/>
    </row>
    <row r="50" spans="6:82" x14ac:dyDescent="0.2">
      <c r="BK50" s="109" t="str">
        <f>IF(Param!B26&lt;&gt;"",_xlfn.CONCAT(Param!B26, " Panels"),"")</f>
        <v/>
      </c>
      <c r="BR50" s="77" t="s">
        <v>36</v>
      </c>
      <c r="BS50" s="86"/>
      <c r="BT50" s="86"/>
      <c r="BU50" s="78"/>
      <c r="BV50" s="13">
        <v>1</v>
      </c>
      <c r="BW50" s="77" t="s">
        <v>35</v>
      </c>
      <c r="BX50" s="86"/>
      <c r="BY50" s="86"/>
      <c r="BZ50" s="86"/>
      <c r="CA50" s="86"/>
      <c r="CB50" s="86"/>
      <c r="CC50" s="86"/>
      <c r="CD50" s="78"/>
    </row>
    <row r="51" spans="6:82" x14ac:dyDescent="0.2">
      <c r="BR51" s="77" t="s">
        <v>34</v>
      </c>
      <c r="BS51" s="86"/>
      <c r="BT51" s="86"/>
      <c r="BU51" s="78"/>
      <c r="BV51" s="13">
        <v>1</v>
      </c>
      <c r="BW51" s="77" t="s">
        <v>68</v>
      </c>
      <c r="BX51" s="86"/>
      <c r="BY51" s="86"/>
      <c r="BZ51" s="86"/>
      <c r="CA51" s="86"/>
      <c r="CB51" s="86"/>
      <c r="CC51" s="86"/>
      <c r="CD51" s="78"/>
    </row>
    <row r="52" spans="6:82" x14ac:dyDescent="0.2">
      <c r="BR52" s="77" t="s">
        <v>33</v>
      </c>
      <c r="BS52" s="86"/>
      <c r="BT52" s="86"/>
      <c r="BU52" s="78"/>
      <c r="BV52" s="13">
        <v>2</v>
      </c>
      <c r="BW52" s="77" t="s">
        <v>32</v>
      </c>
      <c r="BX52" s="86"/>
      <c r="BY52" s="86"/>
      <c r="BZ52" s="86"/>
      <c r="CA52" s="86"/>
      <c r="CB52" s="86"/>
      <c r="CC52" s="86"/>
      <c r="CD52" s="78"/>
    </row>
    <row r="53" spans="6:82" x14ac:dyDescent="0.2">
      <c r="Q53" s="112" t="str" cm="1">
        <f t="array" ref="Q53">_xlfn.IFS(Param!B26="","",Param!B27&lt;&gt;"",_xlfn.CONCAT(Vrise!G34,"mm 4C+E"),Param!B27="",_xlfn.CONCAT(Vrise!G34,"mm 2C+E"))</f>
        <v/>
      </c>
      <c r="R53" s="112"/>
      <c r="S53" s="112"/>
      <c r="BR53" s="90" t="s">
        <v>31</v>
      </c>
      <c r="BS53" s="91"/>
      <c r="BT53" s="91"/>
      <c r="BU53" s="89"/>
      <c r="BV53" s="12">
        <v>1</v>
      </c>
      <c r="BW53" s="77" t="s">
        <v>30</v>
      </c>
      <c r="BX53" s="86"/>
      <c r="BY53" s="91"/>
      <c r="BZ53" s="91"/>
      <c r="CA53" s="91"/>
      <c r="CB53" s="91"/>
      <c r="CC53" s="91"/>
      <c r="CD53" s="89"/>
    </row>
    <row r="54" spans="6:82" x14ac:dyDescent="0.2">
      <c r="Q54" s="107"/>
      <c r="R54" s="107"/>
      <c r="BW54" s="81"/>
      <c r="BX54" s="81"/>
    </row>
    <row r="55" spans="6:82" x14ac:dyDescent="0.2">
      <c r="BX55" s="84"/>
    </row>
    <row r="56" spans="6:82" x14ac:dyDescent="0.2">
      <c r="BR56" s="11" t="s">
        <v>29</v>
      </c>
      <c r="BS56" s="76"/>
      <c r="BT56" s="76"/>
      <c r="BU56" s="76"/>
      <c r="BV56" s="76"/>
      <c r="BW56" s="76"/>
      <c r="BX56" s="76"/>
      <c r="BY56" s="76"/>
      <c r="BZ56" s="76"/>
      <c r="CA56" s="76"/>
      <c r="CB56" s="76"/>
      <c r="CC56" s="76"/>
      <c r="CD56" s="88"/>
    </row>
    <row r="57" spans="6:82" x14ac:dyDescent="0.2">
      <c r="BK57" s="109" t="str">
        <f>IF(Param!B27&lt;&gt;"",_xlfn.CONCAT(Param!B27, " Panels"),"")</f>
        <v/>
      </c>
      <c r="BR57" s="77" t="s">
        <v>28</v>
      </c>
      <c r="BS57" s="86"/>
      <c r="BT57" s="86"/>
      <c r="BU57" s="86"/>
      <c r="BV57" s="86"/>
      <c r="BW57" s="86"/>
      <c r="BX57" s="86"/>
      <c r="BY57" s="86"/>
      <c r="BZ57" s="86"/>
      <c r="CA57" s="86"/>
      <c r="CB57" s="86"/>
      <c r="CC57" s="86"/>
      <c r="CD57" s="78"/>
    </row>
    <row r="58" spans="6:82" x14ac:dyDescent="0.2">
      <c r="F58" s="110" t="str">
        <f>IF(Param!B42&lt;&gt;"","Existing Array","")</f>
        <v/>
      </c>
      <c r="BR58" s="77" t="s">
        <v>27</v>
      </c>
      <c r="BS58" s="86"/>
      <c r="BT58" s="86"/>
      <c r="BU58" s="86"/>
      <c r="BV58" s="86"/>
      <c r="BW58" s="86"/>
      <c r="BX58" s="86"/>
      <c r="BY58" s="86"/>
      <c r="BZ58" s="86"/>
      <c r="CA58" s="86"/>
      <c r="CB58" s="86"/>
      <c r="CC58" s="86"/>
      <c r="CD58" s="78"/>
    </row>
    <row r="59" spans="6:82" x14ac:dyDescent="0.2">
      <c r="F59" s="108" t="str">
        <f>IF(Param!B42&lt;&gt;"",_xlfn.CONCAT(Param!B42," kWac"),"")</f>
        <v/>
      </c>
      <c r="AZ59" s="148"/>
      <c r="BA59" s="148"/>
      <c r="BB59" s="148"/>
      <c r="BC59" s="148"/>
      <c r="BD59" s="148"/>
      <c r="BE59" s="148"/>
      <c r="BF59" s="148"/>
      <c r="BG59" s="148"/>
      <c r="BH59" s="148"/>
      <c r="BI59" s="148"/>
      <c r="BJ59" s="148"/>
      <c r="BR59" s="77" t="s">
        <v>26</v>
      </c>
      <c r="BS59" s="86"/>
      <c r="BT59" s="86"/>
      <c r="BU59" s="86"/>
      <c r="BV59" s="86"/>
      <c r="BW59" s="86"/>
      <c r="BX59" s="86"/>
      <c r="BY59" s="86"/>
      <c r="BZ59" s="86"/>
      <c r="CA59" s="86"/>
      <c r="CB59" s="86"/>
      <c r="CC59" s="86"/>
      <c r="CD59" s="78"/>
    </row>
    <row r="60" spans="6:82" x14ac:dyDescent="0.2">
      <c r="BR60" s="77" t="s">
        <v>25</v>
      </c>
      <c r="BS60" s="86"/>
      <c r="BT60" s="86"/>
      <c r="BU60" s="86"/>
      <c r="BV60" s="86"/>
      <c r="BW60" s="86"/>
      <c r="BX60" s="86"/>
      <c r="BY60" s="86"/>
      <c r="BZ60" s="86"/>
      <c r="CA60" s="86"/>
      <c r="CB60" s="86"/>
      <c r="CC60" s="86"/>
      <c r="CD60" s="78"/>
    </row>
    <row r="61" spans="6:82" x14ac:dyDescent="0.2">
      <c r="BR61" s="77" t="s">
        <v>24</v>
      </c>
      <c r="BS61" s="86"/>
      <c r="BT61" s="86"/>
      <c r="BU61" s="86"/>
      <c r="BV61" s="86"/>
      <c r="BW61" s="86"/>
      <c r="BX61" s="86"/>
      <c r="BY61" s="86"/>
      <c r="BZ61" s="86"/>
      <c r="CA61" s="86"/>
      <c r="CB61" s="86"/>
      <c r="CC61" s="86"/>
      <c r="CD61" s="78"/>
    </row>
    <row r="62" spans="6:82" x14ac:dyDescent="0.2">
      <c r="AZ62" s="10"/>
      <c r="BA62" s="10"/>
      <c r="BD62" s="9"/>
      <c r="BE62" s="9"/>
      <c r="BJ62" s="8"/>
      <c r="BR62" s="77" t="s">
        <v>23</v>
      </c>
      <c r="BS62" s="86"/>
      <c r="BT62" s="86"/>
      <c r="BU62" s="86"/>
      <c r="BV62" s="86"/>
      <c r="BW62" s="86"/>
      <c r="BX62" s="86"/>
      <c r="BY62" s="86"/>
      <c r="BZ62" s="86"/>
      <c r="CA62" s="86"/>
      <c r="CB62" s="86"/>
      <c r="CC62" s="86"/>
      <c r="CD62" s="78"/>
    </row>
    <row r="63" spans="6:82" x14ac:dyDescent="0.2">
      <c r="AZ63" s="10"/>
      <c r="BA63" s="10"/>
      <c r="BD63" s="9"/>
      <c r="BE63" s="9"/>
      <c r="BJ63" s="8"/>
      <c r="BR63" s="77" t="s">
        <v>22</v>
      </c>
      <c r="BS63" s="86"/>
      <c r="BT63" s="86"/>
      <c r="BU63" s="86"/>
      <c r="BV63" s="86"/>
      <c r="BW63" s="86"/>
      <c r="BX63" s="86"/>
      <c r="BY63" s="86"/>
      <c r="BZ63" s="86"/>
      <c r="CA63" s="86"/>
      <c r="CB63" s="86"/>
      <c r="CC63" s="86"/>
      <c r="CD63" s="78"/>
    </row>
    <row r="64" spans="6:82" x14ac:dyDescent="0.2">
      <c r="J64" s="111" t="str">
        <f>IF(Param!B42&lt;&gt;"","Inverter supply","")</f>
        <v/>
      </c>
      <c r="AZ64" s="10"/>
      <c r="BA64" s="10"/>
      <c r="BD64" s="9"/>
      <c r="BE64" s="9"/>
      <c r="BJ64" s="8"/>
      <c r="BR64" s="77" t="s">
        <v>21</v>
      </c>
      <c r="BS64" s="86"/>
      <c r="BT64" s="86"/>
      <c r="BU64" s="86"/>
      <c r="BV64" s="86"/>
      <c r="BW64" s="86"/>
      <c r="BX64" s="86"/>
      <c r="BY64" s="86"/>
      <c r="BZ64" s="86"/>
      <c r="CA64" s="86"/>
      <c r="CB64" s="86"/>
      <c r="CC64" s="86"/>
      <c r="CD64" s="78"/>
    </row>
    <row r="65" spans="2:82" x14ac:dyDescent="0.2">
      <c r="J65" s="111" t="str">
        <f>IF(Param!B42&lt;&gt;"","A.C. Isolator","")</f>
        <v/>
      </c>
      <c r="AZ65" s="10"/>
      <c r="BA65" s="10"/>
      <c r="BD65" s="9"/>
      <c r="BE65" s="9"/>
      <c r="BJ65" s="8"/>
      <c r="BR65" s="77" t="s">
        <v>20</v>
      </c>
      <c r="BS65" s="86"/>
      <c r="BT65" s="86"/>
      <c r="BU65" s="86"/>
      <c r="BV65" s="86"/>
      <c r="BW65" s="86"/>
      <c r="BX65" s="86"/>
      <c r="BY65" s="86"/>
      <c r="BZ65" s="86"/>
      <c r="CA65" s="86"/>
      <c r="CB65" s="86"/>
      <c r="CC65" s="86"/>
      <c r="CD65" s="78"/>
    </row>
    <row r="66" spans="2:82" x14ac:dyDescent="0.2">
      <c r="N66" s="111" t="str">
        <f>IF(Param!B42&lt;&gt;"","Grid connect inverter","")</f>
        <v/>
      </c>
      <c r="AO66" s="7"/>
      <c r="AR66" s="106" t="str">
        <f>IF(Param!B44&lt;&gt;"",_xlfn.CONCAT("Note: ",Param!B44),"")</f>
        <v/>
      </c>
      <c r="BR66" s="90" t="s">
        <v>19</v>
      </c>
      <c r="BS66" s="91"/>
      <c r="BT66" s="91"/>
      <c r="BU66" s="91"/>
      <c r="BV66" s="91"/>
      <c r="BW66" s="91"/>
      <c r="BX66" s="91"/>
      <c r="BY66" s="91"/>
      <c r="BZ66" s="91"/>
      <c r="CA66" s="91"/>
      <c r="CB66" s="91"/>
      <c r="CC66" s="91"/>
      <c r="CD66" s="89"/>
    </row>
    <row r="67" spans="2:82" x14ac:dyDescent="0.2">
      <c r="AO67" s="7"/>
      <c r="BR67" s="80" t="s">
        <v>18</v>
      </c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4"/>
    </row>
    <row r="68" spans="2:82" x14ac:dyDescent="0.2">
      <c r="B68" s="84"/>
      <c r="C68" s="84"/>
      <c r="BR68" s="83" t="s">
        <v>17</v>
      </c>
      <c r="BS68" s="84"/>
      <c r="BT68" s="84"/>
      <c r="BU68" s="84"/>
      <c r="BV68" s="84"/>
      <c r="BW68" s="84"/>
      <c r="BX68" s="84"/>
      <c r="BY68" s="84"/>
      <c r="BZ68" s="84"/>
      <c r="CA68" s="84"/>
      <c r="CB68" s="84"/>
      <c r="CC68" s="84"/>
      <c r="CD68" s="1"/>
    </row>
    <row r="69" spans="2:82" x14ac:dyDescent="0.2">
      <c r="B69" s="106" t="s">
        <v>16</v>
      </c>
      <c r="D69" s="81"/>
      <c r="E69" s="81"/>
      <c r="F69" s="81"/>
      <c r="G69" s="81"/>
      <c r="H69" s="81"/>
      <c r="I69" s="81"/>
      <c r="J69" s="4"/>
      <c r="K69" s="80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1"/>
      <c r="W69" s="4"/>
      <c r="X69" s="80"/>
      <c r="Y69" s="81" t="s">
        <v>15</v>
      </c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81"/>
      <c r="AP69" s="81"/>
      <c r="AQ69" s="81"/>
      <c r="AR69" s="81"/>
      <c r="AS69" s="81"/>
      <c r="AT69" s="81"/>
      <c r="AU69" s="81"/>
      <c r="AV69" s="81"/>
      <c r="AW69" s="81"/>
      <c r="AX69" s="81"/>
      <c r="AY69" s="151" t="s">
        <v>14</v>
      </c>
      <c r="AZ69" s="151"/>
      <c r="BA69" s="152"/>
      <c r="BB69" s="80" t="str">
        <f>Param!B3</f>
        <v xml:space="preserve">Miller, Ian </v>
      </c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4"/>
      <c r="BN69" s="80" t="str">
        <f>_xlfn.CONCAT(BV47," ",BW47," - ",BV48," ",BW48)</f>
        <v>0 LG NeON 2 365W - 0 Enphase SB4.0-1AV-40</v>
      </c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CB69" s="155">
        <f>BW49</f>
        <v>0</v>
      </c>
      <c r="CC69" s="155"/>
      <c r="CD69" s="155"/>
    </row>
    <row r="70" spans="2:82" x14ac:dyDescent="0.2">
      <c r="J70" s="5"/>
      <c r="K70" s="82"/>
      <c r="W70" s="5"/>
      <c r="X70" s="83"/>
      <c r="Y70" s="84" t="s">
        <v>5</v>
      </c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  <c r="AO70" s="84"/>
      <c r="AP70" s="84"/>
      <c r="AQ70" s="84"/>
      <c r="AR70" s="84"/>
      <c r="AS70" s="84"/>
      <c r="AT70" s="84"/>
      <c r="AU70" s="84"/>
      <c r="AV70" s="84"/>
      <c r="AW70" s="84"/>
      <c r="AX70" s="84"/>
      <c r="AY70" s="84"/>
      <c r="AZ70" s="84"/>
      <c r="BA70" s="1"/>
      <c r="BB70" s="83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1"/>
      <c r="BN70" s="83" t="s">
        <v>13</v>
      </c>
      <c r="BO70" s="84"/>
      <c r="BP70" s="84"/>
      <c r="BQ70" s="84"/>
      <c r="BR70" s="84"/>
      <c r="BS70" s="84"/>
      <c r="BT70" s="84"/>
      <c r="BU70" s="84"/>
      <c r="BV70" s="84"/>
      <c r="BW70" s="84"/>
      <c r="BX70" s="84"/>
      <c r="BY70" s="84"/>
      <c r="BZ70" s="84"/>
      <c r="CA70" s="84"/>
      <c r="CB70" s="84"/>
      <c r="CC70" s="84"/>
      <c r="CD70" s="1"/>
    </row>
    <row r="71" spans="2:82" x14ac:dyDescent="0.2">
      <c r="J71" s="5"/>
      <c r="K71" s="82"/>
      <c r="W71" s="5"/>
      <c r="X71" s="80"/>
      <c r="Y71" s="81" t="s">
        <v>12</v>
      </c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151" t="s">
        <v>11</v>
      </c>
      <c r="AZ71" s="151"/>
      <c r="BA71" s="152"/>
      <c r="BB71" s="80" t="str">
        <f>Param!B4</f>
        <v>154 Princeton Ave  Adamstown Heights</v>
      </c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4"/>
      <c r="BN71" s="80" t="s">
        <v>10</v>
      </c>
      <c r="BO71" s="81"/>
      <c r="BP71" s="4"/>
      <c r="BQ71" s="80" t="s">
        <v>9</v>
      </c>
      <c r="BR71" s="81"/>
      <c r="BS71" s="4"/>
      <c r="BT71" s="80" t="s">
        <v>8</v>
      </c>
      <c r="BU71" s="81"/>
      <c r="BV71" s="81"/>
      <c r="BW71" s="4"/>
      <c r="BX71" s="80" t="s">
        <v>7</v>
      </c>
      <c r="BY71" s="81"/>
      <c r="BZ71" s="4"/>
      <c r="CA71" s="80" t="s">
        <v>6</v>
      </c>
      <c r="CB71" s="81"/>
      <c r="CC71" s="81"/>
      <c r="CD71" s="4"/>
    </row>
    <row r="72" spans="2:82" x14ac:dyDescent="0.2">
      <c r="J72" s="5"/>
      <c r="K72" s="82"/>
      <c r="W72" s="5"/>
      <c r="X72" s="83"/>
      <c r="Y72" s="84" t="s">
        <v>5</v>
      </c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  <c r="AN72" s="84"/>
      <c r="AO72" s="84"/>
      <c r="AP72" s="84"/>
      <c r="AQ72" s="84"/>
      <c r="AR72" s="84"/>
      <c r="AS72" s="84"/>
      <c r="AT72" s="84"/>
      <c r="AU72" s="84"/>
      <c r="AV72" s="84"/>
      <c r="AW72" s="84"/>
      <c r="AX72" s="84"/>
      <c r="AY72" s="84"/>
      <c r="AZ72" s="84"/>
      <c r="BA72" s="1"/>
      <c r="BB72" s="83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1"/>
      <c r="BN72" s="142" t="s">
        <v>73</v>
      </c>
      <c r="BO72" s="143"/>
      <c r="BP72" s="144"/>
      <c r="BQ72" s="142" t="s">
        <v>4</v>
      </c>
      <c r="BR72" s="143"/>
      <c r="BS72" s="144"/>
      <c r="BT72" s="142" t="s">
        <v>4</v>
      </c>
      <c r="BU72" s="143"/>
      <c r="BV72" s="143"/>
      <c r="BW72" s="1"/>
      <c r="BX72" s="156">
        <f ca="1">TODAY()</f>
        <v>44229</v>
      </c>
      <c r="BY72" s="157"/>
      <c r="BZ72" s="158"/>
      <c r="CA72" s="6" t="s">
        <v>3</v>
      </c>
      <c r="CB72" s="84"/>
      <c r="CC72" s="84"/>
      <c r="CD72" s="1"/>
    </row>
    <row r="73" spans="2:82" x14ac:dyDescent="0.2">
      <c r="J73" s="5"/>
      <c r="K73" s="82"/>
      <c r="W73" s="5"/>
      <c r="X73" s="80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Y73" s="151" t="s">
        <v>2</v>
      </c>
      <c r="AZ73" s="151"/>
      <c r="BA73" s="152"/>
      <c r="BB73" s="153">
        <f>Param!B2</f>
        <v>26181</v>
      </c>
      <c r="BC73" s="154"/>
      <c r="BD73" s="81"/>
      <c r="BE73" s="81"/>
      <c r="BF73" s="81"/>
      <c r="BG73" s="81"/>
      <c r="BH73" s="81"/>
      <c r="BI73" s="81"/>
      <c r="BJ73" s="81"/>
      <c r="BK73" s="81"/>
      <c r="BL73" s="81"/>
      <c r="BM73" s="4"/>
      <c r="BN73" s="80" t="s">
        <v>1</v>
      </c>
      <c r="BO73" s="81"/>
      <c r="BP73" s="81"/>
      <c r="BQ73" s="81">
        <v>1</v>
      </c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4"/>
    </row>
    <row r="74" spans="2:82" x14ac:dyDescent="0.2">
      <c r="C74" s="84"/>
      <c r="D74" s="84"/>
      <c r="E74" s="84"/>
      <c r="F74" s="84"/>
      <c r="G74" s="84"/>
      <c r="H74" s="84"/>
      <c r="I74" s="84"/>
      <c r="J74" s="1"/>
      <c r="K74" s="83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1"/>
      <c r="X74" s="83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Z74" s="84"/>
      <c r="BA74" s="1"/>
      <c r="BB74" s="83"/>
      <c r="BC74" s="84"/>
      <c r="BD74" s="84"/>
      <c r="BE74" s="84"/>
      <c r="BF74" s="84"/>
      <c r="BG74" s="84"/>
      <c r="BH74" s="84"/>
      <c r="BI74" s="84"/>
      <c r="BJ74" s="84"/>
      <c r="BK74" s="84"/>
      <c r="BL74" s="84"/>
      <c r="BM74" s="1"/>
      <c r="BN74" s="83" t="s">
        <v>0</v>
      </c>
      <c r="BO74" s="84"/>
      <c r="BP74" s="84"/>
      <c r="BQ74" s="3" t="s">
        <v>126</v>
      </c>
      <c r="BR74" s="84"/>
      <c r="BS74" s="84"/>
      <c r="BT74" s="84"/>
      <c r="BU74" s="84"/>
      <c r="BV74" s="84"/>
      <c r="BW74" s="84"/>
      <c r="BX74" s="84"/>
      <c r="BY74" s="84"/>
      <c r="BZ74" s="84"/>
      <c r="CA74" s="84"/>
      <c r="CB74" s="84"/>
      <c r="CC74" s="84"/>
      <c r="CD74" s="1"/>
    </row>
  </sheetData>
  <mergeCells count="78">
    <mergeCell ref="BQ35:BT35"/>
    <mergeCell ref="BU35:BX35"/>
    <mergeCell ref="BY35:CB35"/>
    <mergeCell ref="BW19:BX19"/>
    <mergeCell ref="BW20:BX20"/>
    <mergeCell ref="CA19:CB19"/>
    <mergeCell ref="BQ33:BT33"/>
    <mergeCell ref="BQ34:BT34"/>
    <mergeCell ref="BQ25:BS25"/>
    <mergeCell ref="BT25:BU25"/>
    <mergeCell ref="BV25:BW25"/>
    <mergeCell ref="BX25:BY25"/>
    <mergeCell ref="BZ25:CA25"/>
    <mergeCell ref="BQ24:BS24"/>
    <mergeCell ref="BT24:BU24"/>
    <mergeCell ref="BV24:BW24"/>
    <mergeCell ref="BV6:BZ6"/>
    <mergeCell ref="BV7:BZ7"/>
    <mergeCell ref="BX9:BZ9"/>
    <mergeCell ref="BX10:BZ10"/>
    <mergeCell ref="BX8:BZ8"/>
    <mergeCell ref="BX11:BZ11"/>
    <mergeCell ref="BV12:BZ12"/>
    <mergeCell ref="BX24:BY24"/>
    <mergeCell ref="BZ24:CA24"/>
    <mergeCell ref="BX16:BZ16"/>
    <mergeCell ref="BX17:BZ17"/>
    <mergeCell ref="BX18:BZ18"/>
    <mergeCell ref="CA11:CC11"/>
    <mergeCell ref="BW41:BX41"/>
    <mergeCell ref="BY41:BZ41"/>
    <mergeCell ref="BU33:BX33"/>
    <mergeCell ref="BY33:CB33"/>
    <mergeCell ref="BU34:BX34"/>
    <mergeCell ref="BY34:CB34"/>
    <mergeCell ref="BQ30:CB30"/>
    <mergeCell ref="BQ31:BT31"/>
    <mergeCell ref="BU31:BX31"/>
    <mergeCell ref="BY31:CB31"/>
    <mergeCell ref="BQ32:BT32"/>
    <mergeCell ref="BU32:BX32"/>
    <mergeCell ref="BY32:CB32"/>
    <mergeCell ref="BQ36:BT36"/>
    <mergeCell ref="BU36:BX36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BW49:BY49"/>
    <mergeCell ref="AZ59:BB59"/>
    <mergeCell ref="BC59:BD59"/>
    <mergeCell ref="BE59:BF59"/>
    <mergeCell ref="BG59:BH59"/>
    <mergeCell ref="BI59:BJ59"/>
    <mergeCell ref="BY36:CB36"/>
    <mergeCell ref="CA41:CB41"/>
    <mergeCell ref="BR42:BT42"/>
    <mergeCell ref="BU42:BV42"/>
    <mergeCell ref="BW42:BX42"/>
    <mergeCell ref="BY42:BZ42"/>
    <mergeCell ref="CA42:CB42"/>
    <mergeCell ref="BR40:BT40"/>
    <mergeCell ref="BU40:BV40"/>
    <mergeCell ref="BW40:BX40"/>
    <mergeCell ref="BY40:BZ40"/>
    <mergeCell ref="CA40:CB40"/>
    <mergeCell ref="BR41:BT41"/>
    <mergeCell ref="BU41:BV41"/>
    <mergeCell ref="BQ26:BS26"/>
    <mergeCell ref="BT26:BU26"/>
    <mergeCell ref="BV26:BW26"/>
    <mergeCell ref="BX26:BY26"/>
    <mergeCell ref="BZ26:CA26"/>
  </mergeCells>
  <conditionalFormatting sqref="BH62:BI65">
    <cfRule type="cellIs" dxfId="0" priority="5" operator="greaterThan">
      <formula>600</formula>
    </cfRule>
  </conditionalFormatting>
  <pageMargins left="0.5" right="0.5" top="0.5" bottom="0.5" header="0" footer="0"/>
  <pageSetup paperSize="9" scale="46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2]!Button_ENP">
                <anchor moveWithCells="1" sizeWithCells="1">
                  <from>
                    <xdr:col>25</xdr:col>
                    <xdr:colOff>215900</xdr:colOff>
                    <xdr:row>7</xdr:row>
                    <xdr:rowOff>177800</xdr:rowOff>
                  </from>
                  <to>
                    <xdr:col>31</xdr:col>
                    <xdr:colOff>215900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Param</vt:lpstr>
      <vt:lpstr>Vrise</vt:lpstr>
      <vt:lpstr>Enphase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2020-12-02T07:35:07Z</cp:lastPrinted>
  <dcterms:created xsi:type="dcterms:W3CDTF">2020-10-29T22:28:43Z</dcterms:created>
  <dcterms:modified xsi:type="dcterms:W3CDTF">2021-02-01T21:41:58Z</dcterms:modified>
</cp:coreProperties>
</file>